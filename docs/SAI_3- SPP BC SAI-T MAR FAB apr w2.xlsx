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PC\PPC Department\BC SAI\BC 120D,602W,930B,819W,766W,891W\SPP\2026\3. MAR\"/>
    </mc:Choice>
  </mc:AlternateContent>
  <bookViews>
    <workbookView xWindow="-120" yWindow="-120" windowWidth="21840" windowHeight="13140" firstSheet="5" activeTab="8"/>
  </bookViews>
  <sheets>
    <sheet name="Sheet1" sheetId="1" state="veryHidden" r:id="rId1"/>
    <sheet name="XXXXXX" sheetId="20" state="veryHidden" r:id="rId2"/>
    <sheet name="XXXXXXXX" sheetId="24" state="veryHidden" r:id="rId3"/>
    <sheet name="XXXXXXXXXX" sheetId="25" state="veryHidden" r:id="rId4"/>
    <sheet name="XXXXXXXXX0" sheetId="26" state="veryHidden" r:id="rId5"/>
    <sheet name="QTY " sheetId="32" r:id="rId6"/>
    <sheet name="GUM UMH" sheetId="36" r:id="rId7"/>
    <sheet name="AS400 JEMBATAN" sheetId="37" r:id="rId8"/>
    <sheet name="AS400 TRANSFER" sheetId="39" r:id="rId9"/>
    <sheet name="WEEK" sheetId="38" r:id="rId10"/>
    <sheet name="AS400" sheetId="31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xlnm._FilterDatabase" localSheetId="7" hidden="1">'AS400 JEMBATAN'!$C$1:$C$59</definedName>
    <definedName name="_xlnm._FilterDatabase" localSheetId="5" hidden="1">'QTY '!$G$1:$G$109</definedName>
    <definedName name="_xlnm.Print_Area" localSheetId="10">'AS400'!$A$1:$BL$182</definedName>
    <definedName name="_xlnm.Print_Area" localSheetId="6">'GUM UMH'!$A$1:$AG$90</definedName>
    <definedName name="_xlnm.Print_Area" localSheetId="5">'QTY '!$A$1:$AD$88</definedName>
    <definedName name="_xlnm.Print_Titles" localSheetId="10">'AS400'!$6:$8</definedName>
    <definedName name="_xlnm.Print_Titles" localSheetId="6">'GUM UMH'!$6:$8</definedName>
    <definedName name="_xlnm.Print_Titles" localSheetId="5">'QTY '!$6:$8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84" i="37" l="1"/>
  <c r="AH84" i="37"/>
  <c r="AG84" i="37"/>
  <c r="AF84" i="37"/>
  <c r="AE84" i="37"/>
  <c r="AI83" i="37"/>
  <c r="AH83" i="37"/>
  <c r="AG83" i="37"/>
  <c r="AF83" i="37"/>
  <c r="AE83" i="37"/>
  <c r="AI82" i="37"/>
  <c r="AH82" i="37"/>
  <c r="AG82" i="37"/>
  <c r="AF82" i="37"/>
  <c r="AE82" i="37"/>
  <c r="AI81" i="37"/>
  <c r="AH81" i="37"/>
  <c r="AG81" i="37"/>
  <c r="AF81" i="37"/>
  <c r="AE81" i="37"/>
  <c r="AI80" i="37"/>
  <c r="AH80" i="37"/>
  <c r="AG80" i="37"/>
  <c r="AF80" i="37"/>
  <c r="AE80" i="37"/>
  <c r="AI79" i="37"/>
  <c r="AH79" i="37"/>
  <c r="AG79" i="37"/>
  <c r="AF79" i="37"/>
  <c r="AE79" i="37"/>
  <c r="AI78" i="37"/>
  <c r="AH78" i="37"/>
  <c r="AG78" i="37"/>
  <c r="AF78" i="37"/>
  <c r="AE78" i="37"/>
  <c r="AI77" i="37"/>
  <c r="AH77" i="37"/>
  <c r="AG77" i="37"/>
  <c r="AF77" i="37"/>
  <c r="AE77" i="37"/>
  <c r="AI76" i="37"/>
  <c r="AH76" i="37"/>
  <c r="AG76" i="37"/>
  <c r="AF76" i="37"/>
  <c r="AE76" i="37"/>
  <c r="AI75" i="37"/>
  <c r="AH75" i="37"/>
  <c r="AG75" i="37"/>
  <c r="AF75" i="37"/>
  <c r="AE75" i="37"/>
  <c r="AI74" i="37"/>
  <c r="AH74" i="37"/>
  <c r="AG74" i="37"/>
  <c r="AF74" i="37"/>
  <c r="AE74" i="37"/>
  <c r="AI73" i="37"/>
  <c r="AH73" i="37"/>
  <c r="AG73" i="37"/>
  <c r="AF73" i="37"/>
  <c r="AE73" i="37"/>
  <c r="AI72" i="37"/>
  <c r="AH72" i="37"/>
  <c r="AG72" i="37"/>
  <c r="AF72" i="37"/>
  <c r="AE72" i="37"/>
  <c r="AI71" i="37"/>
  <c r="AH71" i="37"/>
  <c r="AG71" i="37"/>
  <c r="AF71" i="37"/>
  <c r="AE71" i="37"/>
  <c r="AI70" i="37"/>
  <c r="AH70" i="37"/>
  <c r="AG70" i="37"/>
  <c r="AF70" i="37"/>
  <c r="AE70" i="37"/>
  <c r="AI69" i="37"/>
  <c r="AH69" i="37"/>
  <c r="AG69" i="37"/>
  <c r="AF69" i="37"/>
  <c r="AE69" i="37"/>
  <c r="AI68" i="37"/>
  <c r="AH68" i="37"/>
  <c r="AG68" i="37"/>
  <c r="AF68" i="37"/>
  <c r="AE68" i="37"/>
  <c r="AI67" i="37"/>
  <c r="AH67" i="37"/>
  <c r="AG67" i="37"/>
  <c r="AF67" i="37"/>
  <c r="AE67" i="37"/>
  <c r="AI66" i="37"/>
  <c r="AH66" i="37"/>
  <c r="AG66" i="37"/>
  <c r="AF66" i="37"/>
  <c r="AE66" i="37"/>
  <c r="AI65" i="37"/>
  <c r="AH65" i="37"/>
  <c r="AG65" i="37"/>
  <c r="AF65" i="37"/>
  <c r="AE65" i="37"/>
  <c r="AI64" i="37"/>
  <c r="AH64" i="37"/>
  <c r="AG64" i="37"/>
  <c r="AF64" i="37"/>
  <c r="AE64" i="37"/>
  <c r="AI63" i="37"/>
  <c r="AH63" i="37"/>
  <c r="AG63" i="37"/>
  <c r="AF63" i="37"/>
  <c r="AE63" i="37"/>
  <c r="AI62" i="37"/>
  <c r="AH62" i="37"/>
  <c r="AG62" i="37"/>
  <c r="AF62" i="37"/>
  <c r="AE62" i="37"/>
  <c r="AI61" i="37"/>
  <c r="AH61" i="37"/>
  <c r="AG61" i="37"/>
  <c r="AF61" i="37"/>
  <c r="AE61" i="37"/>
  <c r="AI60" i="37"/>
  <c r="AH60" i="37"/>
  <c r="AG60" i="37"/>
  <c r="AF60" i="37"/>
  <c r="AE60" i="37"/>
  <c r="AI59" i="37"/>
  <c r="AH59" i="37"/>
  <c r="AG59" i="37"/>
  <c r="AF59" i="37"/>
  <c r="AE59" i="37"/>
  <c r="AI58" i="37"/>
  <c r="AH58" i="37"/>
  <c r="AG58" i="37"/>
  <c r="AF58" i="37"/>
  <c r="AE58" i="37"/>
  <c r="AI57" i="37"/>
  <c r="AH57" i="37"/>
  <c r="AG57" i="37"/>
  <c r="AF57" i="37"/>
  <c r="AE57" i="37"/>
  <c r="AI56" i="37"/>
  <c r="AH56" i="37"/>
  <c r="AG56" i="37"/>
  <c r="AF56" i="37"/>
  <c r="AE56" i="37"/>
  <c r="AI55" i="37"/>
  <c r="AH55" i="37"/>
  <c r="AG55" i="37"/>
  <c r="AF55" i="37"/>
  <c r="AE55" i="37"/>
  <c r="AI54" i="37"/>
  <c r="AH54" i="37"/>
  <c r="AG54" i="37"/>
  <c r="AF54" i="37"/>
  <c r="AE54" i="37"/>
  <c r="AI53" i="37"/>
  <c r="AH53" i="37"/>
  <c r="AG53" i="37"/>
  <c r="AF53" i="37"/>
  <c r="AE53" i="37"/>
  <c r="AI52" i="37"/>
  <c r="AH52" i="37"/>
  <c r="AG52" i="37"/>
  <c r="AF52" i="37"/>
  <c r="AE52" i="37"/>
  <c r="AI51" i="37"/>
  <c r="AH51" i="37"/>
  <c r="AG51" i="37"/>
  <c r="AF51" i="37"/>
  <c r="AE51" i="37"/>
  <c r="AI50" i="37"/>
  <c r="AH50" i="37"/>
  <c r="AG50" i="37"/>
  <c r="AF50" i="37"/>
  <c r="AE50" i="37"/>
  <c r="AI49" i="37"/>
  <c r="AH49" i="37"/>
  <c r="AG49" i="37"/>
  <c r="AF49" i="37"/>
  <c r="AE49" i="37"/>
  <c r="AI48" i="37"/>
  <c r="AH48" i="37"/>
  <c r="AG48" i="37"/>
  <c r="AF48" i="37"/>
  <c r="AE48" i="37"/>
  <c r="AI47" i="37"/>
  <c r="AH47" i="37"/>
  <c r="AG47" i="37"/>
  <c r="AF47" i="37"/>
  <c r="AE47" i="37"/>
  <c r="AI46" i="37"/>
  <c r="AH46" i="37"/>
  <c r="AG46" i="37"/>
  <c r="AF46" i="37"/>
  <c r="AE46" i="37"/>
  <c r="AI45" i="37"/>
  <c r="AH45" i="37"/>
  <c r="AG45" i="37"/>
  <c r="AF45" i="37"/>
  <c r="AE45" i="37"/>
  <c r="AI44" i="37"/>
  <c r="AH44" i="37"/>
  <c r="AG44" i="37"/>
  <c r="AF44" i="37"/>
  <c r="AE44" i="37"/>
  <c r="AI43" i="37"/>
  <c r="AH43" i="37"/>
  <c r="AG43" i="37"/>
  <c r="AF43" i="37"/>
  <c r="AE43" i="37"/>
  <c r="AI42" i="37"/>
  <c r="AH42" i="37"/>
  <c r="AG42" i="37"/>
  <c r="AF42" i="37"/>
  <c r="AE42" i="37"/>
  <c r="AI41" i="37"/>
  <c r="AH41" i="37"/>
  <c r="AG41" i="37"/>
  <c r="AF41" i="37"/>
  <c r="AE41" i="37"/>
  <c r="AI40" i="37"/>
  <c r="AH40" i="37"/>
  <c r="AG40" i="37"/>
  <c r="AF40" i="37"/>
  <c r="AE40" i="37"/>
  <c r="AI39" i="37"/>
  <c r="AH39" i="37"/>
  <c r="AG39" i="37"/>
  <c r="AF39" i="37"/>
  <c r="AE39" i="37"/>
  <c r="AI38" i="37"/>
  <c r="AH38" i="37"/>
  <c r="AG38" i="37"/>
  <c r="AF38" i="37"/>
  <c r="AE38" i="37"/>
  <c r="AI37" i="37"/>
  <c r="AH37" i="37"/>
  <c r="AG37" i="37"/>
  <c r="AF37" i="37"/>
  <c r="AE37" i="37"/>
  <c r="AI36" i="37"/>
  <c r="AH36" i="37"/>
  <c r="AG36" i="37"/>
  <c r="AF36" i="37"/>
  <c r="AE36" i="37"/>
  <c r="AI35" i="37"/>
  <c r="AH35" i="37"/>
  <c r="AG35" i="37"/>
  <c r="AF35" i="37"/>
  <c r="AE35" i="37"/>
  <c r="AI34" i="37"/>
  <c r="AH34" i="37"/>
  <c r="AG34" i="37"/>
  <c r="AF34" i="37"/>
  <c r="AE34" i="37"/>
  <c r="AI33" i="37"/>
  <c r="AH33" i="37"/>
  <c r="AG33" i="37"/>
  <c r="AF33" i="37"/>
  <c r="AE33" i="37"/>
  <c r="AI32" i="37"/>
  <c r="AH32" i="37"/>
  <c r="AG32" i="37"/>
  <c r="AF32" i="37"/>
  <c r="AE32" i="37"/>
  <c r="AI31" i="37"/>
  <c r="AH31" i="37"/>
  <c r="AG31" i="37"/>
  <c r="AF31" i="37"/>
  <c r="AE31" i="37"/>
  <c r="AI30" i="37"/>
  <c r="AH30" i="37"/>
  <c r="AG30" i="37"/>
  <c r="AF30" i="37"/>
  <c r="AE30" i="37"/>
  <c r="AI29" i="37"/>
  <c r="AH29" i="37"/>
  <c r="AG29" i="37"/>
  <c r="AF29" i="37"/>
  <c r="AE29" i="37"/>
  <c r="AI28" i="37"/>
  <c r="AH28" i="37"/>
  <c r="AG28" i="37"/>
  <c r="AF28" i="37"/>
  <c r="AE28" i="37"/>
  <c r="AI27" i="37"/>
  <c r="AH27" i="37"/>
  <c r="AG27" i="37"/>
  <c r="AF27" i="37"/>
  <c r="AE27" i="37"/>
  <c r="AI26" i="37"/>
  <c r="AH26" i="37"/>
  <c r="AG26" i="37"/>
  <c r="AF26" i="37"/>
  <c r="AE26" i="37"/>
  <c r="AI25" i="37"/>
  <c r="AH25" i="37"/>
  <c r="AG25" i="37"/>
  <c r="AF25" i="37"/>
  <c r="AE25" i="37"/>
  <c r="AI24" i="37"/>
  <c r="AH24" i="37"/>
  <c r="AG24" i="37"/>
  <c r="AF24" i="37"/>
  <c r="AE24" i="37"/>
  <c r="AI23" i="37"/>
  <c r="AH23" i="37"/>
  <c r="AG23" i="37"/>
  <c r="AF23" i="37"/>
  <c r="AE23" i="37"/>
  <c r="AI22" i="37"/>
  <c r="AH22" i="37"/>
  <c r="AG22" i="37"/>
  <c r="AF22" i="37"/>
  <c r="AE22" i="37"/>
  <c r="AI21" i="37"/>
  <c r="AH21" i="37"/>
  <c r="AG21" i="37"/>
  <c r="AF21" i="37"/>
  <c r="AE21" i="37"/>
  <c r="AI20" i="37"/>
  <c r="AH20" i="37"/>
  <c r="AG20" i="37"/>
  <c r="AF20" i="37"/>
  <c r="AE20" i="37"/>
  <c r="AI19" i="37"/>
  <c r="AH19" i="37"/>
  <c r="AG19" i="37"/>
  <c r="AF19" i="37"/>
  <c r="AE19" i="37"/>
  <c r="AI18" i="37"/>
  <c r="AH18" i="37"/>
  <c r="AG18" i="37"/>
  <c r="AF18" i="37"/>
  <c r="AE18" i="37"/>
  <c r="AI17" i="37"/>
  <c r="AH17" i="37"/>
  <c r="AG17" i="37"/>
  <c r="AF17" i="37"/>
  <c r="AE17" i="37"/>
  <c r="AI16" i="37"/>
  <c r="AH16" i="37"/>
  <c r="AG16" i="37"/>
  <c r="AF16" i="37"/>
  <c r="AE16" i="37"/>
  <c r="AI15" i="37"/>
  <c r="AH15" i="37"/>
  <c r="AG15" i="37"/>
  <c r="AF15" i="37"/>
  <c r="AE15" i="37"/>
  <c r="AI14" i="37"/>
  <c r="AH14" i="37"/>
  <c r="AG14" i="37"/>
  <c r="AF14" i="37"/>
  <c r="AE14" i="37"/>
  <c r="AI13" i="37"/>
  <c r="AH13" i="37"/>
  <c r="AG13" i="37"/>
  <c r="AF13" i="37"/>
  <c r="AE13" i="37"/>
  <c r="AI12" i="37"/>
  <c r="AH12" i="37"/>
  <c r="AG12" i="37"/>
  <c r="AF12" i="37"/>
  <c r="AE12" i="37"/>
  <c r="AI11" i="37"/>
  <c r="AH11" i="37"/>
  <c r="AG11" i="37"/>
  <c r="AF11" i="37"/>
  <c r="AE11" i="37"/>
  <c r="AI10" i="37"/>
  <c r="AH10" i="37"/>
  <c r="AG10" i="37"/>
  <c r="AF10" i="37"/>
  <c r="AE10" i="37"/>
  <c r="AI9" i="37"/>
  <c r="AH9" i="37"/>
  <c r="AG9" i="37"/>
  <c r="AF9" i="37"/>
  <c r="AE9" i="37"/>
  <c r="Z84" i="37"/>
  <c r="Y84" i="37"/>
  <c r="X84" i="37"/>
  <c r="W84" i="37"/>
  <c r="V84" i="37"/>
  <c r="Z83" i="37"/>
  <c r="Y83" i="37"/>
  <c r="X83" i="37"/>
  <c r="W83" i="37"/>
  <c r="V83" i="37"/>
  <c r="Z82" i="37"/>
  <c r="Y82" i="37"/>
  <c r="X82" i="37"/>
  <c r="W82" i="37"/>
  <c r="V82" i="37"/>
  <c r="Z81" i="37"/>
  <c r="Y81" i="37"/>
  <c r="X81" i="37"/>
  <c r="W81" i="37"/>
  <c r="V81" i="37"/>
  <c r="Z80" i="37"/>
  <c r="Y80" i="37"/>
  <c r="X80" i="37"/>
  <c r="W80" i="37"/>
  <c r="V80" i="37"/>
  <c r="Z79" i="37"/>
  <c r="Y79" i="37"/>
  <c r="X79" i="37"/>
  <c r="W79" i="37"/>
  <c r="V79" i="37"/>
  <c r="Z78" i="37"/>
  <c r="Y78" i="37"/>
  <c r="X78" i="37"/>
  <c r="W78" i="37"/>
  <c r="V78" i="37"/>
  <c r="Z77" i="37"/>
  <c r="Y77" i="37"/>
  <c r="X77" i="37"/>
  <c r="W77" i="37"/>
  <c r="V77" i="37"/>
  <c r="Z76" i="37"/>
  <c r="Y76" i="37"/>
  <c r="X76" i="37"/>
  <c r="W76" i="37"/>
  <c r="V76" i="37"/>
  <c r="Z75" i="37"/>
  <c r="Y75" i="37"/>
  <c r="X75" i="37"/>
  <c r="W75" i="37"/>
  <c r="V75" i="37"/>
  <c r="Z74" i="37"/>
  <c r="Y74" i="37"/>
  <c r="X74" i="37"/>
  <c r="W74" i="37"/>
  <c r="V74" i="37"/>
  <c r="Z73" i="37"/>
  <c r="Y73" i="37"/>
  <c r="X73" i="37"/>
  <c r="W73" i="37"/>
  <c r="V73" i="37"/>
  <c r="Z72" i="37"/>
  <c r="Y72" i="37"/>
  <c r="X72" i="37"/>
  <c r="W72" i="37"/>
  <c r="V72" i="37"/>
  <c r="Z71" i="37"/>
  <c r="Y71" i="37"/>
  <c r="X71" i="37"/>
  <c r="W71" i="37"/>
  <c r="V71" i="37"/>
  <c r="Z70" i="37"/>
  <c r="Y70" i="37"/>
  <c r="X70" i="37"/>
  <c r="W70" i="37"/>
  <c r="V70" i="37"/>
  <c r="Z69" i="37"/>
  <c r="Y69" i="37"/>
  <c r="X69" i="37"/>
  <c r="W69" i="37"/>
  <c r="V69" i="37"/>
  <c r="Z68" i="37"/>
  <c r="Y68" i="37"/>
  <c r="X68" i="37"/>
  <c r="W68" i="37"/>
  <c r="V68" i="37"/>
  <c r="Z67" i="37"/>
  <c r="Y67" i="37"/>
  <c r="X67" i="37"/>
  <c r="W67" i="37"/>
  <c r="V67" i="37"/>
  <c r="Z66" i="37"/>
  <c r="Y66" i="37"/>
  <c r="X66" i="37"/>
  <c r="W66" i="37"/>
  <c r="V66" i="37"/>
  <c r="Z65" i="37"/>
  <c r="Y65" i="37"/>
  <c r="X65" i="37"/>
  <c r="W65" i="37"/>
  <c r="V65" i="37"/>
  <c r="Z64" i="37"/>
  <c r="Y64" i="37"/>
  <c r="X64" i="37"/>
  <c r="W64" i="37"/>
  <c r="V64" i="37"/>
  <c r="Z63" i="37"/>
  <c r="Y63" i="37"/>
  <c r="X63" i="37"/>
  <c r="W63" i="37"/>
  <c r="V63" i="37"/>
  <c r="Z62" i="37"/>
  <c r="Y62" i="37"/>
  <c r="X62" i="37"/>
  <c r="W62" i="37"/>
  <c r="V62" i="37"/>
  <c r="Z61" i="37"/>
  <c r="Y61" i="37"/>
  <c r="X61" i="37"/>
  <c r="W61" i="37"/>
  <c r="V61" i="37"/>
  <c r="Z60" i="37"/>
  <c r="Y60" i="37"/>
  <c r="X60" i="37"/>
  <c r="W60" i="37"/>
  <c r="V60" i="37"/>
  <c r="Z59" i="37"/>
  <c r="Y59" i="37"/>
  <c r="X59" i="37"/>
  <c r="W59" i="37"/>
  <c r="V59" i="37"/>
  <c r="Z58" i="37"/>
  <c r="Y58" i="37"/>
  <c r="X58" i="37"/>
  <c r="W58" i="37"/>
  <c r="V58" i="37"/>
  <c r="Z57" i="37"/>
  <c r="Y57" i="37"/>
  <c r="X57" i="37"/>
  <c r="W57" i="37"/>
  <c r="V57" i="37"/>
  <c r="Z56" i="37"/>
  <c r="Y56" i="37"/>
  <c r="X56" i="37"/>
  <c r="W56" i="37"/>
  <c r="V56" i="37"/>
  <c r="Z55" i="37"/>
  <c r="Y55" i="37"/>
  <c r="X55" i="37"/>
  <c r="W55" i="37"/>
  <c r="V55" i="37"/>
  <c r="Z54" i="37"/>
  <c r="Y54" i="37"/>
  <c r="X54" i="37"/>
  <c r="W54" i="37"/>
  <c r="V54" i="37"/>
  <c r="Z53" i="37"/>
  <c r="Y53" i="37"/>
  <c r="X53" i="37"/>
  <c r="W53" i="37"/>
  <c r="V53" i="37"/>
  <c r="Z52" i="37"/>
  <c r="Y52" i="37"/>
  <c r="X52" i="37"/>
  <c r="W52" i="37"/>
  <c r="V52" i="37"/>
  <c r="Z51" i="37"/>
  <c r="Y51" i="37"/>
  <c r="X51" i="37"/>
  <c r="W51" i="37"/>
  <c r="V51" i="37"/>
  <c r="Z50" i="37"/>
  <c r="Y50" i="37"/>
  <c r="X50" i="37"/>
  <c r="W50" i="37"/>
  <c r="V50" i="37"/>
  <c r="Z49" i="37"/>
  <c r="Y49" i="37"/>
  <c r="X49" i="37"/>
  <c r="W49" i="37"/>
  <c r="V49" i="37"/>
  <c r="Z48" i="37"/>
  <c r="Y48" i="37"/>
  <c r="X48" i="37"/>
  <c r="W48" i="37"/>
  <c r="V48" i="37"/>
  <c r="Z47" i="37"/>
  <c r="Y47" i="37"/>
  <c r="X47" i="37"/>
  <c r="W47" i="37"/>
  <c r="V47" i="37"/>
  <c r="Z46" i="37"/>
  <c r="Y46" i="37"/>
  <c r="X46" i="37"/>
  <c r="W46" i="37"/>
  <c r="V46" i="37"/>
  <c r="Z45" i="37"/>
  <c r="Y45" i="37"/>
  <c r="X45" i="37"/>
  <c r="W45" i="37"/>
  <c r="V45" i="37"/>
  <c r="Z44" i="37"/>
  <c r="Y44" i="37"/>
  <c r="X44" i="37"/>
  <c r="W44" i="37"/>
  <c r="V44" i="37"/>
  <c r="Z43" i="37"/>
  <c r="Y43" i="37"/>
  <c r="X43" i="37"/>
  <c r="W43" i="37"/>
  <c r="V43" i="37"/>
  <c r="Z42" i="37"/>
  <c r="Y42" i="37"/>
  <c r="X42" i="37"/>
  <c r="W42" i="37"/>
  <c r="V42" i="37"/>
  <c r="Z41" i="37"/>
  <c r="Y41" i="37"/>
  <c r="X41" i="37"/>
  <c r="W41" i="37"/>
  <c r="V41" i="37"/>
  <c r="Z40" i="37"/>
  <c r="Y40" i="37"/>
  <c r="X40" i="37"/>
  <c r="W40" i="37"/>
  <c r="V40" i="37"/>
  <c r="Z39" i="37"/>
  <c r="Y39" i="37"/>
  <c r="X39" i="37"/>
  <c r="W39" i="37"/>
  <c r="V39" i="37"/>
  <c r="Z38" i="37"/>
  <c r="Y38" i="37"/>
  <c r="X38" i="37"/>
  <c r="W38" i="37"/>
  <c r="V38" i="37"/>
  <c r="Z37" i="37"/>
  <c r="Y37" i="37"/>
  <c r="X37" i="37"/>
  <c r="W37" i="37"/>
  <c r="V37" i="37"/>
  <c r="Z36" i="37"/>
  <c r="Y36" i="37"/>
  <c r="X36" i="37"/>
  <c r="W36" i="37"/>
  <c r="V36" i="37"/>
  <c r="Z35" i="37"/>
  <c r="Y35" i="37"/>
  <c r="X35" i="37"/>
  <c r="W35" i="37"/>
  <c r="V35" i="37"/>
  <c r="Z34" i="37"/>
  <c r="Y34" i="37"/>
  <c r="X34" i="37"/>
  <c r="W34" i="37"/>
  <c r="V34" i="37"/>
  <c r="Z33" i="37"/>
  <c r="Y33" i="37"/>
  <c r="X33" i="37"/>
  <c r="W33" i="37"/>
  <c r="V33" i="37"/>
  <c r="Z32" i="37"/>
  <c r="Y32" i="37"/>
  <c r="X32" i="37"/>
  <c r="W32" i="37"/>
  <c r="V32" i="37"/>
  <c r="Z31" i="37"/>
  <c r="Y31" i="37"/>
  <c r="X31" i="37"/>
  <c r="W31" i="37"/>
  <c r="V31" i="37"/>
  <c r="Z30" i="37"/>
  <c r="Y30" i="37"/>
  <c r="X30" i="37"/>
  <c r="W30" i="37"/>
  <c r="V30" i="37"/>
  <c r="Z29" i="37"/>
  <c r="Y29" i="37"/>
  <c r="X29" i="37"/>
  <c r="W29" i="37"/>
  <c r="V29" i="37"/>
  <c r="Z28" i="37"/>
  <c r="Y28" i="37"/>
  <c r="X28" i="37"/>
  <c r="W28" i="37"/>
  <c r="V28" i="37"/>
  <c r="Z27" i="37"/>
  <c r="Y27" i="37"/>
  <c r="X27" i="37"/>
  <c r="W27" i="37"/>
  <c r="V27" i="37"/>
  <c r="Z26" i="37"/>
  <c r="Y26" i="37"/>
  <c r="X26" i="37"/>
  <c r="W26" i="37"/>
  <c r="V26" i="37"/>
  <c r="Z25" i="37"/>
  <c r="Y25" i="37"/>
  <c r="X25" i="37"/>
  <c r="W25" i="37"/>
  <c r="V25" i="37"/>
  <c r="Z24" i="37"/>
  <c r="Y24" i="37"/>
  <c r="X24" i="37"/>
  <c r="W24" i="37"/>
  <c r="V24" i="37"/>
  <c r="Z23" i="37"/>
  <c r="Y23" i="37"/>
  <c r="X23" i="37"/>
  <c r="W23" i="37"/>
  <c r="V23" i="37"/>
  <c r="Z22" i="37"/>
  <c r="Y22" i="37"/>
  <c r="X22" i="37"/>
  <c r="W22" i="37"/>
  <c r="V22" i="37"/>
  <c r="Z21" i="37"/>
  <c r="Y21" i="37"/>
  <c r="X21" i="37"/>
  <c r="W21" i="37"/>
  <c r="V21" i="37"/>
  <c r="Z20" i="37"/>
  <c r="Y20" i="37"/>
  <c r="X20" i="37"/>
  <c r="W20" i="37"/>
  <c r="V20" i="37"/>
  <c r="Z19" i="37"/>
  <c r="Y19" i="37"/>
  <c r="X19" i="37"/>
  <c r="W19" i="37"/>
  <c r="V19" i="37"/>
  <c r="Z18" i="37"/>
  <c r="Y18" i="37"/>
  <c r="X18" i="37"/>
  <c r="W18" i="37"/>
  <c r="V18" i="37"/>
  <c r="Z17" i="37"/>
  <c r="Y17" i="37"/>
  <c r="X17" i="37"/>
  <c r="W17" i="37"/>
  <c r="V17" i="37"/>
  <c r="Z16" i="37"/>
  <c r="Y16" i="37"/>
  <c r="X16" i="37"/>
  <c r="W16" i="37"/>
  <c r="V16" i="37"/>
  <c r="Z15" i="37"/>
  <c r="Y15" i="37"/>
  <c r="X15" i="37"/>
  <c r="W15" i="37"/>
  <c r="V15" i="37"/>
  <c r="Z14" i="37"/>
  <c r="Y14" i="37"/>
  <c r="X14" i="37"/>
  <c r="W14" i="37"/>
  <c r="V14" i="37"/>
  <c r="Z13" i="37"/>
  <c r="Y13" i="37"/>
  <c r="X13" i="37"/>
  <c r="W13" i="37"/>
  <c r="V13" i="37"/>
  <c r="Z12" i="37"/>
  <c r="Y12" i="37"/>
  <c r="X12" i="37"/>
  <c r="W12" i="37"/>
  <c r="V12" i="37"/>
  <c r="Z11" i="37"/>
  <c r="Y11" i="37"/>
  <c r="X11" i="37"/>
  <c r="W11" i="37"/>
  <c r="V11" i="37"/>
  <c r="Z10" i="37"/>
  <c r="Y10" i="37"/>
  <c r="X10" i="37"/>
  <c r="W10" i="37"/>
  <c r="V10" i="37"/>
  <c r="Z9" i="37"/>
  <c r="Y9" i="37"/>
  <c r="X9" i="37"/>
  <c r="W9" i="37"/>
  <c r="V9" i="37"/>
  <c r="Q84" i="37"/>
  <c r="P84" i="37"/>
  <c r="O84" i="37"/>
  <c r="N84" i="37"/>
  <c r="M84" i="37"/>
  <c r="Q83" i="37"/>
  <c r="P83" i="37"/>
  <c r="O83" i="37"/>
  <c r="N83" i="37"/>
  <c r="M83" i="37"/>
  <c r="Q82" i="37"/>
  <c r="P82" i="37"/>
  <c r="O82" i="37"/>
  <c r="N82" i="37"/>
  <c r="M82" i="37"/>
  <c r="Q81" i="37"/>
  <c r="P81" i="37"/>
  <c r="O81" i="37"/>
  <c r="N81" i="37"/>
  <c r="M81" i="37"/>
  <c r="Q80" i="37"/>
  <c r="P80" i="37"/>
  <c r="O80" i="37"/>
  <c r="N80" i="37"/>
  <c r="M80" i="37"/>
  <c r="Q79" i="37"/>
  <c r="P79" i="37"/>
  <c r="O79" i="37"/>
  <c r="N79" i="37"/>
  <c r="M79" i="37"/>
  <c r="Q78" i="37"/>
  <c r="P78" i="37"/>
  <c r="O78" i="37"/>
  <c r="N78" i="37"/>
  <c r="M78" i="37"/>
  <c r="Q77" i="37"/>
  <c r="P77" i="37"/>
  <c r="O77" i="37"/>
  <c r="N77" i="37"/>
  <c r="M77" i="37"/>
  <c r="Q76" i="37"/>
  <c r="P76" i="37"/>
  <c r="O76" i="37"/>
  <c r="N76" i="37"/>
  <c r="M76" i="37"/>
  <c r="Q75" i="37"/>
  <c r="P75" i="37"/>
  <c r="O75" i="37"/>
  <c r="N75" i="37"/>
  <c r="M75" i="37"/>
  <c r="Q74" i="37"/>
  <c r="P74" i="37"/>
  <c r="O74" i="37"/>
  <c r="N74" i="37"/>
  <c r="M74" i="37"/>
  <c r="Q73" i="37"/>
  <c r="P73" i="37"/>
  <c r="O73" i="37"/>
  <c r="N73" i="37"/>
  <c r="M73" i="37"/>
  <c r="Q72" i="37"/>
  <c r="P72" i="37"/>
  <c r="O72" i="37"/>
  <c r="N72" i="37"/>
  <c r="M72" i="37"/>
  <c r="Q71" i="37"/>
  <c r="P71" i="37"/>
  <c r="O71" i="37"/>
  <c r="N71" i="37"/>
  <c r="M71" i="37"/>
  <c r="Q70" i="37"/>
  <c r="P70" i="37"/>
  <c r="O70" i="37"/>
  <c r="N70" i="37"/>
  <c r="M70" i="37"/>
  <c r="Q69" i="37"/>
  <c r="P69" i="37"/>
  <c r="O69" i="37"/>
  <c r="N69" i="37"/>
  <c r="M69" i="37"/>
  <c r="Q68" i="37"/>
  <c r="P68" i="37"/>
  <c r="O68" i="37"/>
  <c r="N68" i="37"/>
  <c r="M68" i="37"/>
  <c r="Q67" i="37"/>
  <c r="P67" i="37"/>
  <c r="O67" i="37"/>
  <c r="N67" i="37"/>
  <c r="M67" i="37"/>
  <c r="Q66" i="37"/>
  <c r="P66" i="37"/>
  <c r="O66" i="37"/>
  <c r="N66" i="37"/>
  <c r="M66" i="37"/>
  <c r="Q65" i="37"/>
  <c r="P65" i="37"/>
  <c r="O65" i="37"/>
  <c r="N65" i="37"/>
  <c r="M65" i="37"/>
  <c r="Q64" i="37"/>
  <c r="P64" i="37"/>
  <c r="O64" i="37"/>
  <c r="N64" i="37"/>
  <c r="M64" i="37"/>
  <c r="Q63" i="37"/>
  <c r="P63" i="37"/>
  <c r="O63" i="37"/>
  <c r="N63" i="37"/>
  <c r="M63" i="37"/>
  <c r="Q62" i="37"/>
  <c r="P62" i="37"/>
  <c r="O62" i="37"/>
  <c r="N62" i="37"/>
  <c r="M62" i="37"/>
  <c r="Q61" i="37"/>
  <c r="P61" i="37"/>
  <c r="O61" i="37"/>
  <c r="N61" i="37"/>
  <c r="M61" i="37"/>
  <c r="Q60" i="37"/>
  <c r="P60" i="37"/>
  <c r="O60" i="37"/>
  <c r="N60" i="37"/>
  <c r="M60" i="37"/>
  <c r="Q59" i="37"/>
  <c r="P59" i="37"/>
  <c r="O59" i="37"/>
  <c r="N59" i="37"/>
  <c r="M59" i="37"/>
  <c r="Q58" i="37"/>
  <c r="P58" i="37"/>
  <c r="O58" i="37"/>
  <c r="N58" i="37"/>
  <c r="M58" i="37"/>
  <c r="Q57" i="37"/>
  <c r="P57" i="37"/>
  <c r="O57" i="37"/>
  <c r="N57" i="37"/>
  <c r="M57" i="37"/>
  <c r="Q56" i="37"/>
  <c r="P56" i="37"/>
  <c r="O56" i="37"/>
  <c r="N56" i="37"/>
  <c r="M56" i="37"/>
  <c r="Q55" i="37"/>
  <c r="P55" i="37"/>
  <c r="O55" i="37"/>
  <c r="N55" i="37"/>
  <c r="M55" i="37"/>
  <c r="Q54" i="37"/>
  <c r="P54" i="37"/>
  <c r="O54" i="37"/>
  <c r="N54" i="37"/>
  <c r="M54" i="37"/>
  <c r="Q53" i="37"/>
  <c r="P53" i="37"/>
  <c r="O53" i="37"/>
  <c r="N53" i="37"/>
  <c r="M53" i="37"/>
  <c r="Q52" i="37"/>
  <c r="P52" i="37"/>
  <c r="O52" i="37"/>
  <c r="N52" i="37"/>
  <c r="M52" i="37"/>
  <c r="Q51" i="37"/>
  <c r="P51" i="37"/>
  <c r="O51" i="37"/>
  <c r="N51" i="37"/>
  <c r="M51" i="37"/>
  <c r="Q50" i="37"/>
  <c r="P50" i="37"/>
  <c r="O50" i="37"/>
  <c r="N50" i="37"/>
  <c r="M50" i="37"/>
  <c r="Q49" i="37"/>
  <c r="P49" i="37"/>
  <c r="O49" i="37"/>
  <c r="N49" i="37"/>
  <c r="M49" i="37"/>
  <c r="Q48" i="37"/>
  <c r="P48" i="37"/>
  <c r="O48" i="37"/>
  <c r="N48" i="37"/>
  <c r="M48" i="37"/>
  <c r="Q47" i="37"/>
  <c r="P47" i="37"/>
  <c r="O47" i="37"/>
  <c r="N47" i="37"/>
  <c r="M47" i="37"/>
  <c r="Q46" i="37"/>
  <c r="P46" i="37"/>
  <c r="O46" i="37"/>
  <c r="N46" i="37"/>
  <c r="M46" i="37"/>
  <c r="Q45" i="37"/>
  <c r="P45" i="37"/>
  <c r="O45" i="37"/>
  <c r="N45" i="37"/>
  <c r="M45" i="37"/>
  <c r="Q44" i="37"/>
  <c r="P44" i="37"/>
  <c r="O44" i="37"/>
  <c r="N44" i="37"/>
  <c r="M44" i="37"/>
  <c r="Q43" i="37"/>
  <c r="P43" i="37"/>
  <c r="O43" i="37"/>
  <c r="N43" i="37"/>
  <c r="M43" i="37"/>
  <c r="Q42" i="37"/>
  <c r="P42" i="37"/>
  <c r="O42" i="37"/>
  <c r="N42" i="37"/>
  <c r="M42" i="37"/>
  <c r="Q41" i="37"/>
  <c r="P41" i="37"/>
  <c r="O41" i="37"/>
  <c r="N41" i="37"/>
  <c r="M41" i="37"/>
  <c r="Q40" i="37"/>
  <c r="P40" i="37"/>
  <c r="O40" i="37"/>
  <c r="N40" i="37"/>
  <c r="M40" i="37"/>
  <c r="Q39" i="37"/>
  <c r="P39" i="37"/>
  <c r="O39" i="37"/>
  <c r="N39" i="37"/>
  <c r="M39" i="37"/>
  <c r="Q38" i="37"/>
  <c r="P38" i="37"/>
  <c r="O38" i="37"/>
  <c r="N38" i="37"/>
  <c r="M38" i="37"/>
  <c r="Q37" i="37"/>
  <c r="P37" i="37"/>
  <c r="O37" i="37"/>
  <c r="N37" i="37"/>
  <c r="M37" i="37"/>
  <c r="Q36" i="37"/>
  <c r="P36" i="37"/>
  <c r="O36" i="37"/>
  <c r="N36" i="37"/>
  <c r="M36" i="37"/>
  <c r="Q35" i="37"/>
  <c r="P35" i="37"/>
  <c r="O35" i="37"/>
  <c r="N35" i="37"/>
  <c r="M35" i="37"/>
  <c r="Q34" i="37"/>
  <c r="P34" i="37"/>
  <c r="O34" i="37"/>
  <c r="N34" i="37"/>
  <c r="M34" i="37"/>
  <c r="Q33" i="37"/>
  <c r="P33" i="37"/>
  <c r="O33" i="37"/>
  <c r="N33" i="37"/>
  <c r="M33" i="37"/>
  <c r="Q32" i="37"/>
  <c r="P32" i="37"/>
  <c r="O32" i="37"/>
  <c r="N32" i="37"/>
  <c r="M32" i="37"/>
  <c r="Q31" i="37"/>
  <c r="P31" i="37"/>
  <c r="O31" i="37"/>
  <c r="N31" i="37"/>
  <c r="M31" i="37"/>
  <c r="Q30" i="37"/>
  <c r="P30" i="37"/>
  <c r="O30" i="37"/>
  <c r="N30" i="37"/>
  <c r="M30" i="37"/>
  <c r="Q29" i="37"/>
  <c r="P29" i="37"/>
  <c r="O29" i="37"/>
  <c r="N29" i="37"/>
  <c r="M29" i="37"/>
  <c r="Q28" i="37"/>
  <c r="P28" i="37"/>
  <c r="O28" i="37"/>
  <c r="N28" i="37"/>
  <c r="M28" i="37"/>
  <c r="Q27" i="37"/>
  <c r="P27" i="37"/>
  <c r="O27" i="37"/>
  <c r="N27" i="37"/>
  <c r="M27" i="37"/>
  <c r="Q26" i="37"/>
  <c r="P26" i="37"/>
  <c r="O26" i="37"/>
  <c r="N26" i="37"/>
  <c r="M26" i="37"/>
  <c r="Q25" i="37"/>
  <c r="P25" i="37"/>
  <c r="O25" i="37"/>
  <c r="N25" i="37"/>
  <c r="M25" i="37"/>
  <c r="Q24" i="37"/>
  <c r="P24" i="37"/>
  <c r="O24" i="37"/>
  <c r="N24" i="37"/>
  <c r="M24" i="37"/>
  <c r="Q23" i="37"/>
  <c r="P23" i="37"/>
  <c r="O23" i="37"/>
  <c r="N23" i="37"/>
  <c r="M23" i="37"/>
  <c r="Q22" i="37"/>
  <c r="P22" i="37"/>
  <c r="O22" i="37"/>
  <c r="N22" i="37"/>
  <c r="M22" i="37"/>
  <c r="Q21" i="37"/>
  <c r="P21" i="37"/>
  <c r="O21" i="37"/>
  <c r="N21" i="37"/>
  <c r="M21" i="37"/>
  <c r="Q20" i="37"/>
  <c r="P20" i="37"/>
  <c r="O20" i="37"/>
  <c r="N20" i="37"/>
  <c r="M20" i="37"/>
  <c r="Q19" i="37"/>
  <c r="P19" i="37"/>
  <c r="O19" i="37"/>
  <c r="N19" i="37"/>
  <c r="M19" i="37"/>
  <c r="Q18" i="37"/>
  <c r="P18" i="37"/>
  <c r="O18" i="37"/>
  <c r="N18" i="37"/>
  <c r="M18" i="37"/>
  <c r="Q17" i="37"/>
  <c r="P17" i="37"/>
  <c r="O17" i="37"/>
  <c r="N17" i="37"/>
  <c r="M17" i="37"/>
  <c r="Q16" i="37"/>
  <c r="P16" i="37"/>
  <c r="O16" i="37"/>
  <c r="N16" i="37"/>
  <c r="M16" i="37"/>
  <c r="Q15" i="37"/>
  <c r="P15" i="37"/>
  <c r="O15" i="37"/>
  <c r="N15" i="37"/>
  <c r="M15" i="37"/>
  <c r="Q14" i="37"/>
  <c r="P14" i="37"/>
  <c r="O14" i="37"/>
  <c r="N14" i="37"/>
  <c r="M14" i="37"/>
  <c r="Q13" i="37"/>
  <c r="P13" i="37"/>
  <c r="O13" i="37"/>
  <c r="N13" i="37"/>
  <c r="M13" i="37"/>
  <c r="Q12" i="37"/>
  <c r="P12" i="37"/>
  <c r="O12" i="37"/>
  <c r="N12" i="37"/>
  <c r="M12" i="37"/>
  <c r="Q11" i="37"/>
  <c r="P11" i="37"/>
  <c r="O11" i="37"/>
  <c r="N11" i="37"/>
  <c r="M11" i="37"/>
  <c r="Q10" i="37"/>
  <c r="P10" i="37"/>
  <c r="O10" i="37"/>
  <c r="N10" i="37"/>
  <c r="M10" i="37"/>
  <c r="Q9" i="37"/>
  <c r="P9" i="37"/>
  <c r="O9" i="37"/>
  <c r="N9" i="37"/>
  <c r="M9" i="37"/>
  <c r="H84" i="37"/>
  <c r="G84" i="37"/>
  <c r="F84" i="37"/>
  <c r="E84" i="37"/>
  <c r="D84" i="37"/>
  <c r="H83" i="37"/>
  <c r="G83" i="37"/>
  <c r="F83" i="37"/>
  <c r="E83" i="37"/>
  <c r="D83" i="37"/>
  <c r="H82" i="37"/>
  <c r="G82" i="37"/>
  <c r="F82" i="37"/>
  <c r="E82" i="37"/>
  <c r="D82" i="37"/>
  <c r="H81" i="37"/>
  <c r="G81" i="37"/>
  <c r="F81" i="37"/>
  <c r="E81" i="37"/>
  <c r="D81" i="37"/>
  <c r="H80" i="37"/>
  <c r="G80" i="37"/>
  <c r="F80" i="37"/>
  <c r="E80" i="37"/>
  <c r="D80" i="37"/>
  <c r="H79" i="37"/>
  <c r="G79" i="37"/>
  <c r="F79" i="37"/>
  <c r="E79" i="37"/>
  <c r="D79" i="37"/>
  <c r="H78" i="37"/>
  <c r="G78" i="37"/>
  <c r="F78" i="37"/>
  <c r="E78" i="37"/>
  <c r="D78" i="37"/>
  <c r="H77" i="37"/>
  <c r="G77" i="37"/>
  <c r="F77" i="37"/>
  <c r="E77" i="37"/>
  <c r="D77" i="37"/>
  <c r="H76" i="37"/>
  <c r="G76" i="37"/>
  <c r="F76" i="37"/>
  <c r="E76" i="37"/>
  <c r="D76" i="37"/>
  <c r="H75" i="37"/>
  <c r="G75" i="37"/>
  <c r="F75" i="37"/>
  <c r="E75" i="37"/>
  <c r="D75" i="37"/>
  <c r="H74" i="37"/>
  <c r="G74" i="37"/>
  <c r="F74" i="37"/>
  <c r="E74" i="37"/>
  <c r="D74" i="37"/>
  <c r="H73" i="37"/>
  <c r="G73" i="37"/>
  <c r="F73" i="37"/>
  <c r="E73" i="37"/>
  <c r="D73" i="37"/>
  <c r="H72" i="37"/>
  <c r="G72" i="37"/>
  <c r="F72" i="37"/>
  <c r="E72" i="37"/>
  <c r="D72" i="37"/>
  <c r="H71" i="37"/>
  <c r="G71" i="37"/>
  <c r="F71" i="37"/>
  <c r="E71" i="37"/>
  <c r="D71" i="37"/>
  <c r="H70" i="37"/>
  <c r="G70" i="37"/>
  <c r="F70" i="37"/>
  <c r="E70" i="37"/>
  <c r="D70" i="37"/>
  <c r="H69" i="37"/>
  <c r="G69" i="37"/>
  <c r="F69" i="37"/>
  <c r="E69" i="37"/>
  <c r="D69" i="37"/>
  <c r="H68" i="37"/>
  <c r="G68" i="37"/>
  <c r="F68" i="37"/>
  <c r="E68" i="37"/>
  <c r="D68" i="37"/>
  <c r="H67" i="37"/>
  <c r="G67" i="37"/>
  <c r="F67" i="37"/>
  <c r="E67" i="37"/>
  <c r="D67" i="37"/>
  <c r="H66" i="37"/>
  <c r="G66" i="37"/>
  <c r="F66" i="37"/>
  <c r="E66" i="37"/>
  <c r="D66" i="37"/>
  <c r="H65" i="37"/>
  <c r="G65" i="37"/>
  <c r="F65" i="37"/>
  <c r="E65" i="37"/>
  <c r="D65" i="37"/>
  <c r="H64" i="37"/>
  <c r="G64" i="37"/>
  <c r="F64" i="37"/>
  <c r="E64" i="37"/>
  <c r="D64" i="37"/>
  <c r="H63" i="37"/>
  <c r="G63" i="37"/>
  <c r="F63" i="37"/>
  <c r="E63" i="37"/>
  <c r="D63" i="37"/>
  <c r="H62" i="37"/>
  <c r="G62" i="37"/>
  <c r="F62" i="37"/>
  <c r="E62" i="37"/>
  <c r="D62" i="37"/>
  <c r="H61" i="37"/>
  <c r="G61" i="37"/>
  <c r="F61" i="37"/>
  <c r="E61" i="37"/>
  <c r="D61" i="37"/>
  <c r="H60" i="37"/>
  <c r="G60" i="37"/>
  <c r="F60" i="37"/>
  <c r="E60" i="37"/>
  <c r="D60" i="37"/>
  <c r="H59" i="37"/>
  <c r="G59" i="37"/>
  <c r="F59" i="37"/>
  <c r="E59" i="37"/>
  <c r="D59" i="37"/>
  <c r="H58" i="37"/>
  <c r="G58" i="37"/>
  <c r="F58" i="37"/>
  <c r="E58" i="37"/>
  <c r="D58" i="37"/>
  <c r="H57" i="37"/>
  <c r="G57" i="37"/>
  <c r="F57" i="37"/>
  <c r="E57" i="37"/>
  <c r="D57" i="37"/>
  <c r="H56" i="37"/>
  <c r="G56" i="37"/>
  <c r="F56" i="37"/>
  <c r="E56" i="37"/>
  <c r="D56" i="37"/>
  <c r="H55" i="37"/>
  <c r="G55" i="37"/>
  <c r="F55" i="37"/>
  <c r="E55" i="37"/>
  <c r="D55" i="37"/>
  <c r="H54" i="37"/>
  <c r="G54" i="37"/>
  <c r="F54" i="37"/>
  <c r="E54" i="37"/>
  <c r="D54" i="37"/>
  <c r="H53" i="37"/>
  <c r="G53" i="37"/>
  <c r="F53" i="37"/>
  <c r="E53" i="37"/>
  <c r="D53" i="37"/>
  <c r="H52" i="37"/>
  <c r="G52" i="37"/>
  <c r="F52" i="37"/>
  <c r="E52" i="37"/>
  <c r="D52" i="37"/>
  <c r="H51" i="37"/>
  <c r="G51" i="37"/>
  <c r="F51" i="37"/>
  <c r="E51" i="37"/>
  <c r="D51" i="37"/>
  <c r="H50" i="37"/>
  <c r="G50" i="37"/>
  <c r="F50" i="37"/>
  <c r="E50" i="37"/>
  <c r="D50" i="37"/>
  <c r="H49" i="37"/>
  <c r="G49" i="37"/>
  <c r="F49" i="37"/>
  <c r="E49" i="37"/>
  <c r="D49" i="37"/>
  <c r="H48" i="37"/>
  <c r="G48" i="37"/>
  <c r="F48" i="37"/>
  <c r="E48" i="37"/>
  <c r="D48" i="37"/>
  <c r="H47" i="37"/>
  <c r="G47" i="37"/>
  <c r="F47" i="37"/>
  <c r="E47" i="37"/>
  <c r="D47" i="37"/>
  <c r="H46" i="37"/>
  <c r="G46" i="37"/>
  <c r="F46" i="37"/>
  <c r="E46" i="37"/>
  <c r="D46" i="37"/>
  <c r="H45" i="37"/>
  <c r="G45" i="37"/>
  <c r="F45" i="37"/>
  <c r="E45" i="37"/>
  <c r="D45" i="37"/>
  <c r="H44" i="37"/>
  <c r="G44" i="37"/>
  <c r="F44" i="37"/>
  <c r="E44" i="37"/>
  <c r="D44" i="37"/>
  <c r="H43" i="37"/>
  <c r="G43" i="37"/>
  <c r="F43" i="37"/>
  <c r="E43" i="37"/>
  <c r="D43" i="37"/>
  <c r="H42" i="37"/>
  <c r="G42" i="37"/>
  <c r="F42" i="37"/>
  <c r="E42" i="37"/>
  <c r="D42" i="37"/>
  <c r="H41" i="37"/>
  <c r="G41" i="37"/>
  <c r="F41" i="37"/>
  <c r="E41" i="37"/>
  <c r="D41" i="37"/>
  <c r="H40" i="37"/>
  <c r="G40" i="37"/>
  <c r="F40" i="37"/>
  <c r="E40" i="37"/>
  <c r="D40" i="37"/>
  <c r="H39" i="37"/>
  <c r="G39" i="37"/>
  <c r="F39" i="37"/>
  <c r="E39" i="37"/>
  <c r="D39" i="37"/>
  <c r="H38" i="37"/>
  <c r="G38" i="37"/>
  <c r="F38" i="37"/>
  <c r="E38" i="37"/>
  <c r="D38" i="37"/>
  <c r="H37" i="37"/>
  <c r="G37" i="37"/>
  <c r="F37" i="37"/>
  <c r="E37" i="37"/>
  <c r="D37" i="37"/>
  <c r="H36" i="37"/>
  <c r="G36" i="37"/>
  <c r="F36" i="37"/>
  <c r="E36" i="37"/>
  <c r="D36" i="37"/>
  <c r="H35" i="37"/>
  <c r="G35" i="37"/>
  <c r="F35" i="37"/>
  <c r="E35" i="37"/>
  <c r="D35" i="37"/>
  <c r="H34" i="37"/>
  <c r="G34" i="37"/>
  <c r="F34" i="37"/>
  <c r="E34" i="37"/>
  <c r="D34" i="37"/>
  <c r="H33" i="37"/>
  <c r="G33" i="37"/>
  <c r="F33" i="37"/>
  <c r="E33" i="37"/>
  <c r="D33" i="37"/>
  <c r="H32" i="37"/>
  <c r="G32" i="37"/>
  <c r="F32" i="37"/>
  <c r="E32" i="37"/>
  <c r="D32" i="37"/>
  <c r="H31" i="37"/>
  <c r="G31" i="37"/>
  <c r="F31" i="37"/>
  <c r="E31" i="37"/>
  <c r="D31" i="37"/>
  <c r="H30" i="37"/>
  <c r="G30" i="37"/>
  <c r="F30" i="37"/>
  <c r="E30" i="37"/>
  <c r="D30" i="37"/>
  <c r="H29" i="37"/>
  <c r="G29" i="37"/>
  <c r="F29" i="37"/>
  <c r="E29" i="37"/>
  <c r="D29" i="37"/>
  <c r="H28" i="37"/>
  <c r="G28" i="37"/>
  <c r="F28" i="37"/>
  <c r="E28" i="37"/>
  <c r="D28" i="37"/>
  <c r="H27" i="37"/>
  <c r="G27" i="37"/>
  <c r="F27" i="37"/>
  <c r="E27" i="37"/>
  <c r="D27" i="37"/>
  <c r="H26" i="37"/>
  <c r="G26" i="37"/>
  <c r="F26" i="37"/>
  <c r="E26" i="37"/>
  <c r="D26" i="37"/>
  <c r="H25" i="37"/>
  <c r="G25" i="37"/>
  <c r="F25" i="37"/>
  <c r="E25" i="37"/>
  <c r="D25" i="37"/>
  <c r="H24" i="37"/>
  <c r="G24" i="37"/>
  <c r="F24" i="37"/>
  <c r="E24" i="37"/>
  <c r="D24" i="37"/>
  <c r="H23" i="37"/>
  <c r="G23" i="37"/>
  <c r="F23" i="37"/>
  <c r="E23" i="37"/>
  <c r="D23" i="37"/>
  <c r="H22" i="37"/>
  <c r="G22" i="37"/>
  <c r="F22" i="37"/>
  <c r="E22" i="37"/>
  <c r="D22" i="37"/>
  <c r="H21" i="37"/>
  <c r="G21" i="37"/>
  <c r="F21" i="37"/>
  <c r="E21" i="37"/>
  <c r="D21" i="37"/>
  <c r="H20" i="37"/>
  <c r="G20" i="37"/>
  <c r="F20" i="37"/>
  <c r="E20" i="37"/>
  <c r="D20" i="37"/>
  <c r="H19" i="37"/>
  <c r="G19" i="37"/>
  <c r="F19" i="37"/>
  <c r="E19" i="37"/>
  <c r="D19" i="37"/>
  <c r="H18" i="37"/>
  <c r="G18" i="37"/>
  <c r="F18" i="37"/>
  <c r="E18" i="37"/>
  <c r="D18" i="37"/>
  <c r="H17" i="37"/>
  <c r="G17" i="37"/>
  <c r="F17" i="37"/>
  <c r="E17" i="37"/>
  <c r="D17" i="37"/>
  <c r="H16" i="37"/>
  <c r="G16" i="37"/>
  <c r="F16" i="37"/>
  <c r="E16" i="37"/>
  <c r="D16" i="37"/>
  <c r="H15" i="37"/>
  <c r="G15" i="37"/>
  <c r="F15" i="37"/>
  <c r="E15" i="37"/>
  <c r="D15" i="37"/>
  <c r="H14" i="37"/>
  <c r="G14" i="37"/>
  <c r="F14" i="37"/>
  <c r="E14" i="37"/>
  <c r="D14" i="37"/>
  <c r="H13" i="37"/>
  <c r="G13" i="37"/>
  <c r="F13" i="37"/>
  <c r="E13" i="37"/>
  <c r="D13" i="37"/>
  <c r="H12" i="37"/>
  <c r="G12" i="37"/>
  <c r="F12" i="37"/>
  <c r="E12" i="37"/>
  <c r="D12" i="37"/>
  <c r="H11" i="37"/>
  <c r="G11" i="37"/>
  <c r="F11" i="37"/>
  <c r="E11" i="37"/>
  <c r="D11" i="37"/>
  <c r="H10" i="37"/>
  <c r="G10" i="37"/>
  <c r="F10" i="37"/>
  <c r="E10" i="37"/>
  <c r="D10" i="37"/>
  <c r="H9" i="37"/>
  <c r="G9" i="37"/>
  <c r="F9" i="37"/>
  <c r="E9" i="37"/>
  <c r="D9" i="37"/>
  <c r="Y84" i="32"/>
  <c r="V84" i="32"/>
  <c r="S84" i="32"/>
  <c r="P84" i="32"/>
  <c r="M84" i="32"/>
  <c r="Y83" i="32"/>
  <c r="V83" i="32"/>
  <c r="S83" i="32"/>
  <c r="P83" i="32"/>
  <c r="M83" i="32"/>
  <c r="Y82" i="32"/>
  <c r="V82" i="32"/>
  <c r="S82" i="32"/>
  <c r="P82" i="32"/>
  <c r="M82" i="32"/>
  <c r="Y81" i="32"/>
  <c r="V81" i="32"/>
  <c r="S81" i="32"/>
  <c r="P81" i="32"/>
  <c r="M81" i="32"/>
  <c r="Y80" i="32"/>
  <c r="V80" i="32"/>
  <c r="S80" i="32"/>
  <c r="P80" i="32"/>
  <c r="M80" i="32"/>
  <c r="Y79" i="32"/>
  <c r="V79" i="32"/>
  <c r="S79" i="32"/>
  <c r="P79" i="32"/>
  <c r="M79" i="32"/>
  <c r="Y78" i="32"/>
  <c r="V78" i="32"/>
  <c r="S78" i="32"/>
  <c r="P78" i="32"/>
  <c r="M78" i="32"/>
  <c r="Y77" i="32"/>
  <c r="V77" i="32"/>
  <c r="S77" i="32"/>
  <c r="P77" i="32"/>
  <c r="M77" i="32"/>
  <c r="Y76" i="32"/>
  <c r="V76" i="32"/>
  <c r="S76" i="32"/>
  <c r="P76" i="32"/>
  <c r="M76" i="32"/>
  <c r="Y75" i="32"/>
  <c r="V75" i="32"/>
  <c r="S75" i="32"/>
  <c r="P75" i="32"/>
  <c r="M75" i="32"/>
  <c r="Y74" i="32"/>
  <c r="V74" i="32"/>
  <c r="S74" i="32"/>
  <c r="P74" i="32"/>
  <c r="M74" i="32"/>
  <c r="Y73" i="32"/>
  <c r="V73" i="32"/>
  <c r="S73" i="32"/>
  <c r="P73" i="32"/>
  <c r="M73" i="32"/>
  <c r="Y72" i="32"/>
  <c r="V72" i="32"/>
  <c r="S72" i="32"/>
  <c r="P72" i="32"/>
  <c r="M72" i="32"/>
  <c r="Y71" i="32"/>
  <c r="V71" i="32"/>
  <c r="S71" i="32"/>
  <c r="P71" i="32"/>
  <c r="M71" i="32"/>
  <c r="Y70" i="32"/>
  <c r="V70" i="32"/>
  <c r="S70" i="32"/>
  <c r="P70" i="32"/>
  <c r="M70" i="32"/>
  <c r="Y69" i="32"/>
  <c r="V69" i="32"/>
  <c r="S69" i="32"/>
  <c r="P69" i="32"/>
  <c r="M69" i="32"/>
  <c r="Y68" i="32"/>
  <c r="V68" i="32"/>
  <c r="S68" i="32"/>
  <c r="P68" i="32"/>
  <c r="M68" i="32"/>
  <c r="Y67" i="32"/>
  <c r="V67" i="32"/>
  <c r="S67" i="32"/>
  <c r="P67" i="32"/>
  <c r="M67" i="32"/>
  <c r="Y66" i="32"/>
  <c r="V66" i="32"/>
  <c r="S66" i="32"/>
  <c r="P66" i="32"/>
  <c r="M66" i="32"/>
  <c r="Y65" i="32"/>
  <c r="V65" i="32"/>
  <c r="S65" i="32"/>
  <c r="P65" i="32"/>
  <c r="M65" i="32"/>
  <c r="Y64" i="32"/>
  <c r="V64" i="32"/>
  <c r="S64" i="32"/>
  <c r="P64" i="32"/>
  <c r="M64" i="32"/>
  <c r="Y63" i="32"/>
  <c r="V63" i="32"/>
  <c r="S63" i="32"/>
  <c r="P63" i="32"/>
  <c r="M63" i="32"/>
  <c r="Y62" i="32"/>
  <c r="V62" i="32"/>
  <c r="S62" i="32"/>
  <c r="P62" i="32"/>
  <c r="M62" i="32"/>
  <c r="Y61" i="32"/>
  <c r="V61" i="32"/>
  <c r="S61" i="32"/>
  <c r="P61" i="32"/>
  <c r="M61" i="32"/>
  <c r="Y60" i="32"/>
  <c r="V60" i="32"/>
  <c r="S60" i="32"/>
  <c r="P60" i="32"/>
  <c r="M60" i="32"/>
  <c r="Y59" i="32"/>
  <c r="V59" i="32"/>
  <c r="S59" i="32"/>
  <c r="P59" i="32"/>
  <c r="M59" i="32"/>
  <c r="Y58" i="32"/>
  <c r="V58" i="32"/>
  <c r="S58" i="32"/>
  <c r="P58" i="32"/>
  <c r="M58" i="32"/>
  <c r="Y57" i="32"/>
  <c r="V57" i="32"/>
  <c r="S57" i="32"/>
  <c r="P57" i="32"/>
  <c r="M57" i="32"/>
  <c r="Y56" i="32"/>
  <c r="V56" i="32"/>
  <c r="S56" i="32"/>
  <c r="P56" i="32"/>
  <c r="M56" i="32"/>
  <c r="Y55" i="32"/>
  <c r="V55" i="32"/>
  <c r="S55" i="32"/>
  <c r="P55" i="32"/>
  <c r="M55" i="32"/>
  <c r="Y54" i="32"/>
  <c r="V54" i="32"/>
  <c r="S54" i="32"/>
  <c r="P54" i="32"/>
  <c r="M54" i="32"/>
  <c r="Y53" i="32"/>
  <c r="V53" i="32"/>
  <c r="S53" i="32"/>
  <c r="P53" i="32"/>
  <c r="M53" i="32"/>
  <c r="Y52" i="32"/>
  <c r="V52" i="32"/>
  <c r="S52" i="32"/>
  <c r="P52" i="32"/>
  <c r="M52" i="32"/>
  <c r="Y51" i="32"/>
  <c r="V51" i="32"/>
  <c r="S51" i="32"/>
  <c r="P51" i="32"/>
  <c r="M51" i="32"/>
  <c r="Y50" i="32"/>
  <c r="V50" i="32"/>
  <c r="S50" i="32"/>
  <c r="P50" i="32"/>
  <c r="M50" i="32"/>
  <c r="Y49" i="32"/>
  <c r="V49" i="32"/>
  <c r="S49" i="32"/>
  <c r="P49" i="32"/>
  <c r="M49" i="32"/>
  <c r="Y48" i="32"/>
  <c r="V48" i="32"/>
  <c r="S48" i="32"/>
  <c r="P48" i="32"/>
  <c r="M48" i="32"/>
  <c r="Y47" i="32"/>
  <c r="V47" i="32"/>
  <c r="S47" i="32"/>
  <c r="P47" i="32"/>
  <c r="M47" i="32"/>
  <c r="Y46" i="32"/>
  <c r="V46" i="32"/>
  <c r="S46" i="32"/>
  <c r="P46" i="32"/>
  <c r="M46" i="32"/>
  <c r="Y45" i="32"/>
  <c r="V45" i="32"/>
  <c r="S45" i="32"/>
  <c r="P45" i="32"/>
  <c r="M45" i="32"/>
  <c r="Y44" i="32"/>
  <c r="V44" i="32"/>
  <c r="S44" i="32"/>
  <c r="P44" i="32"/>
  <c r="M44" i="32"/>
  <c r="Y43" i="32"/>
  <c r="V43" i="32"/>
  <c r="S43" i="32"/>
  <c r="P43" i="32"/>
  <c r="M43" i="32"/>
  <c r="Y42" i="32"/>
  <c r="V42" i="32"/>
  <c r="S42" i="32"/>
  <c r="P42" i="32"/>
  <c r="M42" i="32"/>
  <c r="Y41" i="32"/>
  <c r="V41" i="32"/>
  <c r="S41" i="32"/>
  <c r="P41" i="32"/>
  <c r="M41" i="32"/>
  <c r="Y40" i="32"/>
  <c r="V40" i="32"/>
  <c r="S40" i="32"/>
  <c r="P40" i="32"/>
  <c r="M40" i="32"/>
  <c r="Y39" i="32"/>
  <c r="V39" i="32"/>
  <c r="S39" i="32"/>
  <c r="P39" i="32"/>
  <c r="M39" i="32"/>
  <c r="Y38" i="32"/>
  <c r="V38" i="32"/>
  <c r="S38" i="32"/>
  <c r="P38" i="32"/>
  <c r="M38" i="32"/>
  <c r="Y37" i="32"/>
  <c r="V37" i="32"/>
  <c r="S37" i="32"/>
  <c r="P37" i="32"/>
  <c r="M37" i="32"/>
  <c r="Y36" i="32"/>
  <c r="V36" i="32"/>
  <c r="S36" i="32"/>
  <c r="P36" i="32"/>
  <c r="M36" i="32"/>
  <c r="Y35" i="32"/>
  <c r="V35" i="32"/>
  <c r="S35" i="32"/>
  <c r="P35" i="32"/>
  <c r="M35" i="32"/>
  <c r="Y34" i="32"/>
  <c r="V34" i="32"/>
  <c r="S34" i="32"/>
  <c r="P34" i="32"/>
  <c r="M34" i="32"/>
  <c r="Y33" i="32"/>
  <c r="V33" i="32"/>
  <c r="S33" i="32"/>
  <c r="P33" i="32"/>
  <c r="M33" i="32"/>
  <c r="Y32" i="32"/>
  <c r="V32" i="32"/>
  <c r="S32" i="32"/>
  <c r="P32" i="32"/>
  <c r="M32" i="32"/>
  <c r="Y31" i="32"/>
  <c r="V31" i="32"/>
  <c r="S31" i="32"/>
  <c r="P31" i="32"/>
  <c r="M31" i="32"/>
  <c r="Y30" i="32"/>
  <c r="V30" i="32"/>
  <c r="S30" i="32"/>
  <c r="P30" i="32"/>
  <c r="M30" i="32"/>
  <c r="Y29" i="32"/>
  <c r="V29" i="32"/>
  <c r="S29" i="32"/>
  <c r="P29" i="32"/>
  <c r="M29" i="32"/>
  <c r="Y28" i="32"/>
  <c r="V28" i="32"/>
  <c r="S28" i="32"/>
  <c r="P28" i="32"/>
  <c r="M28" i="32"/>
  <c r="Y27" i="32"/>
  <c r="V27" i="32"/>
  <c r="S27" i="32"/>
  <c r="P27" i="32"/>
  <c r="M27" i="32"/>
  <c r="Y26" i="32"/>
  <c r="V26" i="32"/>
  <c r="S26" i="32"/>
  <c r="P26" i="32"/>
  <c r="M26" i="32"/>
  <c r="Y25" i="32"/>
  <c r="V25" i="32"/>
  <c r="S25" i="32"/>
  <c r="P25" i="32"/>
  <c r="M25" i="32"/>
  <c r="Y24" i="32"/>
  <c r="V24" i="32"/>
  <c r="S24" i="32"/>
  <c r="P24" i="32"/>
  <c r="M24" i="32"/>
  <c r="Y23" i="32"/>
  <c r="V23" i="32"/>
  <c r="S23" i="32"/>
  <c r="P23" i="32"/>
  <c r="M23" i="32"/>
  <c r="Y22" i="32"/>
  <c r="V22" i="32"/>
  <c r="S22" i="32"/>
  <c r="P22" i="32"/>
  <c r="M22" i="32"/>
  <c r="Y21" i="32"/>
  <c r="V21" i="32"/>
  <c r="S21" i="32"/>
  <c r="P21" i="32"/>
  <c r="M21" i="32"/>
  <c r="Y20" i="32"/>
  <c r="V20" i="32"/>
  <c r="S20" i="32"/>
  <c r="P20" i="32"/>
  <c r="M20" i="32"/>
  <c r="Y19" i="32"/>
  <c r="V19" i="32"/>
  <c r="S19" i="32"/>
  <c r="P19" i="32"/>
  <c r="M19" i="32"/>
  <c r="Y18" i="32"/>
  <c r="V18" i="32"/>
  <c r="S18" i="32"/>
  <c r="P18" i="32"/>
  <c r="M18" i="32"/>
  <c r="Y17" i="32"/>
  <c r="V17" i="32"/>
  <c r="S17" i="32"/>
  <c r="P17" i="32"/>
  <c r="M17" i="32"/>
  <c r="Y16" i="32"/>
  <c r="V16" i="32"/>
  <c r="S16" i="32"/>
  <c r="P16" i="32"/>
  <c r="M16" i="32"/>
  <c r="Y15" i="32"/>
  <c r="V15" i="32"/>
  <c r="S15" i="32"/>
  <c r="P15" i="32"/>
  <c r="M15" i="32"/>
  <c r="Y14" i="32"/>
  <c r="V14" i="32"/>
  <c r="S14" i="32"/>
  <c r="P14" i="32"/>
  <c r="M14" i="32"/>
  <c r="Y13" i="32"/>
  <c r="V13" i="32"/>
  <c r="S13" i="32"/>
  <c r="P13" i="32"/>
  <c r="M13" i="32"/>
  <c r="Y12" i="32"/>
  <c r="V12" i="32"/>
  <c r="S12" i="32"/>
  <c r="P12" i="32"/>
  <c r="M12" i="32"/>
  <c r="Y11" i="32"/>
  <c r="V11" i="32"/>
  <c r="S11" i="32"/>
  <c r="P11" i="32"/>
  <c r="M11" i="32"/>
  <c r="Y10" i="32"/>
  <c r="V10" i="32"/>
  <c r="S10" i="32"/>
  <c r="P10" i="32"/>
  <c r="M10" i="32"/>
  <c r="Y9" i="32"/>
  <c r="V9" i="32"/>
  <c r="S9" i="32"/>
  <c r="P9" i="32"/>
  <c r="M9" i="32"/>
  <c r="AN4" i="39" l="1"/>
  <c r="AE4" i="39"/>
  <c r="G59" i="32" l="1"/>
  <c r="G58" i="32"/>
  <c r="L85" i="39" l="1"/>
  <c r="U85" i="39"/>
  <c r="AD85" i="39"/>
  <c r="AI85" i="39"/>
  <c r="AM85" i="39"/>
  <c r="AR85" i="39"/>
  <c r="AV85" i="39"/>
  <c r="L86" i="39"/>
  <c r="U86" i="39"/>
  <c r="AD86" i="39"/>
  <c r="AI86" i="39"/>
  <c r="AM86" i="39"/>
  <c r="AR86" i="39"/>
  <c r="AV86" i="39"/>
  <c r="L87" i="39"/>
  <c r="U87" i="39"/>
  <c r="AD87" i="39"/>
  <c r="AI87" i="39"/>
  <c r="AM87" i="39"/>
  <c r="AR87" i="39"/>
  <c r="AV87" i="39"/>
  <c r="A48" i="37" l="1"/>
  <c r="A48" i="39" s="1"/>
  <c r="A49" i="37"/>
  <c r="A49" i="39" s="1"/>
  <c r="A50" i="37"/>
  <c r="A51" i="37"/>
  <c r="A51" i="39" s="1"/>
  <c r="A52" i="37"/>
  <c r="A53" i="37"/>
  <c r="A54" i="37"/>
  <c r="A55" i="37"/>
  <c r="A56" i="37"/>
  <c r="A57" i="37"/>
  <c r="A57" i="39" s="1"/>
  <c r="A58" i="37"/>
  <c r="A58" i="39" s="1"/>
  <c r="A59" i="37"/>
  <c r="A59" i="39" s="1"/>
  <c r="A60" i="37"/>
  <c r="A60" i="39" s="1"/>
  <c r="A61" i="37"/>
  <c r="A61" i="39" s="1"/>
  <c r="A62" i="37"/>
  <c r="A63" i="37"/>
  <c r="A64" i="37"/>
  <c r="A65" i="37"/>
  <c r="A66" i="37"/>
  <c r="A67" i="37"/>
  <c r="A68" i="37"/>
  <c r="A69" i="37"/>
  <c r="A70" i="37"/>
  <c r="A71" i="37"/>
  <c r="A72" i="37"/>
  <c r="A73" i="37"/>
  <c r="A74" i="37"/>
  <c r="A75" i="37"/>
  <c r="A76" i="37"/>
  <c r="A77" i="37"/>
  <c r="A78" i="37"/>
  <c r="A79" i="37"/>
  <c r="A80" i="37"/>
  <c r="A81" i="37"/>
  <c r="A82" i="37"/>
  <c r="A83" i="37"/>
  <c r="A84" i="37"/>
  <c r="A18" i="37"/>
  <c r="A19" i="37"/>
  <c r="A20" i="37"/>
  <c r="A21" i="37"/>
  <c r="A22" i="37"/>
  <c r="A23" i="37"/>
  <c r="A24" i="37"/>
  <c r="A25" i="37"/>
  <c r="A26" i="37"/>
  <c r="A27" i="37"/>
  <c r="A28" i="37"/>
  <c r="A29" i="37"/>
  <c r="A30" i="37"/>
  <c r="A31" i="37"/>
  <c r="A32" i="37"/>
  <c r="A33" i="37"/>
  <c r="A34" i="37"/>
  <c r="A35" i="37"/>
  <c r="A36" i="37"/>
  <c r="A37" i="37"/>
  <c r="A38" i="37"/>
  <c r="A39" i="37"/>
  <c r="A40" i="37"/>
  <c r="A41" i="37"/>
  <c r="A42" i="37"/>
  <c r="A43" i="37"/>
  <c r="A44" i="37"/>
  <c r="A45" i="37"/>
  <c r="A46" i="37"/>
  <c r="A47" i="37"/>
  <c r="A54" i="39"/>
  <c r="A47" i="39"/>
  <c r="A50" i="39"/>
  <c r="A52" i="39"/>
  <c r="A53" i="39"/>
  <c r="A55" i="39"/>
  <c r="A56" i="39"/>
  <c r="C84" i="39" l="1"/>
  <c r="B84" i="39"/>
  <c r="A84" i="39"/>
  <c r="C83" i="39"/>
  <c r="B83" i="39"/>
  <c r="A83" i="39"/>
  <c r="C82" i="39"/>
  <c r="B82" i="39"/>
  <c r="A82" i="39"/>
  <c r="C81" i="39"/>
  <c r="B81" i="39"/>
  <c r="A81" i="39"/>
  <c r="C80" i="39"/>
  <c r="B80" i="39"/>
  <c r="A80" i="39"/>
  <c r="C79" i="39"/>
  <c r="B79" i="39"/>
  <c r="A79" i="39"/>
  <c r="C78" i="39"/>
  <c r="B78" i="39"/>
  <c r="A78" i="39"/>
  <c r="C77" i="39"/>
  <c r="B77" i="39"/>
  <c r="A77" i="39"/>
  <c r="C76" i="39"/>
  <c r="B76" i="39"/>
  <c r="A76" i="39"/>
  <c r="C75" i="39"/>
  <c r="B75" i="39"/>
  <c r="A75" i="39"/>
  <c r="C74" i="39"/>
  <c r="B74" i="39"/>
  <c r="A74" i="39"/>
  <c r="C73" i="39"/>
  <c r="B73" i="39"/>
  <c r="A73" i="39"/>
  <c r="C72" i="39"/>
  <c r="B72" i="39"/>
  <c r="A72" i="39"/>
  <c r="C71" i="39"/>
  <c r="B71" i="39"/>
  <c r="A71" i="39"/>
  <c r="C70" i="39"/>
  <c r="B70" i="39"/>
  <c r="A70" i="39"/>
  <c r="C69" i="39"/>
  <c r="B69" i="39"/>
  <c r="A69" i="39"/>
  <c r="C68" i="39"/>
  <c r="B68" i="39"/>
  <c r="A68" i="39"/>
  <c r="C67" i="39"/>
  <c r="B67" i="39"/>
  <c r="A67" i="39"/>
  <c r="C66" i="39"/>
  <c r="B66" i="39"/>
  <c r="A66" i="39"/>
  <c r="C65" i="39"/>
  <c r="B65" i="39"/>
  <c r="A65" i="39"/>
  <c r="C64" i="39"/>
  <c r="B64" i="39"/>
  <c r="A64" i="39"/>
  <c r="C63" i="39"/>
  <c r="B63" i="39"/>
  <c r="A63" i="39"/>
  <c r="C62" i="39"/>
  <c r="B62" i="39"/>
  <c r="A62" i="39"/>
  <c r="C61" i="39"/>
  <c r="B61" i="39"/>
  <c r="C60" i="39"/>
  <c r="B60" i="39"/>
  <c r="C59" i="39"/>
  <c r="B59" i="39"/>
  <c r="C58" i="39"/>
  <c r="B58" i="39"/>
  <c r="C57" i="39"/>
  <c r="B57" i="39"/>
  <c r="C56" i="39"/>
  <c r="B56" i="39"/>
  <c r="C55" i="39"/>
  <c r="B55" i="39"/>
  <c r="C84" i="37"/>
  <c r="B84" i="37"/>
  <c r="C83" i="37"/>
  <c r="B83" i="37"/>
  <c r="C82" i="37"/>
  <c r="B82" i="37"/>
  <c r="C81" i="37"/>
  <c r="B81" i="37"/>
  <c r="C80" i="37"/>
  <c r="B80" i="37"/>
  <c r="C79" i="37"/>
  <c r="B79" i="37"/>
  <c r="C78" i="37"/>
  <c r="B78" i="37"/>
  <c r="C77" i="37"/>
  <c r="B77" i="37"/>
  <c r="C76" i="37"/>
  <c r="B76" i="37"/>
  <c r="C75" i="37"/>
  <c r="B75" i="37"/>
  <c r="C74" i="37"/>
  <c r="B74" i="37"/>
  <c r="C73" i="37"/>
  <c r="B73" i="37"/>
  <c r="C72" i="37"/>
  <c r="B72" i="37"/>
  <c r="AP71" i="37"/>
  <c r="AP71" i="39" s="1"/>
  <c r="C71" i="37"/>
  <c r="B71" i="37"/>
  <c r="AP70" i="37"/>
  <c r="AP70" i="39" s="1"/>
  <c r="AO70" i="37"/>
  <c r="AO70" i="39" s="1"/>
  <c r="C70" i="37"/>
  <c r="B70" i="37"/>
  <c r="C69" i="37"/>
  <c r="B69" i="37"/>
  <c r="C68" i="37"/>
  <c r="B68" i="37"/>
  <c r="C67" i="37"/>
  <c r="B67" i="37"/>
  <c r="C66" i="37"/>
  <c r="B66" i="37"/>
  <c r="C65" i="37"/>
  <c r="B65" i="37"/>
  <c r="AQ65" i="37" s="1"/>
  <c r="AQ65" i="39" s="1"/>
  <c r="AQ64" i="37"/>
  <c r="AQ64" i="39" s="1"/>
  <c r="AP64" i="37"/>
  <c r="AP64" i="39" s="1"/>
  <c r="AO64" i="37"/>
  <c r="AO64" i="39" s="1"/>
  <c r="C64" i="37"/>
  <c r="B64" i="37"/>
  <c r="C63" i="37"/>
  <c r="B63" i="37"/>
  <c r="C62" i="37"/>
  <c r="B62" i="37"/>
  <c r="C61" i="37"/>
  <c r="B61" i="37"/>
  <c r="AN61" i="37" s="1"/>
  <c r="AN61" i="39" s="1"/>
  <c r="C60" i="37"/>
  <c r="B60" i="37"/>
  <c r="C59" i="37"/>
  <c r="B59" i="37"/>
  <c r="C58" i="37"/>
  <c r="B58" i="37"/>
  <c r="C57" i="37"/>
  <c r="B57" i="37"/>
  <c r="C56" i="37"/>
  <c r="B56" i="37"/>
  <c r="K64" i="36"/>
  <c r="K65" i="36"/>
  <c r="K66" i="36"/>
  <c r="K68" i="36"/>
  <c r="C84" i="36"/>
  <c r="C83" i="36"/>
  <c r="C82" i="36"/>
  <c r="C81" i="36"/>
  <c r="C80" i="36"/>
  <c r="C79" i="36"/>
  <c r="C78" i="36"/>
  <c r="C77" i="36"/>
  <c r="C76" i="36"/>
  <c r="C75" i="36"/>
  <c r="C74" i="36"/>
  <c r="C73" i="36"/>
  <c r="C72" i="36"/>
  <c r="C71" i="36"/>
  <c r="C70" i="36"/>
  <c r="C69" i="36"/>
  <c r="C68" i="36"/>
  <c r="C67" i="36"/>
  <c r="C66" i="36"/>
  <c r="C65" i="36"/>
  <c r="C64" i="36"/>
  <c r="C63" i="36"/>
  <c r="C62" i="36"/>
  <c r="C61" i="36"/>
  <c r="C60" i="36"/>
  <c r="C59" i="36"/>
  <c r="K59" i="36" s="1"/>
  <c r="C58" i="36"/>
  <c r="K58" i="36" s="1"/>
  <c r="C57" i="36"/>
  <c r="C56" i="36"/>
  <c r="C55" i="36"/>
  <c r="C55" i="37"/>
  <c r="B55" i="37"/>
  <c r="AB72" i="32"/>
  <c r="AB71" i="32"/>
  <c r="AB70" i="32"/>
  <c r="AB69" i="32"/>
  <c r="AB68" i="32"/>
  <c r="AB67" i="32"/>
  <c r="AB66" i="32"/>
  <c r="AB65" i="32"/>
  <c r="AB64" i="32"/>
  <c r="AB61" i="32"/>
  <c r="AB60" i="32"/>
  <c r="J85" i="32"/>
  <c r="K85" i="32"/>
  <c r="I85" i="32"/>
  <c r="G57" i="32"/>
  <c r="G60" i="32"/>
  <c r="G61" i="32"/>
  <c r="G62" i="32"/>
  <c r="G63" i="32"/>
  <c r="G67" i="32"/>
  <c r="K67" i="36" s="1"/>
  <c r="G69" i="32"/>
  <c r="G70" i="32"/>
  <c r="K70" i="36" s="1"/>
  <c r="G71" i="32"/>
  <c r="G72" i="32"/>
  <c r="G73" i="32"/>
  <c r="G74" i="32"/>
  <c r="G75" i="32"/>
  <c r="K75" i="36" s="1"/>
  <c r="G76" i="32"/>
  <c r="G77" i="32"/>
  <c r="K77" i="36" s="1"/>
  <c r="G78" i="32"/>
  <c r="K78" i="36" s="1"/>
  <c r="G79" i="32"/>
  <c r="G80" i="32"/>
  <c r="G81" i="32"/>
  <c r="G82" i="32"/>
  <c r="G83" i="32"/>
  <c r="G84" i="32"/>
  <c r="G56" i="32"/>
  <c r="L84" i="32"/>
  <c r="L83" i="32"/>
  <c r="L82" i="32"/>
  <c r="L81" i="32"/>
  <c r="L80" i="32"/>
  <c r="L79" i="32"/>
  <c r="L78" i="32"/>
  <c r="L77" i="32"/>
  <c r="L76" i="32"/>
  <c r="L75" i="32"/>
  <c r="L74" i="32"/>
  <c r="L73" i="32"/>
  <c r="L72" i="32"/>
  <c r="N72" i="32" s="1"/>
  <c r="L71" i="32"/>
  <c r="N71" i="32" s="1"/>
  <c r="L70" i="32"/>
  <c r="N70" i="32" s="1"/>
  <c r="L69" i="32"/>
  <c r="N69" i="32" s="1"/>
  <c r="L68" i="32"/>
  <c r="N68" i="32" s="1"/>
  <c r="O68" i="32" s="1"/>
  <c r="L67" i="32"/>
  <c r="N67" i="32" s="1"/>
  <c r="L66" i="32"/>
  <c r="N66" i="32" s="1"/>
  <c r="O66" i="32" s="1"/>
  <c r="L65" i="32"/>
  <c r="N65" i="32" s="1"/>
  <c r="O65" i="32" s="1"/>
  <c r="L64" i="32"/>
  <c r="L63" i="32"/>
  <c r="L62" i="32"/>
  <c r="L61" i="32"/>
  <c r="N61" i="32" s="1"/>
  <c r="L60" i="32"/>
  <c r="N60" i="32" s="1"/>
  <c r="L59" i="32"/>
  <c r="L58" i="32"/>
  <c r="L57" i="32"/>
  <c r="L56" i="32"/>
  <c r="L55" i="32"/>
  <c r="L54" i="32"/>
  <c r="L53" i="32"/>
  <c r="L52" i="32"/>
  <c r="L51" i="32"/>
  <c r="L50" i="32"/>
  <c r="L49" i="32"/>
  <c r="L48" i="32"/>
  <c r="L47" i="32"/>
  <c r="L46" i="32"/>
  <c r="N46" i="32" s="1"/>
  <c r="L45" i="32"/>
  <c r="L44" i="32"/>
  <c r="N44" i="32" s="1"/>
  <c r="L43" i="32"/>
  <c r="L42" i="32"/>
  <c r="L41" i="32"/>
  <c r="N41" i="32" s="1"/>
  <c r="L40" i="32"/>
  <c r="N40" i="32" s="1"/>
  <c r="L39" i="32"/>
  <c r="N39" i="32" s="1"/>
  <c r="L38" i="32"/>
  <c r="L37" i="32"/>
  <c r="L36" i="32"/>
  <c r="L35" i="32"/>
  <c r="N35" i="32" s="1"/>
  <c r="L34" i="32"/>
  <c r="L33" i="32"/>
  <c r="L32" i="32"/>
  <c r="L31" i="32"/>
  <c r="L30" i="32"/>
  <c r="L29" i="32"/>
  <c r="L28" i="32"/>
  <c r="L27" i="32"/>
  <c r="L26" i="32"/>
  <c r="L25" i="32"/>
  <c r="L24" i="32"/>
  <c r="L23" i="32"/>
  <c r="L22" i="32"/>
  <c r="L21" i="32"/>
  <c r="L20" i="32"/>
  <c r="L19" i="32"/>
  <c r="L18" i="32"/>
  <c r="L17" i="32"/>
  <c r="L16" i="32"/>
  <c r="L15" i="32"/>
  <c r="L14" i="32"/>
  <c r="L13" i="32"/>
  <c r="L12" i="32"/>
  <c r="L11" i="32"/>
  <c r="L10" i="32"/>
  <c r="L9" i="32"/>
  <c r="N64" i="32" l="1"/>
  <c r="O64" i="32" s="1"/>
  <c r="O61" i="32"/>
  <c r="Q61" i="32" s="1"/>
  <c r="O60" i="32"/>
  <c r="Q60" i="32" s="1"/>
  <c r="R60" i="32" s="1"/>
  <c r="O69" i="32"/>
  <c r="Q69" i="32" s="1"/>
  <c r="O70" i="32"/>
  <c r="Q70" i="32" s="1"/>
  <c r="O72" i="32"/>
  <c r="Q72" i="32" s="1"/>
  <c r="O67" i="32"/>
  <c r="Q67" i="32" s="1"/>
  <c r="O71" i="32"/>
  <c r="Q71" i="32" s="1"/>
  <c r="AE67" i="36"/>
  <c r="R66" i="36"/>
  <c r="K81" i="36"/>
  <c r="O81" i="36" s="1"/>
  <c r="K56" i="36"/>
  <c r="O56" i="36" s="1"/>
  <c r="K82" i="36"/>
  <c r="K57" i="36"/>
  <c r="L57" i="36" s="1"/>
  <c r="K69" i="36"/>
  <c r="P69" i="36" s="1"/>
  <c r="K83" i="36"/>
  <c r="K60" i="36"/>
  <c r="O60" i="36" s="1"/>
  <c r="K61" i="36"/>
  <c r="P61" i="36" s="1"/>
  <c r="K71" i="36"/>
  <c r="S71" i="36" s="1"/>
  <c r="K62" i="36"/>
  <c r="K72" i="36"/>
  <c r="P72" i="36" s="1"/>
  <c r="K79" i="36"/>
  <c r="M79" i="36" s="1"/>
  <c r="K63" i="36"/>
  <c r="M63" i="36" s="1"/>
  <c r="K73" i="36"/>
  <c r="K80" i="36"/>
  <c r="K84" i="36"/>
  <c r="K74" i="36"/>
  <c r="K76" i="36"/>
  <c r="AQ68" i="37"/>
  <c r="AQ68" i="39" s="1"/>
  <c r="AO61" i="37"/>
  <c r="AO61" i="39" s="1"/>
  <c r="AN65" i="37"/>
  <c r="AN65" i="39" s="1"/>
  <c r="AO67" i="37"/>
  <c r="AO67" i="39" s="1"/>
  <c r="AP65" i="37"/>
  <c r="AP65" i="39" s="1"/>
  <c r="AP67" i="37"/>
  <c r="AP67" i="39" s="1"/>
  <c r="AP61" i="37"/>
  <c r="AP61" i="39" s="1"/>
  <c r="AQ61" i="37"/>
  <c r="AQ61" i="39" s="1"/>
  <c r="AA64" i="37"/>
  <c r="AQ67" i="37"/>
  <c r="AQ67" i="39" s="1"/>
  <c r="I64" i="37"/>
  <c r="AN68" i="37"/>
  <c r="AN68" i="39" s="1"/>
  <c r="AP68" i="37"/>
  <c r="AP68" i="39" s="1"/>
  <c r="AQ70" i="37"/>
  <c r="AQ70" i="39" s="1"/>
  <c r="AQ60" i="37"/>
  <c r="AQ60" i="39" s="1"/>
  <c r="AP60" i="37"/>
  <c r="AP60" i="39" s="1"/>
  <c r="AO60" i="37"/>
  <c r="AO60" i="39" s="1"/>
  <c r="AQ71" i="37"/>
  <c r="AQ71" i="39" s="1"/>
  <c r="AN71" i="37"/>
  <c r="AN71" i="39" s="1"/>
  <c r="AO65" i="37"/>
  <c r="AO65" i="39" s="1"/>
  <c r="AN67" i="37"/>
  <c r="AN67" i="39" s="1"/>
  <c r="AQ66" i="37"/>
  <c r="AQ66" i="39" s="1"/>
  <c r="AP66" i="37"/>
  <c r="AP66" i="39" s="1"/>
  <c r="AO66" i="37"/>
  <c r="AO66" i="39" s="1"/>
  <c r="AN70" i="37"/>
  <c r="AN70" i="39" s="1"/>
  <c r="AO68" i="37"/>
  <c r="AO68" i="39" s="1"/>
  <c r="AQ69" i="37"/>
  <c r="AQ69" i="39" s="1"/>
  <c r="AP69" i="37"/>
  <c r="AP69" i="39" s="1"/>
  <c r="AO69" i="37"/>
  <c r="AO69" i="39" s="1"/>
  <c r="AO71" i="37"/>
  <c r="AO71" i="39" s="1"/>
  <c r="AQ72" i="37"/>
  <c r="AQ72" i="39" s="1"/>
  <c r="AP72" i="37"/>
  <c r="AP72" i="39" s="1"/>
  <c r="AO72" i="37"/>
  <c r="AO72" i="39" s="1"/>
  <c r="AJ64" i="37"/>
  <c r="AN64" i="37"/>
  <c r="R68" i="36"/>
  <c r="L58" i="36"/>
  <c r="L59" i="36"/>
  <c r="AB64" i="36"/>
  <c r="L64" i="36"/>
  <c r="Y65" i="36"/>
  <c r="R65" i="36"/>
  <c r="S65" i="36"/>
  <c r="S67" i="36"/>
  <c r="O70" i="36"/>
  <c r="N70" i="36"/>
  <c r="M59" i="36"/>
  <c r="V65" i="36"/>
  <c r="V67" i="36"/>
  <c r="M64" i="36"/>
  <c r="L66" i="36"/>
  <c r="L78" i="36"/>
  <c r="N59" i="36"/>
  <c r="M68" i="36"/>
  <c r="M78" i="36"/>
  <c r="O58" i="36"/>
  <c r="O59" i="36"/>
  <c r="P64" i="36"/>
  <c r="AE64" i="36"/>
  <c r="P66" i="36"/>
  <c r="AE66" i="36"/>
  <c r="P68" i="36"/>
  <c r="AE68" i="36"/>
  <c r="P70" i="36"/>
  <c r="AE70" i="36"/>
  <c r="N58" i="36"/>
  <c r="O64" i="36"/>
  <c r="M66" i="36"/>
  <c r="M70" i="36"/>
  <c r="Q66" i="36"/>
  <c r="Q68" i="36"/>
  <c r="Q70" i="36"/>
  <c r="AB66" i="36"/>
  <c r="AB68" i="36"/>
  <c r="L68" i="36"/>
  <c r="Y67" i="36"/>
  <c r="O66" i="36"/>
  <c r="N66" i="36"/>
  <c r="L70" i="36"/>
  <c r="O65" i="36"/>
  <c r="N65" i="36"/>
  <c r="S66" i="36"/>
  <c r="O77" i="36"/>
  <c r="N77" i="36"/>
  <c r="O68" i="36"/>
  <c r="N68" i="36"/>
  <c r="S64" i="36"/>
  <c r="AB65" i="36"/>
  <c r="S70" i="36"/>
  <c r="L65" i="36"/>
  <c r="L67" i="36"/>
  <c r="L75" i="36"/>
  <c r="L77" i="36"/>
  <c r="O78" i="36"/>
  <c r="N78" i="36"/>
  <c r="M58" i="36"/>
  <c r="O75" i="36"/>
  <c r="N75" i="36"/>
  <c r="V64" i="36"/>
  <c r="M65" i="36"/>
  <c r="V66" i="36"/>
  <c r="M67" i="36"/>
  <c r="V68" i="36"/>
  <c r="V70" i="36"/>
  <c r="M75" i="36"/>
  <c r="M77" i="36"/>
  <c r="P65" i="36"/>
  <c r="AE65" i="36"/>
  <c r="P67" i="36"/>
  <c r="AB70" i="36"/>
  <c r="O67" i="36"/>
  <c r="N67" i="36"/>
  <c r="AB67" i="36"/>
  <c r="S68" i="36"/>
  <c r="Q65" i="36"/>
  <c r="Q67" i="36"/>
  <c r="N64" i="36"/>
  <c r="Y64" i="36"/>
  <c r="Y66" i="36"/>
  <c r="Y68" i="36"/>
  <c r="Y70" i="36"/>
  <c r="Q65" i="32"/>
  <c r="R65" i="32" s="1"/>
  <c r="U65" i="36" s="1"/>
  <c r="Q68" i="32"/>
  <c r="T68" i="36" s="1"/>
  <c r="Q66" i="32"/>
  <c r="T66" i="36" s="1"/>
  <c r="N14" i="32"/>
  <c r="L85" i="32"/>
  <c r="AS64" i="37" l="1"/>
  <c r="AN64" i="39"/>
  <c r="Q64" i="36"/>
  <c r="N81" i="36"/>
  <c r="Q64" i="32"/>
  <c r="T64" i="36" s="1"/>
  <c r="R64" i="36"/>
  <c r="M81" i="36"/>
  <c r="L81" i="36"/>
  <c r="R70" i="36"/>
  <c r="R67" i="36"/>
  <c r="Y72" i="36"/>
  <c r="L72" i="36"/>
  <c r="O79" i="36"/>
  <c r="AE72" i="36"/>
  <c r="O72" i="36"/>
  <c r="S72" i="36"/>
  <c r="R72" i="36"/>
  <c r="M72" i="36"/>
  <c r="T72" i="36"/>
  <c r="AB72" i="36"/>
  <c r="V72" i="36"/>
  <c r="N71" i="36"/>
  <c r="L79" i="36"/>
  <c r="M71" i="36"/>
  <c r="AE71" i="36"/>
  <c r="P71" i="36"/>
  <c r="Q71" i="36"/>
  <c r="M61" i="36"/>
  <c r="L71" i="36"/>
  <c r="AB71" i="36"/>
  <c r="L80" i="36"/>
  <c r="Q72" i="36"/>
  <c r="M80" i="36"/>
  <c r="O80" i="36"/>
  <c r="O82" i="36"/>
  <c r="N73" i="36"/>
  <c r="N79" i="36"/>
  <c r="N72" i="36"/>
  <c r="O63" i="36"/>
  <c r="M69" i="36"/>
  <c r="M84" i="36"/>
  <c r="O73" i="36"/>
  <c r="M73" i="36"/>
  <c r="L73" i="36"/>
  <c r="N56" i="36"/>
  <c r="N63" i="36"/>
  <c r="L63" i="36"/>
  <c r="O69" i="36"/>
  <c r="M82" i="36"/>
  <c r="O84" i="36"/>
  <c r="L84" i="36"/>
  <c r="R60" i="36"/>
  <c r="V60" i="36"/>
  <c r="N57" i="36"/>
  <c r="M56" i="36"/>
  <c r="L56" i="36"/>
  <c r="O57" i="36"/>
  <c r="Q69" i="36"/>
  <c r="AE60" i="36"/>
  <c r="O74" i="36"/>
  <c r="M57" i="36"/>
  <c r="N84" i="36"/>
  <c r="AE69" i="36"/>
  <c r="N80" i="36"/>
  <c r="N82" i="36"/>
  <c r="T69" i="36"/>
  <c r="Q60" i="36"/>
  <c r="AA61" i="37"/>
  <c r="R65" i="37"/>
  <c r="R64" i="37"/>
  <c r="AJ61" i="37"/>
  <c r="AS70" i="37"/>
  <c r="AJ70" i="37"/>
  <c r="AS65" i="37"/>
  <c r="AA67" i="37"/>
  <c r="AS67" i="37"/>
  <c r="AA70" i="37"/>
  <c r="I70" i="37"/>
  <c r="R69" i="32"/>
  <c r="U69" i="36" s="1"/>
  <c r="J69" i="39"/>
  <c r="J69" i="37"/>
  <c r="R61" i="32"/>
  <c r="U61" i="36" s="1"/>
  <c r="J61" i="37"/>
  <c r="J61" i="39"/>
  <c r="R67" i="32"/>
  <c r="U67" i="36" s="1"/>
  <c r="J67" i="39"/>
  <c r="J67" i="37"/>
  <c r="AJ67" i="37"/>
  <c r="AS61" i="37"/>
  <c r="R70" i="32"/>
  <c r="U70" i="36" s="1"/>
  <c r="J70" i="37"/>
  <c r="J70" i="39"/>
  <c r="T70" i="36"/>
  <c r="R71" i="32"/>
  <c r="U71" i="36" s="1"/>
  <c r="J71" i="37"/>
  <c r="J71" i="39"/>
  <c r="R72" i="32"/>
  <c r="U72" i="36" s="1"/>
  <c r="J72" i="39"/>
  <c r="J72" i="37"/>
  <c r="J65" i="37"/>
  <c r="J65" i="39"/>
  <c r="T65" i="36"/>
  <c r="AJ65" i="37"/>
  <c r="R68" i="37"/>
  <c r="AS68" i="37"/>
  <c r="R68" i="32"/>
  <c r="U68" i="36" s="1"/>
  <c r="J68" i="37"/>
  <c r="J68" i="39"/>
  <c r="J60" i="39"/>
  <c r="J60" i="37"/>
  <c r="T67" i="36"/>
  <c r="R66" i="32"/>
  <c r="U66" i="36" s="1"/>
  <c r="J66" i="37"/>
  <c r="J66" i="39"/>
  <c r="Q61" i="36"/>
  <c r="Y71" i="36"/>
  <c r="P60" i="36"/>
  <c r="N61" i="36"/>
  <c r="M83" i="36"/>
  <c r="U60" i="36"/>
  <c r="O71" i="36"/>
  <c r="AE61" i="36"/>
  <c r="S61" i="36"/>
  <c r="L60" i="36"/>
  <c r="L83" i="36"/>
  <c r="N83" i="36"/>
  <c r="N76" i="36"/>
  <c r="L76" i="36"/>
  <c r="R69" i="36"/>
  <c r="V61" i="36"/>
  <c r="T71" i="36"/>
  <c r="T61" i="36"/>
  <c r="O83" i="36"/>
  <c r="R71" i="36"/>
  <c r="M60" i="36"/>
  <c r="L82" i="36"/>
  <c r="T60" i="36"/>
  <c r="N74" i="36"/>
  <c r="V71" i="36"/>
  <c r="M76" i="36"/>
  <c r="L61" i="36"/>
  <c r="N62" i="36"/>
  <c r="V69" i="36"/>
  <c r="L62" i="36"/>
  <c r="L69" i="36"/>
  <c r="M62" i="36"/>
  <c r="S69" i="36"/>
  <c r="S60" i="36"/>
  <c r="Y69" i="36"/>
  <c r="O62" i="36"/>
  <c r="Y60" i="36"/>
  <c r="R61" i="36"/>
  <c r="AB61" i="36"/>
  <c r="O61" i="36"/>
  <c r="N60" i="36"/>
  <c r="Y61" i="36"/>
  <c r="L74" i="36"/>
  <c r="N69" i="36"/>
  <c r="O76" i="36"/>
  <c r="AB69" i="36"/>
  <c r="AB60" i="36"/>
  <c r="M74" i="36"/>
  <c r="AJ71" i="37"/>
  <c r="R72" i="37"/>
  <c r="AJ68" i="37"/>
  <c r="I67" i="37"/>
  <c r="AA60" i="37"/>
  <c r="I61" i="37"/>
  <c r="R67" i="37"/>
  <c r="R61" i="37"/>
  <c r="AJ72" i="37"/>
  <c r="AN72" i="37"/>
  <c r="AA66" i="37"/>
  <c r="AS71" i="37"/>
  <c r="R60" i="37"/>
  <c r="I68" i="37"/>
  <c r="I65" i="37"/>
  <c r="I71" i="37"/>
  <c r="AA69" i="37"/>
  <c r="R66" i="37"/>
  <c r="I60" i="37"/>
  <c r="R69" i="37"/>
  <c r="AN66" i="37"/>
  <c r="AJ66" i="37"/>
  <c r="R71" i="37"/>
  <c r="I66" i="37"/>
  <c r="I72" i="37"/>
  <c r="AJ69" i="37"/>
  <c r="AN69" i="37"/>
  <c r="AA68" i="37"/>
  <c r="AA65" i="37"/>
  <c r="AA71" i="37"/>
  <c r="I69" i="37"/>
  <c r="AA72" i="37"/>
  <c r="AN60" i="37"/>
  <c r="AJ60" i="37"/>
  <c r="R70" i="37"/>
  <c r="T65" i="32"/>
  <c r="T60" i="32"/>
  <c r="AS69" i="37" l="1"/>
  <c r="AN69" i="39"/>
  <c r="AS72" i="37"/>
  <c r="AN72" i="39"/>
  <c r="AS60" i="37"/>
  <c r="AN60" i="39"/>
  <c r="AS66" i="37"/>
  <c r="AN66" i="39"/>
  <c r="J64" i="37"/>
  <c r="K64" i="37" s="1"/>
  <c r="R64" i="32"/>
  <c r="U64" i="36" s="1"/>
  <c r="J64" i="39"/>
  <c r="K70" i="37"/>
  <c r="T70" i="32"/>
  <c r="S70" i="39" s="1"/>
  <c r="K71" i="37"/>
  <c r="T68" i="32"/>
  <c r="S68" i="37" s="1"/>
  <c r="Q68" i="39" s="1"/>
  <c r="T72" i="32"/>
  <c r="S72" i="39" s="1"/>
  <c r="T71" i="32"/>
  <c r="U71" i="32" s="1"/>
  <c r="X71" i="36" s="1"/>
  <c r="T61" i="32"/>
  <c r="W61" i="36" s="1"/>
  <c r="K61" i="37"/>
  <c r="K66" i="37"/>
  <c r="T66" i="32"/>
  <c r="K60" i="37"/>
  <c r="G68" i="39"/>
  <c r="F68" i="39"/>
  <c r="E68" i="39"/>
  <c r="D68" i="39"/>
  <c r="G70" i="39"/>
  <c r="F70" i="39"/>
  <c r="E70" i="39"/>
  <c r="D70" i="39"/>
  <c r="K65" i="37"/>
  <c r="E71" i="39"/>
  <c r="F71" i="39"/>
  <c r="D71" i="39"/>
  <c r="G71" i="39"/>
  <c r="T67" i="32"/>
  <c r="U67" i="32" s="1"/>
  <c r="X67" i="36" s="1"/>
  <c r="K68" i="37"/>
  <c r="K67" i="37"/>
  <c r="U60" i="32"/>
  <c r="X60" i="36" s="1"/>
  <c r="S60" i="39"/>
  <c r="S60" i="37"/>
  <c r="U65" i="32"/>
  <c r="X65" i="36" s="1"/>
  <c r="S65" i="39"/>
  <c r="S65" i="37"/>
  <c r="Q65" i="39" s="1"/>
  <c r="W65" i="36"/>
  <c r="T69" i="32"/>
  <c r="K69" i="37"/>
  <c r="F64" i="39"/>
  <c r="G61" i="39"/>
  <c r="F61" i="39"/>
  <c r="E61" i="39"/>
  <c r="D61" i="39"/>
  <c r="G72" i="39"/>
  <c r="D72" i="39"/>
  <c r="F72" i="39"/>
  <c r="E72" i="39"/>
  <c r="K72" i="37"/>
  <c r="W60" i="36"/>
  <c r="D66" i="39"/>
  <c r="G66" i="39"/>
  <c r="F66" i="39"/>
  <c r="E66" i="39"/>
  <c r="E65" i="39"/>
  <c r="F65" i="39"/>
  <c r="D65" i="39"/>
  <c r="G65" i="39"/>
  <c r="G69" i="39"/>
  <c r="F69" i="39"/>
  <c r="E69" i="39"/>
  <c r="D69" i="39"/>
  <c r="G60" i="39"/>
  <c r="F60" i="39"/>
  <c r="E60" i="39"/>
  <c r="D60" i="39"/>
  <c r="G67" i="39"/>
  <c r="F67" i="39"/>
  <c r="E67" i="39"/>
  <c r="D67" i="39"/>
  <c r="D64" i="39" l="1"/>
  <c r="E64" i="39"/>
  <c r="G64" i="39"/>
  <c r="T64" i="32"/>
  <c r="U64" i="32" s="1"/>
  <c r="O60" i="39"/>
  <c r="Q60" i="39"/>
  <c r="U70" i="32"/>
  <c r="X70" i="36" s="1"/>
  <c r="U72" i="32"/>
  <c r="X72" i="36" s="1"/>
  <c r="S70" i="37"/>
  <c r="W70" i="36"/>
  <c r="W68" i="36"/>
  <c r="S68" i="39"/>
  <c r="U68" i="32"/>
  <c r="X68" i="36" s="1"/>
  <c r="W71" i="36"/>
  <c r="S71" i="39"/>
  <c r="S71" i="37"/>
  <c r="W72" i="36"/>
  <c r="M60" i="39"/>
  <c r="S72" i="37"/>
  <c r="N60" i="39"/>
  <c r="S61" i="39"/>
  <c r="S61" i="37"/>
  <c r="Q61" i="39" s="1"/>
  <c r="U61" i="32"/>
  <c r="X61" i="36" s="1"/>
  <c r="I60" i="39"/>
  <c r="W67" i="32"/>
  <c r="X67" i="32" s="1"/>
  <c r="AA67" i="36" s="1"/>
  <c r="I65" i="39"/>
  <c r="I66" i="39"/>
  <c r="T60" i="37"/>
  <c r="I69" i="39"/>
  <c r="T68" i="37"/>
  <c r="O68" i="39"/>
  <c r="N68" i="39"/>
  <c r="M68" i="39"/>
  <c r="P68" i="39"/>
  <c r="U66" i="32"/>
  <c r="S66" i="37"/>
  <c r="Q66" i="39" s="1"/>
  <c r="S66" i="39"/>
  <c r="W66" i="36"/>
  <c r="I71" i="39"/>
  <c r="P60" i="39"/>
  <c r="I67" i="39"/>
  <c r="I61" i="39"/>
  <c r="U69" i="32"/>
  <c r="S69" i="39"/>
  <c r="S69" i="37"/>
  <c r="Q69" i="39" s="1"/>
  <c r="W69" i="36"/>
  <c r="I68" i="39"/>
  <c r="I72" i="39"/>
  <c r="T65" i="37"/>
  <c r="P65" i="39"/>
  <c r="O65" i="39"/>
  <c r="N65" i="39"/>
  <c r="M65" i="39"/>
  <c r="W71" i="32"/>
  <c r="W65" i="32"/>
  <c r="S67" i="39"/>
  <c r="S67" i="37"/>
  <c r="Q67" i="39" s="1"/>
  <c r="W67" i="36"/>
  <c r="W60" i="32"/>
  <c r="I70" i="39"/>
  <c r="I64" i="39" l="1"/>
  <c r="W64" i="36"/>
  <c r="S64" i="39"/>
  <c r="S64" i="37"/>
  <c r="Q64" i="39" s="1"/>
  <c r="T70" i="37"/>
  <c r="Q70" i="39"/>
  <c r="P72" i="39"/>
  <c r="Q72" i="39"/>
  <c r="O71" i="39"/>
  <c r="Q71" i="39"/>
  <c r="W70" i="32"/>
  <c r="Z70" i="36" s="1"/>
  <c r="W68" i="32"/>
  <c r="X68" i="32" s="1"/>
  <c r="AA68" i="36" s="1"/>
  <c r="W72" i="32"/>
  <c r="AB72" i="39" s="1"/>
  <c r="O70" i="39"/>
  <c r="M70" i="39"/>
  <c r="N70" i="39"/>
  <c r="P70" i="39"/>
  <c r="T71" i="37"/>
  <c r="N71" i="39"/>
  <c r="O72" i="39"/>
  <c r="P71" i="39"/>
  <c r="M71" i="39"/>
  <c r="T72" i="37"/>
  <c r="M72" i="39"/>
  <c r="N72" i="39"/>
  <c r="R60" i="39"/>
  <c r="W61" i="32"/>
  <c r="X61" i="32" s="1"/>
  <c r="Z61" i="32" s="1"/>
  <c r="AK61" i="39" s="1"/>
  <c r="M61" i="39"/>
  <c r="T61" i="37"/>
  <c r="P61" i="39"/>
  <c r="O61" i="39"/>
  <c r="N61" i="39"/>
  <c r="Z67" i="36"/>
  <c r="AB67" i="39"/>
  <c r="AB67" i="37"/>
  <c r="X67" i="39" s="1"/>
  <c r="T66" i="37"/>
  <c r="P66" i="39"/>
  <c r="O66" i="39"/>
  <c r="N66" i="39"/>
  <c r="M66" i="39"/>
  <c r="X65" i="32"/>
  <c r="AB65" i="39"/>
  <c r="AB65" i="37"/>
  <c r="Z65" i="36"/>
  <c r="X66" i="36"/>
  <c r="W66" i="32"/>
  <c r="AB71" i="39"/>
  <c r="AB71" i="37"/>
  <c r="Z71" i="36"/>
  <c r="X71" i="32"/>
  <c r="R68" i="39"/>
  <c r="P67" i="39"/>
  <c r="O67" i="39"/>
  <c r="N67" i="39"/>
  <c r="M67" i="39"/>
  <c r="T67" i="37"/>
  <c r="T69" i="37"/>
  <c r="P69" i="39"/>
  <c r="O69" i="39"/>
  <c r="N69" i="39"/>
  <c r="M69" i="39"/>
  <c r="X60" i="32"/>
  <c r="AB60" i="37"/>
  <c r="AB60" i="39"/>
  <c r="Z60" i="36"/>
  <c r="X64" i="36"/>
  <c r="W64" i="32"/>
  <c r="X64" i="32" s="1"/>
  <c r="X69" i="36"/>
  <c r="W69" i="32"/>
  <c r="R65" i="39"/>
  <c r="Z67" i="32"/>
  <c r="T64" i="37" l="1"/>
  <c r="M64" i="39"/>
  <c r="N64" i="39"/>
  <c r="O64" i="39"/>
  <c r="P64" i="39"/>
  <c r="AB70" i="37"/>
  <c r="Z70" i="39" s="1"/>
  <c r="AB70" i="39"/>
  <c r="X70" i="32"/>
  <c r="AA70" i="36" s="1"/>
  <c r="Z68" i="32"/>
  <c r="AA68" i="32" s="1"/>
  <c r="Z68" i="36"/>
  <c r="Z72" i="36"/>
  <c r="AB72" i="37"/>
  <c r="Z72" i="39" s="1"/>
  <c r="X72" i="32"/>
  <c r="AA72" i="36" s="1"/>
  <c r="R70" i="39"/>
  <c r="AB68" i="37"/>
  <c r="AB68" i="39"/>
  <c r="AA61" i="36"/>
  <c r="AB61" i="37"/>
  <c r="X61" i="39" s="1"/>
  <c r="AC67" i="37"/>
  <c r="AC61" i="36"/>
  <c r="Z61" i="36"/>
  <c r="AA61" i="32"/>
  <c r="AC61" i="32" s="1"/>
  <c r="AB61" i="39"/>
  <c r="R72" i="39"/>
  <c r="AK61" i="37"/>
  <c r="AH61" i="39" s="1"/>
  <c r="Z67" i="39"/>
  <c r="Y67" i="39"/>
  <c r="R71" i="39"/>
  <c r="V67" i="39"/>
  <c r="W67" i="39"/>
  <c r="R69" i="39"/>
  <c r="R61" i="39"/>
  <c r="AA67" i="32"/>
  <c r="AK67" i="39"/>
  <c r="AK67" i="37"/>
  <c r="AC67" i="36"/>
  <c r="X69" i="32"/>
  <c r="AB69" i="37"/>
  <c r="AB69" i="39"/>
  <c r="Z69" i="36"/>
  <c r="R67" i="39"/>
  <c r="Z71" i="39"/>
  <c r="Y71" i="39"/>
  <c r="X71" i="39"/>
  <c r="W71" i="39"/>
  <c r="V71" i="39"/>
  <c r="AC71" i="37"/>
  <c r="AA64" i="36"/>
  <c r="Z64" i="32"/>
  <c r="AA64" i="32" s="1"/>
  <c r="AB64" i="37"/>
  <c r="AB64" i="39"/>
  <c r="Z64" i="36"/>
  <c r="R66" i="39"/>
  <c r="Y60" i="39"/>
  <c r="X60" i="39"/>
  <c r="W60" i="39"/>
  <c r="V60" i="39"/>
  <c r="Z60" i="39"/>
  <c r="AC60" i="37"/>
  <c r="X66" i="32"/>
  <c r="AB66" i="37"/>
  <c r="AB66" i="39"/>
  <c r="Z66" i="36"/>
  <c r="AA60" i="36"/>
  <c r="Z60" i="32"/>
  <c r="Z65" i="39"/>
  <c r="Y65" i="39"/>
  <c r="X65" i="39"/>
  <c r="W65" i="39"/>
  <c r="V65" i="39"/>
  <c r="AC65" i="37"/>
  <c r="AA71" i="36"/>
  <c r="Z71" i="32"/>
  <c r="AA65" i="36"/>
  <c r="Z65" i="32"/>
  <c r="R64" i="39" l="1"/>
  <c r="Z70" i="32"/>
  <c r="AK70" i="39" s="1"/>
  <c r="X70" i="39"/>
  <c r="V70" i="39"/>
  <c r="W70" i="39"/>
  <c r="AC70" i="37"/>
  <c r="Y70" i="39"/>
  <c r="AC72" i="37"/>
  <c r="Y61" i="39"/>
  <c r="AC68" i="36"/>
  <c r="AK68" i="37"/>
  <c r="AF68" i="39" s="1"/>
  <c r="AK68" i="39"/>
  <c r="Z72" i="32"/>
  <c r="AK72" i="37" s="1"/>
  <c r="W72" i="39"/>
  <c r="X72" i="39"/>
  <c r="V72" i="39"/>
  <c r="Y72" i="39"/>
  <c r="V68" i="39"/>
  <c r="Z68" i="39"/>
  <c r="Y68" i="39"/>
  <c r="W68" i="39"/>
  <c r="X68" i="39"/>
  <c r="AC68" i="37"/>
  <c r="W61" i="39"/>
  <c r="AC61" i="37"/>
  <c r="Z61" i="39"/>
  <c r="AA67" i="39"/>
  <c r="V61" i="39"/>
  <c r="AD61" i="36"/>
  <c r="AE61" i="39"/>
  <c r="AG61" i="39"/>
  <c r="AL61" i="37"/>
  <c r="AF61" i="39"/>
  <c r="AC64" i="32"/>
  <c r="AD64" i="36"/>
  <c r="AA65" i="32"/>
  <c r="AK65" i="39"/>
  <c r="AK65" i="37"/>
  <c r="AC65" i="36"/>
  <c r="AA65" i="39"/>
  <c r="Z66" i="39"/>
  <c r="Y66" i="39"/>
  <c r="X66" i="39"/>
  <c r="W66" i="39"/>
  <c r="V66" i="39"/>
  <c r="AC66" i="37"/>
  <c r="Z69" i="39"/>
  <c r="Y69" i="39"/>
  <c r="X69" i="39"/>
  <c r="W69" i="39"/>
  <c r="V69" i="39"/>
  <c r="AC69" i="37"/>
  <c r="AA66" i="36"/>
  <c r="Z66" i="32"/>
  <c r="AA71" i="39"/>
  <c r="AA69" i="36"/>
  <c r="Z69" i="32"/>
  <c r="AT61" i="39"/>
  <c r="AT61" i="37"/>
  <c r="AF61" i="36"/>
  <c r="AA60" i="32"/>
  <c r="AK60" i="39"/>
  <c r="AK60" i="37"/>
  <c r="AC60" i="36"/>
  <c r="Z64" i="39"/>
  <c r="Y64" i="39"/>
  <c r="X64" i="39"/>
  <c r="W64" i="39"/>
  <c r="V64" i="39"/>
  <c r="AC64" i="37"/>
  <c r="AH67" i="39"/>
  <c r="AG67" i="39"/>
  <c r="AF67" i="39"/>
  <c r="AE67" i="39"/>
  <c r="AL67" i="37"/>
  <c r="AA71" i="32"/>
  <c r="AK71" i="37"/>
  <c r="AK71" i="39"/>
  <c r="AC71" i="36"/>
  <c r="AC67" i="32"/>
  <c r="AD67" i="36"/>
  <c r="AC68" i="32"/>
  <c r="AD68" i="36"/>
  <c r="AA60" i="39"/>
  <c r="AK64" i="37"/>
  <c r="AK64" i="39"/>
  <c r="AC64" i="36"/>
  <c r="AK70" i="37" l="1"/>
  <c r="AG70" i="39" s="1"/>
  <c r="AA70" i="32"/>
  <c r="AC70" i="32" s="1"/>
  <c r="AT70" i="37" s="1"/>
  <c r="AC70" i="36"/>
  <c r="AA70" i="39"/>
  <c r="AG68" i="39"/>
  <c r="AH68" i="39"/>
  <c r="AL68" i="37"/>
  <c r="AE68" i="39"/>
  <c r="AA72" i="39"/>
  <c r="AG61" i="36"/>
  <c r="AA72" i="32"/>
  <c r="AD72" i="36" s="1"/>
  <c r="AC72" i="36"/>
  <c r="AK72" i="39"/>
  <c r="AA68" i="39"/>
  <c r="AA61" i="39"/>
  <c r="AJ61" i="39"/>
  <c r="AL61" i="39" s="1"/>
  <c r="AJ67" i="39"/>
  <c r="AL67" i="39" s="1"/>
  <c r="AA64" i="39"/>
  <c r="AA69" i="32"/>
  <c r="AK69" i="39"/>
  <c r="AK69" i="37"/>
  <c r="AC69" i="36"/>
  <c r="AA66" i="39"/>
  <c r="AH72" i="39"/>
  <c r="AG72" i="39"/>
  <c r="AF72" i="39"/>
  <c r="AE72" i="39"/>
  <c r="AL72" i="37"/>
  <c r="AT64" i="39"/>
  <c r="AT64" i="37"/>
  <c r="AF64" i="36"/>
  <c r="AG64" i="36" s="1"/>
  <c r="AA66" i="32"/>
  <c r="AK66" i="37"/>
  <c r="AK66" i="39"/>
  <c r="AC66" i="36"/>
  <c r="AE65" i="39"/>
  <c r="AF65" i="39"/>
  <c r="AH65" i="39"/>
  <c r="AG65" i="39"/>
  <c r="AL65" i="37"/>
  <c r="AC71" i="32"/>
  <c r="AD71" i="36"/>
  <c r="AE71" i="39"/>
  <c r="AH71" i="39"/>
  <c r="AG71" i="39"/>
  <c r="AF71" i="39"/>
  <c r="AL71" i="37"/>
  <c r="AG64" i="39"/>
  <c r="AF64" i="39"/>
  <c r="AE64" i="39"/>
  <c r="AH64" i="39"/>
  <c r="AL64" i="37"/>
  <c r="AH60" i="39"/>
  <c r="AG60" i="39"/>
  <c r="AF60" i="39"/>
  <c r="AE60" i="39"/>
  <c r="AL60" i="37"/>
  <c r="AC65" i="32"/>
  <c r="AD65" i="36"/>
  <c r="AC60" i="32"/>
  <c r="AD60" i="36"/>
  <c r="AA69" i="39"/>
  <c r="AT67" i="37"/>
  <c r="AT67" i="39"/>
  <c r="AF67" i="36"/>
  <c r="AG67" i="36" s="1"/>
  <c r="AU61" i="37"/>
  <c r="AT68" i="39"/>
  <c r="AT68" i="37"/>
  <c r="AF68" i="36"/>
  <c r="AG68" i="36" s="1"/>
  <c r="G44" i="32"/>
  <c r="AT70" i="39" l="1"/>
  <c r="AF70" i="36"/>
  <c r="AD70" i="36"/>
  <c r="AE70" i="39"/>
  <c r="AH70" i="39"/>
  <c r="AF70" i="39"/>
  <c r="AL70" i="37"/>
  <c r="AC72" i="32"/>
  <c r="AT72" i="37" s="1"/>
  <c r="AJ68" i="39"/>
  <c r="AL68" i="39" s="1"/>
  <c r="AU67" i="37"/>
  <c r="AH69" i="39"/>
  <c r="AG69" i="39"/>
  <c r="AF69" i="39"/>
  <c r="AE69" i="39"/>
  <c r="AL69" i="37"/>
  <c r="AU70" i="37"/>
  <c r="AC69" i="32"/>
  <c r="AD69" i="36"/>
  <c r="AT65" i="39"/>
  <c r="AT65" i="37"/>
  <c r="AF65" i="36"/>
  <c r="AG65" i="36" s="1"/>
  <c r="AJ72" i="39"/>
  <c r="AL72" i="39" s="1"/>
  <c r="AJ60" i="39"/>
  <c r="AL60" i="39" s="1"/>
  <c r="AT60" i="39"/>
  <c r="AT60" i="37"/>
  <c r="AF60" i="36"/>
  <c r="AG60" i="36" s="1"/>
  <c r="AU64" i="37"/>
  <c r="AJ71" i="39"/>
  <c r="AL71" i="39" s="1"/>
  <c r="AU68" i="37"/>
  <c r="AJ64" i="39"/>
  <c r="AL64" i="39" s="1"/>
  <c r="AT71" i="39"/>
  <c r="AT71" i="37"/>
  <c r="AF71" i="36"/>
  <c r="AG71" i="36" s="1"/>
  <c r="AJ65" i="39"/>
  <c r="AL65" i="39" s="1"/>
  <c r="AH66" i="39"/>
  <c r="AG66" i="39"/>
  <c r="AF66" i="39"/>
  <c r="AE66" i="39"/>
  <c r="AL66" i="37"/>
  <c r="AC66" i="32"/>
  <c r="AD66" i="36"/>
  <c r="G54" i="32"/>
  <c r="K55" i="36" s="1"/>
  <c r="G53" i="32"/>
  <c r="G52" i="32"/>
  <c r="G51" i="32"/>
  <c r="G50" i="32"/>
  <c r="G49" i="32"/>
  <c r="G48" i="32"/>
  <c r="G47" i="32"/>
  <c r="G46" i="32"/>
  <c r="G45" i="32"/>
  <c r="G43" i="32"/>
  <c r="G42" i="32"/>
  <c r="G41" i="32"/>
  <c r="G40" i="32"/>
  <c r="G39" i="32"/>
  <c r="G38" i="32"/>
  <c r="G37" i="32"/>
  <c r="G36" i="32"/>
  <c r="G35" i="32"/>
  <c r="G34" i="32"/>
  <c r="G33" i="32"/>
  <c r="G32" i="32"/>
  <c r="G31" i="32"/>
  <c r="G30" i="32"/>
  <c r="G29" i="32"/>
  <c r="G28" i="32"/>
  <c r="G27" i="32"/>
  <c r="G26" i="32"/>
  <c r="G25" i="32"/>
  <c r="G24" i="32"/>
  <c r="G23" i="32"/>
  <c r="G22" i="32"/>
  <c r="G21" i="32"/>
  <c r="G20" i="32"/>
  <c r="G19" i="32"/>
  <c r="G18" i="32"/>
  <c r="G17" i="32"/>
  <c r="G16" i="32"/>
  <c r="G15" i="32"/>
  <c r="G13" i="32"/>
  <c r="G11" i="32"/>
  <c r="G10" i="32"/>
  <c r="G9" i="32"/>
  <c r="AG70" i="36" l="1"/>
  <c r="AF72" i="36"/>
  <c r="AG72" i="36" s="1"/>
  <c r="AJ70" i="39"/>
  <c r="AL70" i="39" s="1"/>
  <c r="AT72" i="39"/>
  <c r="AS67" i="39"/>
  <c r="AU67" i="39" s="1"/>
  <c r="AS70" i="39"/>
  <c r="AU70" i="39" s="1"/>
  <c r="AS68" i="39"/>
  <c r="AU68" i="39" s="1"/>
  <c r="AJ69" i="39"/>
  <c r="AL69" i="39" s="1"/>
  <c r="AU65" i="37"/>
  <c r="AT69" i="37"/>
  <c r="AT69" i="39"/>
  <c r="AF69" i="36"/>
  <c r="AG69" i="36" s="1"/>
  <c r="AU72" i="37"/>
  <c r="AU60" i="37"/>
  <c r="AT66" i="37"/>
  <c r="AT66" i="39"/>
  <c r="AF66" i="36"/>
  <c r="AG66" i="36" s="1"/>
  <c r="AU71" i="37"/>
  <c r="AJ66" i="39"/>
  <c r="AL66" i="39" s="1"/>
  <c r="O55" i="36"/>
  <c r="N55" i="36"/>
  <c r="M55" i="36"/>
  <c r="L55" i="36"/>
  <c r="AB41" i="32"/>
  <c r="AB40" i="32"/>
  <c r="AB39" i="32"/>
  <c r="AB35" i="32"/>
  <c r="AB14" i="32"/>
  <c r="AS71" i="39" l="1"/>
  <c r="AU71" i="39" s="1"/>
  <c r="AS65" i="39"/>
  <c r="AU65" i="39" s="1"/>
  <c r="AS72" i="39"/>
  <c r="AU72" i="39" s="1"/>
  <c r="AU66" i="37"/>
  <c r="AU69" i="37"/>
  <c r="AS64" i="39"/>
  <c r="AU64" i="39" s="1"/>
  <c r="AS69" i="39" l="1"/>
  <c r="AU69" i="39" s="1"/>
  <c r="AS66" i="39"/>
  <c r="AU66" i="39" s="1"/>
  <c r="C52" i="36"/>
  <c r="C53" i="36"/>
  <c r="C54" i="36"/>
  <c r="K54" i="36" l="1"/>
  <c r="K53" i="36"/>
  <c r="K52" i="36"/>
  <c r="L52" i="36" l="1"/>
  <c r="M52" i="36"/>
  <c r="N52" i="36"/>
  <c r="N54" i="36"/>
  <c r="M54" i="36"/>
  <c r="L54" i="36"/>
  <c r="L53" i="36"/>
  <c r="M53" i="36"/>
  <c r="N53" i="36"/>
  <c r="C54" i="39"/>
  <c r="B54" i="39"/>
  <c r="C54" i="37"/>
  <c r="B54" i="37"/>
  <c r="C53" i="37"/>
  <c r="C53" i="39" s="1"/>
  <c r="B53" i="37"/>
  <c r="C52" i="37"/>
  <c r="C52" i="39" s="1"/>
  <c r="B52" i="37"/>
  <c r="B53" i="39" l="1"/>
  <c r="O52" i="36"/>
  <c r="O53" i="36"/>
  <c r="O54" i="36"/>
  <c r="B52" i="39"/>
  <c r="G12" i="32" l="1"/>
  <c r="C51" i="36" l="1"/>
  <c r="K51" i="36" s="1"/>
  <c r="C50" i="36"/>
  <c r="K50" i="36" s="1"/>
  <c r="C49" i="36"/>
  <c r="K49" i="36" s="1"/>
  <c r="C48" i="36"/>
  <c r="K48" i="36" s="1"/>
  <c r="AF41" i="32"/>
  <c r="AF40" i="32"/>
  <c r="AF39" i="32"/>
  <c r="AF14" i="32"/>
  <c r="C51" i="37"/>
  <c r="C51" i="39" s="1"/>
  <c r="B51" i="37"/>
  <c r="C50" i="37"/>
  <c r="C50" i="39" s="1"/>
  <c r="B50" i="37"/>
  <c r="C49" i="37"/>
  <c r="C49" i="39" s="1"/>
  <c r="B49" i="37"/>
  <c r="C48" i="37"/>
  <c r="C48" i="39" s="1"/>
  <c r="B48" i="37"/>
  <c r="BB9" i="39"/>
  <c r="C11" i="37"/>
  <c r="C11" i="39" s="1"/>
  <c r="C12" i="37"/>
  <c r="C12" i="39" s="1"/>
  <c r="C13" i="37"/>
  <c r="C13" i="39" s="1"/>
  <c r="C14" i="37"/>
  <c r="C14" i="39" s="1"/>
  <c r="C15" i="37"/>
  <c r="C15" i="39" s="1"/>
  <c r="C16" i="37"/>
  <c r="C16" i="39" s="1"/>
  <c r="C17" i="37"/>
  <c r="C17" i="39" s="1"/>
  <c r="C18" i="37"/>
  <c r="C18" i="39" s="1"/>
  <c r="C19" i="37"/>
  <c r="C19" i="39" s="1"/>
  <c r="C20" i="37"/>
  <c r="C20" i="39" s="1"/>
  <c r="C21" i="37"/>
  <c r="C21" i="39" s="1"/>
  <c r="C22" i="37"/>
  <c r="C22" i="39" s="1"/>
  <c r="C23" i="37"/>
  <c r="C23" i="39" s="1"/>
  <c r="C24" i="37"/>
  <c r="C24" i="39" s="1"/>
  <c r="C25" i="37"/>
  <c r="C25" i="39" s="1"/>
  <c r="C26" i="37"/>
  <c r="C26" i="39" s="1"/>
  <c r="C27" i="37"/>
  <c r="C27" i="39" s="1"/>
  <c r="C28" i="37"/>
  <c r="C28" i="39" s="1"/>
  <c r="C29" i="37"/>
  <c r="C29" i="39" s="1"/>
  <c r="C30" i="37"/>
  <c r="C30" i="39" s="1"/>
  <c r="C31" i="37"/>
  <c r="C31" i="39" s="1"/>
  <c r="C32" i="37"/>
  <c r="C32" i="39" s="1"/>
  <c r="C33" i="37"/>
  <c r="C33" i="39" s="1"/>
  <c r="C34" i="37"/>
  <c r="C34" i="39" s="1"/>
  <c r="C35" i="37"/>
  <c r="C35" i="39" s="1"/>
  <c r="C36" i="37"/>
  <c r="C36" i="39" s="1"/>
  <c r="C37" i="37"/>
  <c r="C37" i="39" s="1"/>
  <c r="C38" i="37"/>
  <c r="C38" i="39" s="1"/>
  <c r="C39" i="37"/>
  <c r="C39" i="39" s="1"/>
  <c r="C40" i="37"/>
  <c r="C40" i="39" s="1"/>
  <c r="C41" i="37"/>
  <c r="C41" i="39" s="1"/>
  <c r="C42" i="37"/>
  <c r="C42" i="39" s="1"/>
  <c r="C43" i="37"/>
  <c r="C43" i="39" s="1"/>
  <c r="C44" i="37"/>
  <c r="C44" i="39" s="1"/>
  <c r="C45" i="37"/>
  <c r="C45" i="39" s="1"/>
  <c r="C46" i="37"/>
  <c r="C46" i="39" s="1"/>
  <c r="C47" i="37"/>
  <c r="C47" i="39" s="1"/>
  <c r="B10" i="37"/>
  <c r="B11" i="37"/>
  <c r="B12" i="37"/>
  <c r="B13" i="37"/>
  <c r="B14" i="37"/>
  <c r="B15" i="37"/>
  <c r="B16" i="37"/>
  <c r="B17" i="37"/>
  <c r="B18" i="37"/>
  <c r="B19" i="37"/>
  <c r="B20" i="37"/>
  <c r="B21" i="37"/>
  <c r="B22" i="37"/>
  <c r="B23" i="37"/>
  <c r="B24" i="37"/>
  <c r="B25" i="37"/>
  <c r="B26" i="37"/>
  <c r="B27" i="37"/>
  <c r="B28" i="37"/>
  <c r="B29" i="37"/>
  <c r="B30" i="37"/>
  <c r="B31" i="37"/>
  <c r="B32" i="37"/>
  <c r="B32" i="39" s="1"/>
  <c r="B33" i="37"/>
  <c r="B34" i="37"/>
  <c r="B35" i="37"/>
  <c r="B36" i="37"/>
  <c r="B37" i="37"/>
  <c r="B38" i="37"/>
  <c r="B39" i="37"/>
  <c r="B40" i="37"/>
  <c r="B41" i="37"/>
  <c r="B41" i="39" s="1"/>
  <c r="B42" i="37"/>
  <c r="B43" i="37"/>
  <c r="B44" i="37"/>
  <c r="B45" i="37"/>
  <c r="B46" i="37"/>
  <c r="B47" i="37"/>
  <c r="A10" i="37"/>
  <c r="A10" i="39" s="1"/>
  <c r="A11" i="37"/>
  <c r="A11" i="39" s="1"/>
  <c r="A12" i="37"/>
  <c r="A12" i="39" s="1"/>
  <c r="A13" i="37"/>
  <c r="A13" i="39" s="1"/>
  <c r="A14" i="37"/>
  <c r="A14" i="39" s="1"/>
  <c r="A15" i="37"/>
  <c r="A15" i="39" s="1"/>
  <c r="A16" i="37"/>
  <c r="A16" i="39" s="1"/>
  <c r="A17" i="37"/>
  <c r="A17" i="39" s="1"/>
  <c r="A18" i="39"/>
  <c r="A19" i="39"/>
  <c r="A20" i="39"/>
  <c r="A21" i="39"/>
  <c r="A22" i="39"/>
  <c r="A23" i="39"/>
  <c r="A24" i="39"/>
  <c r="A25" i="39"/>
  <c r="A26" i="39"/>
  <c r="A27" i="39"/>
  <c r="A28" i="39"/>
  <c r="A29" i="39"/>
  <c r="A30" i="39"/>
  <c r="A31" i="39"/>
  <c r="A32" i="39"/>
  <c r="A33" i="39"/>
  <c r="A34" i="39"/>
  <c r="A35" i="39"/>
  <c r="A36" i="39"/>
  <c r="A37" i="39"/>
  <c r="A38" i="39"/>
  <c r="A39" i="39"/>
  <c r="A40" i="39"/>
  <c r="A41" i="39"/>
  <c r="A42" i="39"/>
  <c r="A43" i="39"/>
  <c r="A44" i="39"/>
  <c r="A45" i="39"/>
  <c r="A46" i="39"/>
  <c r="C10" i="36"/>
  <c r="C11" i="36"/>
  <c r="C12" i="36"/>
  <c r="D12" i="36" s="1"/>
  <c r="C13" i="36"/>
  <c r="D13" i="36" s="1"/>
  <c r="C14" i="36"/>
  <c r="D14" i="36" s="1"/>
  <c r="C15" i="36"/>
  <c r="D15" i="36" s="1"/>
  <c r="C16" i="36"/>
  <c r="K16" i="36" s="1"/>
  <c r="L16" i="36" s="1"/>
  <c r="C17" i="36"/>
  <c r="K17" i="36" s="1"/>
  <c r="L17" i="36" s="1"/>
  <c r="C18" i="36"/>
  <c r="K18" i="36" s="1"/>
  <c r="C19" i="36"/>
  <c r="K19" i="36" s="1"/>
  <c r="C20" i="36"/>
  <c r="K20" i="36" s="1"/>
  <c r="C21" i="36"/>
  <c r="K21" i="36" s="1"/>
  <c r="M21" i="36" s="1"/>
  <c r="C22" i="36"/>
  <c r="K22" i="36" s="1"/>
  <c r="C23" i="36"/>
  <c r="K23" i="36" s="1"/>
  <c r="C24" i="36"/>
  <c r="K24" i="36" s="1"/>
  <c r="N24" i="36" s="1"/>
  <c r="C25" i="36"/>
  <c r="K25" i="36" s="1"/>
  <c r="M25" i="36" s="1"/>
  <c r="C26" i="36"/>
  <c r="K26" i="36" s="1"/>
  <c r="N26" i="36" s="1"/>
  <c r="C27" i="36"/>
  <c r="K27" i="36" s="1"/>
  <c r="N27" i="36" s="1"/>
  <c r="C28" i="36"/>
  <c r="K28" i="36" s="1"/>
  <c r="O28" i="36" s="1"/>
  <c r="C29" i="36"/>
  <c r="K29" i="36" s="1"/>
  <c r="M29" i="36" s="1"/>
  <c r="C30" i="36"/>
  <c r="K30" i="36" s="1"/>
  <c r="C31" i="36"/>
  <c r="K31" i="36" s="1"/>
  <c r="M31" i="36" s="1"/>
  <c r="C32" i="36"/>
  <c r="K32" i="36" s="1"/>
  <c r="C33" i="36"/>
  <c r="K33" i="36" s="1"/>
  <c r="C34" i="36"/>
  <c r="K34" i="36" s="1"/>
  <c r="C35" i="36"/>
  <c r="K35" i="36" s="1"/>
  <c r="P35" i="36" s="1"/>
  <c r="C36" i="36"/>
  <c r="K36" i="36" s="1"/>
  <c r="C37" i="36"/>
  <c r="K37" i="36" s="1"/>
  <c r="O37" i="36" s="1"/>
  <c r="C38" i="36"/>
  <c r="K38" i="36" s="1"/>
  <c r="C39" i="36"/>
  <c r="K39" i="36" s="1"/>
  <c r="C40" i="36"/>
  <c r="K40" i="36" s="1"/>
  <c r="N40" i="36" s="1"/>
  <c r="C41" i="36"/>
  <c r="K41" i="36" s="1"/>
  <c r="L41" i="36" s="1"/>
  <c r="C42" i="36"/>
  <c r="K42" i="36" s="1"/>
  <c r="N42" i="36" s="1"/>
  <c r="C43" i="36"/>
  <c r="K43" i="36" s="1"/>
  <c r="C44" i="36"/>
  <c r="K44" i="36" s="1"/>
  <c r="N44" i="36" s="1"/>
  <c r="C45" i="36"/>
  <c r="K45" i="36" s="1"/>
  <c r="M45" i="36" s="1"/>
  <c r="C46" i="36"/>
  <c r="K46" i="36" s="1"/>
  <c r="L46" i="36" s="1"/>
  <c r="C47" i="36"/>
  <c r="K47" i="36" s="1"/>
  <c r="L47" i="36" s="1"/>
  <c r="C9" i="36"/>
  <c r="K9" i="36" s="1"/>
  <c r="B17" i="39"/>
  <c r="B38" i="39"/>
  <c r="B37" i="39"/>
  <c r="AL9" i="32"/>
  <c r="AR9" i="32"/>
  <c r="K15" i="36"/>
  <c r="L15" i="36" s="1"/>
  <c r="K14" i="36"/>
  <c r="N14" i="36" s="1"/>
  <c r="B9" i="37"/>
  <c r="A9" i="37"/>
  <c r="A9" i="39" s="1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B32" i="36"/>
  <c r="B33" i="36"/>
  <c r="B34" i="36"/>
  <c r="B35" i="36"/>
  <c r="B36" i="36"/>
  <c r="B37" i="36"/>
  <c r="B38" i="36"/>
  <c r="B39" i="36"/>
  <c r="B40" i="36"/>
  <c r="B41" i="36"/>
  <c r="B42" i="36"/>
  <c r="B43" i="36"/>
  <c r="B44" i="36"/>
  <c r="B45" i="36"/>
  <c r="B46" i="36"/>
  <c r="B9" i="36"/>
  <c r="BB10" i="37"/>
  <c r="BB11" i="37"/>
  <c r="BB12" i="37"/>
  <c r="BB13" i="37"/>
  <c r="BB14" i="37"/>
  <c r="BB15" i="37"/>
  <c r="C10" i="32"/>
  <c r="C11" i="32" s="1"/>
  <c r="K92" i="32"/>
  <c r="J92" i="32"/>
  <c r="K91" i="32"/>
  <c r="J91" i="32"/>
  <c r="I92" i="32"/>
  <c r="I91" i="32"/>
  <c r="BB25" i="39"/>
  <c r="BB24" i="39"/>
  <c r="BB23" i="39"/>
  <c r="BB22" i="39"/>
  <c r="BB21" i="39"/>
  <c r="BB20" i="39"/>
  <c r="BB19" i="39"/>
  <c r="BB18" i="39"/>
  <c r="BB17" i="39"/>
  <c r="AR47" i="32"/>
  <c r="AL47" i="32"/>
  <c r="AR46" i="32"/>
  <c r="AL46" i="32"/>
  <c r="AR44" i="32"/>
  <c r="AL44" i="32"/>
  <c r="AR43" i="32"/>
  <c r="AL43" i="32"/>
  <c r="AR42" i="32"/>
  <c r="AL42" i="32"/>
  <c r="AR41" i="32"/>
  <c r="AR40" i="32"/>
  <c r="AR39" i="32"/>
  <c r="AL39" i="32"/>
  <c r="AL41" i="32" s="1"/>
  <c r="AR37" i="32"/>
  <c r="AL37" i="32"/>
  <c r="AL40" i="32" s="1"/>
  <c r="BB16" i="39"/>
  <c r="BB15" i="39"/>
  <c r="BB14" i="39"/>
  <c r="BB13" i="39"/>
  <c r="BB12" i="39"/>
  <c r="BB11" i="39"/>
  <c r="BB10" i="39"/>
  <c r="C10" i="37"/>
  <c r="C10" i="39" s="1"/>
  <c r="AO15" i="36"/>
  <c r="H15" i="36"/>
  <c r="AO14" i="36"/>
  <c r="H14" i="36"/>
  <c r="AO13" i="36"/>
  <c r="H13" i="36"/>
  <c r="AO12" i="36"/>
  <c r="H12" i="36"/>
  <c r="AO11" i="36"/>
  <c r="H11" i="36"/>
  <c r="AO10" i="36"/>
  <c r="H10" i="36"/>
  <c r="Y105" i="32"/>
  <c r="V105" i="32"/>
  <c r="S105" i="32"/>
  <c r="P105" i="32"/>
  <c r="M105" i="32"/>
  <c r="K105" i="32"/>
  <c r="J105" i="32"/>
  <c r="I105" i="32"/>
  <c r="K104" i="32"/>
  <c r="K107" i="32" s="1"/>
  <c r="J104" i="32"/>
  <c r="J107" i="32" s="1"/>
  <c r="I104" i="32"/>
  <c r="I107" i="32" s="1"/>
  <c r="K106" i="32"/>
  <c r="J106" i="32"/>
  <c r="I106" i="32"/>
  <c r="K102" i="32"/>
  <c r="J102" i="32"/>
  <c r="K101" i="32"/>
  <c r="K103" i="32" s="1"/>
  <c r="J101" i="32"/>
  <c r="J103" i="32" s="1"/>
  <c r="I102" i="32"/>
  <c r="K98" i="32"/>
  <c r="K100" i="32" s="1"/>
  <c r="J98" i="32"/>
  <c r="J100" i="32" s="1"/>
  <c r="I98" i="32"/>
  <c r="I100" i="32" s="1"/>
  <c r="I101" i="32"/>
  <c r="I103" i="32" s="1"/>
  <c r="K99" i="32"/>
  <c r="J99" i="32"/>
  <c r="I99" i="32"/>
  <c r="K96" i="32"/>
  <c r="J96" i="32"/>
  <c r="I96" i="32"/>
  <c r="K95" i="32"/>
  <c r="K97" i="32" s="1"/>
  <c r="J95" i="32"/>
  <c r="J97" i="32" s="1"/>
  <c r="I95" i="32"/>
  <c r="I97" i="32" s="1"/>
  <c r="Y106" i="32"/>
  <c r="V106" i="32"/>
  <c r="S106" i="32"/>
  <c r="P106" i="32"/>
  <c r="M106" i="32"/>
  <c r="V104" i="32"/>
  <c r="V107" i="32" s="1"/>
  <c r="S104" i="32"/>
  <c r="S107" i="32" s="1"/>
  <c r="P104" i="32"/>
  <c r="P107" i="32" s="1"/>
  <c r="V102" i="32"/>
  <c r="P102" i="32"/>
  <c r="V101" i="32"/>
  <c r="V103" i="32" s="1"/>
  <c r="V99" i="32"/>
  <c r="V96" i="32"/>
  <c r="S96" i="32"/>
  <c r="M99" i="32"/>
  <c r="M104" i="32"/>
  <c r="M107" i="32" s="1"/>
  <c r="Y96" i="32"/>
  <c r="P99" i="32"/>
  <c r="S99" i="32"/>
  <c r="M95" i="32"/>
  <c r="M97" i="32" s="1"/>
  <c r="P95" i="32"/>
  <c r="P97" i="32" s="1"/>
  <c r="P101" i="32"/>
  <c r="P103" i="32"/>
  <c r="M98" i="32"/>
  <c r="M100" i="32" s="1"/>
  <c r="Y99" i="32"/>
  <c r="S101" i="32"/>
  <c r="S103" i="32" s="1"/>
  <c r="Y104" i="32"/>
  <c r="Y107" i="32" s="1"/>
  <c r="P98" i="32"/>
  <c r="P100" i="32" s="1"/>
  <c r="Y101" i="32"/>
  <c r="Y103" i="32" s="1"/>
  <c r="V95" i="32"/>
  <c r="V97" i="32" s="1"/>
  <c r="V98" i="32"/>
  <c r="V100" i="32" s="1"/>
  <c r="Y98" i="32"/>
  <c r="Y100" i="32" s="1"/>
  <c r="S95" i="32"/>
  <c r="S97" i="32" s="1"/>
  <c r="S98" i="32"/>
  <c r="S100" i="32" s="1"/>
  <c r="S102" i="32"/>
  <c r="Y95" i="32"/>
  <c r="Y97" i="32" s="1"/>
  <c r="M96" i="32"/>
  <c r="Y102" i="32"/>
  <c r="P96" i="32"/>
  <c r="AO9" i="36"/>
  <c r="H9" i="36"/>
  <c r="L3" i="36"/>
  <c r="L2" i="36"/>
  <c r="AR16" i="32"/>
  <c r="AL16" i="32"/>
  <c r="AR14" i="32"/>
  <c r="AL14" i="32"/>
  <c r="AR12" i="32"/>
  <c r="AR10" i="32"/>
  <c r="AL10" i="32"/>
  <c r="AL12" i="32" s="1"/>
  <c r="BB9" i="37"/>
  <c r="C9" i="37"/>
  <c r="C9" i="39" s="1"/>
  <c r="AR15" i="32"/>
  <c r="AL15" i="32"/>
  <c r="H15" i="32"/>
  <c r="AR13" i="32"/>
  <c r="AL13" i="32"/>
  <c r="AR11" i="32"/>
  <c r="A9" i="36"/>
  <c r="AL11" i="32"/>
  <c r="N105" i="32"/>
  <c r="L105" i="32"/>
  <c r="L106" i="32"/>
  <c r="L104" i="32"/>
  <c r="L107" i="32" s="1"/>
  <c r="L102" i="32"/>
  <c r="L101" i="32"/>
  <c r="L103" i="32" s="1"/>
  <c r="L99" i="32"/>
  <c r="L98" i="32"/>
  <c r="L100" i="32" s="1"/>
  <c r="K6" i="36"/>
  <c r="B2" i="36"/>
  <c r="AD6" i="36"/>
  <c r="AD86" i="36" s="1"/>
  <c r="AA6" i="36"/>
  <c r="AM8" i="36" s="1"/>
  <c r="X6" i="36"/>
  <c r="X87" i="36" s="1"/>
  <c r="U6" i="36"/>
  <c r="U7" i="36" s="1"/>
  <c r="R6" i="36"/>
  <c r="AJ8" i="36" s="1"/>
  <c r="O6" i="36"/>
  <c r="O87" i="36" s="1"/>
  <c r="L6" i="36"/>
  <c r="L87" i="36" s="1"/>
  <c r="B2" i="39"/>
  <c r="AI8" i="37"/>
  <c r="AN6" i="37"/>
  <c r="AN6" i="39" s="1"/>
  <c r="AE6" i="37"/>
  <c r="AE6" i="39" s="1"/>
  <c r="V6" i="37"/>
  <c r="V6" i="39" s="1"/>
  <c r="M6" i="37"/>
  <c r="M6" i="39" s="1"/>
  <c r="D6" i="37"/>
  <c r="D6" i="39" s="1"/>
  <c r="B4" i="32"/>
  <c r="B4" i="36" s="1"/>
  <c r="AA7" i="32"/>
  <c r="A2" i="31"/>
  <c r="A3" i="31"/>
  <c r="A4" i="31"/>
  <c r="G6" i="31"/>
  <c r="G19" i="31" s="1"/>
  <c r="J6" i="31"/>
  <c r="AH8" i="31" s="1"/>
  <c r="M6" i="31"/>
  <c r="M19" i="31" s="1"/>
  <c r="M27" i="31" s="1"/>
  <c r="M31" i="31" s="1"/>
  <c r="P6" i="31"/>
  <c r="P19" i="31" s="1"/>
  <c r="P27" i="31" s="1"/>
  <c r="P31" i="31" s="1"/>
  <c r="S6" i="31"/>
  <c r="S19" i="31" s="1"/>
  <c r="S27" i="31" s="1"/>
  <c r="S31" i="31" s="1"/>
  <c r="V6" i="31"/>
  <c r="V19" i="31" s="1"/>
  <c r="V27" i="31" s="1"/>
  <c r="V31" i="31" s="1"/>
  <c r="Y6" i="31"/>
  <c r="Y19" i="31" s="1"/>
  <c r="Y27" i="31" s="1"/>
  <c r="Y31" i="31" s="1"/>
  <c r="G7" i="31"/>
  <c r="J7" i="31"/>
  <c r="M7" i="31"/>
  <c r="P7" i="31"/>
  <c r="S7" i="31"/>
  <c r="V7" i="31"/>
  <c r="Y7" i="31"/>
  <c r="AK7" i="31"/>
  <c r="AL7" i="31"/>
  <c r="AM7" i="31"/>
  <c r="AN7" i="31"/>
  <c r="AU8" i="31"/>
  <c r="AV8" i="31"/>
  <c r="AY8" i="31"/>
  <c r="AZ8" i="31"/>
  <c r="BB8" i="31"/>
  <c r="BC8" i="31"/>
  <c r="BE8" i="31"/>
  <c r="BF8" i="31"/>
  <c r="I9" i="31"/>
  <c r="J9" i="31" s="1"/>
  <c r="AD9" i="31"/>
  <c r="AJ9" i="31"/>
  <c r="BB9" i="31" s="1"/>
  <c r="AQ9" i="31"/>
  <c r="AT9" i="31"/>
  <c r="AX9" i="31"/>
  <c r="AY9" i="31"/>
  <c r="BA9" i="31"/>
  <c r="BD9" i="31"/>
  <c r="BE9" i="31"/>
  <c r="BG9" i="31"/>
  <c r="B10" i="31"/>
  <c r="C10" i="31"/>
  <c r="D10" i="31"/>
  <c r="E10" i="31"/>
  <c r="F10" i="31"/>
  <c r="G10" i="31"/>
  <c r="H10" i="31"/>
  <c r="I10" i="31"/>
  <c r="J10" i="31"/>
  <c r="K10" i="31"/>
  <c r="L10" i="31"/>
  <c r="M10" i="31"/>
  <c r="N10" i="31"/>
  <c r="O10" i="31"/>
  <c r="P10" i="31"/>
  <c r="Q10" i="31"/>
  <c r="R10" i="31"/>
  <c r="S10" i="31"/>
  <c r="T10" i="31"/>
  <c r="U10" i="31"/>
  <c r="V10" i="31"/>
  <c r="W10" i="31"/>
  <c r="X10" i="31"/>
  <c r="Y10" i="31"/>
  <c r="Z10" i="31"/>
  <c r="AA10" i="31"/>
  <c r="AB10" i="31"/>
  <c r="AE10" i="31"/>
  <c r="AE45" i="31" s="1"/>
  <c r="AH10" i="31"/>
  <c r="AK10" i="31"/>
  <c r="AL10" i="31"/>
  <c r="AM10" i="31"/>
  <c r="AN10" i="31"/>
  <c r="AO10" i="31"/>
  <c r="BL10" i="31" s="1"/>
  <c r="B11" i="31"/>
  <c r="C11" i="31"/>
  <c r="D11" i="31"/>
  <c r="E11" i="31"/>
  <c r="F11" i="31"/>
  <c r="G11" i="31"/>
  <c r="H11" i="31"/>
  <c r="I11" i="31"/>
  <c r="J11" i="31"/>
  <c r="K11" i="31"/>
  <c r="L11" i="31"/>
  <c r="M11" i="31"/>
  <c r="N11" i="31"/>
  <c r="O11" i="31"/>
  <c r="P11" i="31"/>
  <c r="Q11" i="31"/>
  <c r="R11" i="31"/>
  <c r="S11" i="31"/>
  <c r="T11" i="31"/>
  <c r="U11" i="31"/>
  <c r="V11" i="31"/>
  <c r="W11" i="31"/>
  <c r="X11" i="31"/>
  <c r="Y11" i="31"/>
  <c r="Z11" i="31"/>
  <c r="AA11" i="31"/>
  <c r="AB11" i="31"/>
  <c r="AE11" i="31"/>
  <c r="AH11" i="31"/>
  <c r="BM11" i="31"/>
  <c r="BM12" i="31" s="1"/>
  <c r="BM13" i="31" s="1"/>
  <c r="BM14" i="31" s="1"/>
  <c r="BM15" i="31" s="1"/>
  <c r="BM16" i="31" s="1"/>
  <c r="BM17" i="31" s="1"/>
  <c r="BM18" i="31" s="1"/>
  <c r="BM19" i="31" s="1"/>
  <c r="BM20" i="31" s="1"/>
  <c r="BM21" i="31" s="1"/>
  <c r="BM22" i="31" s="1"/>
  <c r="BM23" i="31" s="1"/>
  <c r="BM24" i="31" s="1"/>
  <c r="BM25" i="31" s="1"/>
  <c r="BM26" i="31" s="1"/>
  <c r="BM27" i="31" s="1"/>
  <c r="BM28" i="31" s="1"/>
  <c r="BM29" i="31" s="1"/>
  <c r="BM30" i="31" s="1"/>
  <c r="BM31" i="31" s="1"/>
  <c r="BM32" i="31" s="1"/>
  <c r="BM33" i="31" s="1"/>
  <c r="BM34" i="31" s="1"/>
  <c r="BM35" i="31" s="1"/>
  <c r="BM36" i="31" s="1"/>
  <c r="BM37" i="31" s="1"/>
  <c r="BM38" i="31" s="1"/>
  <c r="BM39" i="31" s="1"/>
  <c r="BM40" i="31" s="1"/>
  <c r="BM41" i="31" s="1"/>
  <c r="BM42" i="31" s="1"/>
  <c r="BM43" i="31" s="1"/>
  <c r="BM44" i="31" s="1"/>
  <c r="BM45" i="31" s="1"/>
  <c r="BM46" i="31" s="1"/>
  <c r="BM47" i="31" s="1"/>
  <c r="BM48" i="31" s="1"/>
  <c r="BM49" i="31" s="1"/>
  <c r="BM50" i="31" s="1"/>
  <c r="BM51" i="31" s="1"/>
  <c r="BM52" i="31" s="1"/>
  <c r="BM53" i="31" s="1"/>
  <c r="BM54" i="31" s="1"/>
  <c r="BM55" i="31" s="1"/>
  <c r="BM56" i="31" s="1"/>
  <c r="BM57" i="31" s="1"/>
  <c r="BM58" i="31" s="1"/>
  <c r="BM59" i="31" s="1"/>
  <c r="BM60" i="31" s="1"/>
  <c r="BM61" i="31" s="1"/>
  <c r="BM62" i="31" s="1"/>
  <c r="BM63" i="31" s="1"/>
  <c r="BM64" i="31" s="1"/>
  <c r="BM65" i="31" s="1"/>
  <c r="BM66" i="31" s="1"/>
  <c r="BM67" i="31" s="1"/>
  <c r="BM68" i="31" s="1"/>
  <c r="BM69" i="31" s="1"/>
  <c r="BM70" i="31" s="1"/>
  <c r="BM71" i="31" s="1"/>
  <c r="BM72" i="31" s="1"/>
  <c r="BM73" i="31" s="1"/>
  <c r="BM74" i="31" s="1"/>
  <c r="BM75" i="31" s="1"/>
  <c r="BM76" i="31" s="1"/>
  <c r="BM77" i="31" s="1"/>
  <c r="BM78" i="31" s="1"/>
  <c r="BM79" i="31" s="1"/>
  <c r="BM80" i="31" s="1"/>
  <c r="BM81" i="31" s="1"/>
  <c r="BM82" i="31" s="1"/>
  <c r="BM83" i="31" s="1"/>
  <c r="BM84" i="31" s="1"/>
  <c r="BM85" i="31" s="1"/>
  <c r="BM86" i="31" s="1"/>
  <c r="BM87" i="31" s="1"/>
  <c r="BM88" i="31" s="1"/>
  <c r="BM89" i="31" s="1"/>
  <c r="BM90" i="31" s="1"/>
  <c r="BM91" i="31" s="1"/>
  <c r="BM92" i="31" s="1"/>
  <c r="BM93" i="31" s="1"/>
  <c r="BM94" i="31" s="1"/>
  <c r="BM95" i="31" s="1"/>
  <c r="BM96" i="31" s="1"/>
  <c r="BM97" i="31" s="1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R12" i="31"/>
  <c r="S12" i="31"/>
  <c r="T12" i="31"/>
  <c r="U12" i="31"/>
  <c r="V12" i="31"/>
  <c r="W12" i="31"/>
  <c r="X12" i="31"/>
  <c r="Y12" i="31"/>
  <c r="Z12" i="31"/>
  <c r="AA12" i="31"/>
  <c r="AB12" i="31"/>
  <c r="AE12" i="31"/>
  <c r="AE71" i="31" s="1"/>
  <c r="AH12" i="31"/>
  <c r="AH71" i="31" s="1"/>
  <c r="AK12" i="31"/>
  <c r="AL12" i="31"/>
  <c r="AM12" i="31"/>
  <c r="AN12" i="31"/>
  <c r="AO12" i="31"/>
  <c r="BL12" i="31" s="1"/>
  <c r="B13" i="31"/>
  <c r="C13" i="31"/>
  <c r="D13" i="31"/>
  <c r="E13" i="31"/>
  <c r="F13" i="31"/>
  <c r="G13" i="31"/>
  <c r="H13" i="31"/>
  <c r="I13" i="31"/>
  <c r="J13" i="31"/>
  <c r="K13" i="31"/>
  <c r="L13" i="31"/>
  <c r="M13" i="31"/>
  <c r="N13" i="31"/>
  <c r="O13" i="31"/>
  <c r="P13" i="31"/>
  <c r="Q13" i="31"/>
  <c r="R13" i="31"/>
  <c r="S13" i="31"/>
  <c r="T13" i="31"/>
  <c r="U13" i="31"/>
  <c r="V13" i="31"/>
  <c r="W13" i="31"/>
  <c r="X13" i="31"/>
  <c r="Y13" i="31"/>
  <c r="Z13" i="31"/>
  <c r="AA13" i="31"/>
  <c r="AB13" i="31"/>
  <c r="AE13" i="31"/>
  <c r="AE67" i="31" s="1"/>
  <c r="AH13" i="31"/>
  <c r="AH76" i="31" s="1"/>
  <c r="AK13" i="31"/>
  <c r="AL13" i="31"/>
  <c r="BI13" i="31" s="1"/>
  <c r="AM13" i="31"/>
  <c r="AN13" i="31"/>
  <c r="AO13" i="31"/>
  <c r="BL13" i="31" s="1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R14" i="31"/>
  <c r="S14" i="31"/>
  <c r="T14" i="31"/>
  <c r="U14" i="31"/>
  <c r="V14" i="31"/>
  <c r="W14" i="31"/>
  <c r="X14" i="31"/>
  <c r="Y14" i="31"/>
  <c r="Z14" i="31"/>
  <c r="AA14" i="31"/>
  <c r="AB14" i="31"/>
  <c r="AE14" i="31"/>
  <c r="AH14" i="31"/>
  <c r="B15" i="31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R15" i="31"/>
  <c r="S15" i="31"/>
  <c r="T15" i="31"/>
  <c r="U15" i="31"/>
  <c r="V15" i="31"/>
  <c r="W15" i="31"/>
  <c r="X15" i="31"/>
  <c r="Y15" i="31"/>
  <c r="Z15" i="31"/>
  <c r="AA15" i="31"/>
  <c r="AB15" i="31"/>
  <c r="AE15" i="31"/>
  <c r="AH15" i="31"/>
  <c r="AK15" i="31"/>
  <c r="AL15" i="31"/>
  <c r="AM15" i="31"/>
  <c r="AN15" i="31"/>
  <c r="AO15" i="31"/>
  <c r="BL15" i="31" s="1"/>
  <c r="B16" i="31"/>
  <c r="C16" i="31"/>
  <c r="D16" i="31"/>
  <c r="E16" i="31"/>
  <c r="F16" i="31"/>
  <c r="G16" i="31"/>
  <c r="H16" i="31"/>
  <c r="I16" i="31"/>
  <c r="J16" i="31"/>
  <c r="K16" i="31"/>
  <c r="L16" i="31"/>
  <c r="M16" i="31"/>
  <c r="N16" i="31"/>
  <c r="O16" i="31"/>
  <c r="P16" i="31"/>
  <c r="Q16" i="31"/>
  <c r="R16" i="31"/>
  <c r="S16" i="31"/>
  <c r="T16" i="31"/>
  <c r="U16" i="31"/>
  <c r="V16" i="31"/>
  <c r="W16" i="31"/>
  <c r="X16" i="31"/>
  <c r="Y16" i="31"/>
  <c r="Z16" i="31"/>
  <c r="AA16" i="31"/>
  <c r="AB16" i="31"/>
  <c r="B17" i="31"/>
  <c r="C17" i="31"/>
  <c r="D17" i="31"/>
  <c r="E17" i="31"/>
  <c r="F17" i="31"/>
  <c r="G17" i="31"/>
  <c r="H17" i="31"/>
  <c r="H28" i="31" s="1"/>
  <c r="I17" i="31"/>
  <c r="I28" i="31" s="1"/>
  <c r="I33" i="31" s="1"/>
  <c r="I34" i="31" s="1"/>
  <c r="J17" i="31"/>
  <c r="K17" i="31"/>
  <c r="K28" i="31" s="1"/>
  <c r="L17" i="31"/>
  <c r="L28" i="31" s="1"/>
  <c r="M17" i="31"/>
  <c r="N17" i="31"/>
  <c r="N28" i="31" s="1"/>
  <c r="O17" i="31"/>
  <c r="O28" i="31"/>
  <c r="O33" i="31" s="1"/>
  <c r="O34" i="31" s="1"/>
  <c r="P17" i="31"/>
  <c r="Q17" i="31"/>
  <c r="Q28" i="31" s="1"/>
  <c r="R17" i="31"/>
  <c r="R28" i="31" s="1"/>
  <c r="S17" i="31"/>
  <c r="T17" i="31"/>
  <c r="T28" i="31" s="1"/>
  <c r="U17" i="31"/>
  <c r="U28" i="31" s="1"/>
  <c r="T33" i="31" s="1"/>
  <c r="T34" i="31" s="1"/>
  <c r="V17" i="31"/>
  <c r="W17" i="31"/>
  <c r="W28" i="31" s="1"/>
  <c r="X17" i="31"/>
  <c r="X28" i="31" s="1"/>
  <c r="Y17" i="31"/>
  <c r="Z17" i="31"/>
  <c r="Z28" i="31" s="1"/>
  <c r="AA17" i="31"/>
  <c r="AA28" i="31" s="1"/>
  <c r="Z33" i="31" s="1"/>
  <c r="Z34" i="31" s="1"/>
  <c r="AB17" i="31"/>
  <c r="AE17" i="31"/>
  <c r="AE80" i="31" s="1"/>
  <c r="AH17" i="31"/>
  <c r="AH79" i="31" s="1"/>
  <c r="AK17" i="31"/>
  <c r="AL17" i="31"/>
  <c r="BI17" i="31" s="1"/>
  <c r="AM17" i="31"/>
  <c r="AN17" i="31"/>
  <c r="AO17" i="31"/>
  <c r="BL17" i="31" s="1"/>
  <c r="B18" i="31"/>
  <c r="C18" i="31"/>
  <c r="D18" i="31"/>
  <c r="E18" i="31"/>
  <c r="F18" i="31"/>
  <c r="G18" i="31"/>
  <c r="H18" i="31"/>
  <c r="H29" i="31" s="1"/>
  <c r="I18" i="31"/>
  <c r="I29" i="31" s="1"/>
  <c r="J18" i="31"/>
  <c r="K18" i="31"/>
  <c r="K29" i="31" s="1"/>
  <c r="L18" i="31"/>
  <c r="L29" i="31" s="1"/>
  <c r="M18" i="31"/>
  <c r="N18" i="31"/>
  <c r="N29" i="31" s="1"/>
  <c r="O18" i="31"/>
  <c r="O29" i="31" s="1"/>
  <c r="P18" i="31"/>
  <c r="Q18" i="31"/>
  <c r="Q29" i="31" s="1"/>
  <c r="R18" i="31"/>
  <c r="R29" i="31" s="1"/>
  <c r="S18" i="31"/>
  <c r="T18" i="31"/>
  <c r="T29" i="31" s="1"/>
  <c r="U18" i="31"/>
  <c r="U29" i="31" s="1"/>
  <c r="V18" i="31"/>
  <c r="W18" i="31"/>
  <c r="W29" i="31" s="1"/>
  <c r="X18" i="31"/>
  <c r="X29" i="31"/>
  <c r="Y18" i="31"/>
  <c r="Z18" i="31"/>
  <c r="Z29" i="31" s="1"/>
  <c r="AA18" i="31"/>
  <c r="AA29" i="31" s="1"/>
  <c r="AB18" i="31"/>
  <c r="AK18" i="31"/>
  <c r="AL18" i="31"/>
  <c r="AM18" i="31"/>
  <c r="AN18" i="31"/>
  <c r="AO18" i="31"/>
  <c r="BL18" i="31" s="1"/>
  <c r="B19" i="31"/>
  <c r="C19" i="31"/>
  <c r="D19" i="31"/>
  <c r="E19" i="31"/>
  <c r="F19" i="31"/>
  <c r="AE19" i="31"/>
  <c r="AH19" i="31"/>
  <c r="B20" i="31"/>
  <c r="C20" i="31"/>
  <c r="D20" i="31"/>
  <c r="E20" i="31"/>
  <c r="F20" i="31"/>
  <c r="AE20" i="31"/>
  <c r="AH20" i="31"/>
  <c r="AK20" i="31"/>
  <c r="AL20" i="31"/>
  <c r="AM20" i="31"/>
  <c r="AN20" i="31"/>
  <c r="AO20" i="31"/>
  <c r="BL20" i="31" s="1"/>
  <c r="B21" i="31"/>
  <c r="C21" i="31"/>
  <c r="D21" i="31"/>
  <c r="E21" i="31"/>
  <c r="F21" i="31"/>
  <c r="AE21" i="31"/>
  <c r="AH21" i="31"/>
  <c r="B22" i="31"/>
  <c r="C22" i="31"/>
  <c r="D22" i="31"/>
  <c r="E22" i="31"/>
  <c r="F22" i="31"/>
  <c r="AE22" i="31"/>
  <c r="AH22" i="31"/>
  <c r="AK22" i="31"/>
  <c r="AL22" i="31"/>
  <c r="AM22" i="31"/>
  <c r="AN22" i="31"/>
  <c r="AO22" i="31"/>
  <c r="BL22" i="31" s="1"/>
  <c r="B23" i="31"/>
  <c r="C23" i="31"/>
  <c r="D23" i="31"/>
  <c r="E23" i="31"/>
  <c r="F23" i="31"/>
  <c r="AE23" i="31"/>
  <c r="AH23" i="31"/>
  <c r="AK23" i="31"/>
  <c r="AL23" i="31"/>
  <c r="AM23" i="31"/>
  <c r="AN23" i="31"/>
  <c r="AO23" i="31"/>
  <c r="BL23" i="31" s="1"/>
  <c r="B24" i="31"/>
  <c r="C24" i="31"/>
  <c r="D24" i="31"/>
  <c r="E24" i="31"/>
  <c r="F24" i="31"/>
  <c r="AE24" i="31"/>
  <c r="AH24" i="31"/>
  <c r="B25" i="31"/>
  <c r="C25" i="31"/>
  <c r="D25" i="31"/>
  <c r="E25" i="31"/>
  <c r="F25" i="31"/>
  <c r="AE25" i="31"/>
  <c r="AH25" i="31"/>
  <c r="AK25" i="31"/>
  <c r="AL25" i="31"/>
  <c r="BI25" i="31" s="1"/>
  <c r="AM25" i="31"/>
  <c r="AN25" i="31"/>
  <c r="AO25" i="31"/>
  <c r="BL25" i="31" s="1"/>
  <c r="B26" i="31"/>
  <c r="C26" i="31"/>
  <c r="D26" i="31"/>
  <c r="E26" i="31"/>
  <c r="F26" i="31"/>
  <c r="AK26" i="31"/>
  <c r="AL26" i="31"/>
  <c r="BI26" i="31" s="1"/>
  <c r="AM26" i="31"/>
  <c r="AN26" i="31"/>
  <c r="AO26" i="31"/>
  <c r="BL26" i="31" s="1"/>
  <c r="B27" i="31"/>
  <c r="C27" i="31"/>
  <c r="D27" i="31"/>
  <c r="E27" i="31"/>
  <c r="F27" i="31"/>
  <c r="AE27" i="31"/>
  <c r="AH27" i="31"/>
  <c r="B28" i="31"/>
  <c r="C28" i="31"/>
  <c r="D28" i="31"/>
  <c r="E28" i="31"/>
  <c r="F28" i="31"/>
  <c r="AE28" i="31"/>
  <c r="AH28" i="31"/>
  <c r="AK28" i="31"/>
  <c r="AL28" i="31"/>
  <c r="AM28" i="31"/>
  <c r="AN28" i="31"/>
  <c r="AO28" i="31"/>
  <c r="BL28" i="31" s="1"/>
  <c r="B29" i="31"/>
  <c r="C29" i="31"/>
  <c r="D29" i="31"/>
  <c r="E29" i="31"/>
  <c r="F29" i="31"/>
  <c r="AK29" i="31"/>
  <c r="AL29" i="31"/>
  <c r="AM29" i="31"/>
  <c r="AN29" i="31"/>
  <c r="AO29" i="31"/>
  <c r="BL29" i="31" s="1"/>
  <c r="B30" i="31"/>
  <c r="C30" i="31"/>
  <c r="D30" i="31"/>
  <c r="E30" i="31"/>
  <c r="F30" i="31"/>
  <c r="AE30" i="31"/>
  <c r="AH30" i="31"/>
  <c r="B31" i="31"/>
  <c r="C31" i="31"/>
  <c r="D31" i="31"/>
  <c r="E31" i="31"/>
  <c r="F31" i="31"/>
  <c r="AE31" i="31"/>
  <c r="AH31" i="31"/>
  <c r="AK31" i="31"/>
  <c r="AL31" i="31"/>
  <c r="AM31" i="31"/>
  <c r="AN31" i="31"/>
  <c r="BK31" i="31" s="1"/>
  <c r="AO31" i="31"/>
  <c r="BL31" i="31" s="1"/>
  <c r="B32" i="31"/>
  <c r="C32" i="31"/>
  <c r="D32" i="31"/>
  <c r="E32" i="31"/>
  <c r="F32" i="31"/>
  <c r="AE32" i="31"/>
  <c r="AH32" i="31"/>
  <c r="B33" i="31"/>
  <c r="C33" i="31"/>
  <c r="D33" i="31"/>
  <c r="E33" i="31"/>
  <c r="F33" i="31"/>
  <c r="AE33" i="31"/>
  <c r="AH33" i="31"/>
  <c r="AK33" i="31"/>
  <c r="AL33" i="31"/>
  <c r="AM33" i="31"/>
  <c r="AN33" i="31"/>
  <c r="AO33" i="31"/>
  <c r="BL33" i="31" s="1"/>
  <c r="B34" i="31"/>
  <c r="C34" i="31"/>
  <c r="D34" i="31"/>
  <c r="E34" i="31"/>
  <c r="F34" i="31"/>
  <c r="AE34" i="31"/>
  <c r="AH34" i="31"/>
  <c r="B35" i="31"/>
  <c r="C35" i="31"/>
  <c r="D35" i="31"/>
  <c r="E35" i="31"/>
  <c r="F35" i="31"/>
  <c r="AE35" i="31"/>
  <c r="AH35" i="31"/>
  <c r="B36" i="31"/>
  <c r="C36" i="31"/>
  <c r="D36" i="31"/>
  <c r="E36" i="31"/>
  <c r="F36" i="31"/>
  <c r="AE36" i="31"/>
  <c r="AH36" i="31"/>
  <c r="B37" i="31"/>
  <c r="C37" i="31"/>
  <c r="D37" i="31"/>
  <c r="E37" i="31"/>
  <c r="F37" i="31"/>
  <c r="AE37" i="31"/>
  <c r="AH37" i="31"/>
  <c r="B38" i="31"/>
  <c r="C38" i="31"/>
  <c r="D38" i="31"/>
  <c r="E38" i="31"/>
  <c r="F38" i="31"/>
  <c r="AE38" i="31"/>
  <c r="AH38" i="31"/>
  <c r="B39" i="31"/>
  <c r="C39" i="31"/>
  <c r="D39" i="31"/>
  <c r="E39" i="31"/>
  <c r="F39" i="31"/>
  <c r="AE39" i="31"/>
  <c r="AH39" i="31"/>
  <c r="B40" i="31"/>
  <c r="C40" i="31"/>
  <c r="D40" i="31"/>
  <c r="E40" i="31"/>
  <c r="F40" i="31"/>
  <c r="AE40" i="31"/>
  <c r="AH40" i="31"/>
  <c r="B41" i="31"/>
  <c r="C41" i="31"/>
  <c r="D41" i="31"/>
  <c r="E41" i="31"/>
  <c r="F41" i="31"/>
  <c r="AE41" i="31"/>
  <c r="AH41" i="31"/>
  <c r="B42" i="31"/>
  <c r="C42" i="31"/>
  <c r="D42" i="31"/>
  <c r="E42" i="31"/>
  <c r="F42" i="31"/>
  <c r="AE42" i="31"/>
  <c r="AH42" i="31"/>
  <c r="B43" i="31"/>
  <c r="C43" i="31"/>
  <c r="D43" i="31"/>
  <c r="E43" i="31"/>
  <c r="F43" i="31"/>
  <c r="AE43" i="31"/>
  <c r="AH43" i="31"/>
  <c r="B44" i="31"/>
  <c r="C44" i="31"/>
  <c r="D44" i="31"/>
  <c r="E44" i="31"/>
  <c r="F44" i="31"/>
  <c r="B45" i="31"/>
  <c r="C45" i="31"/>
  <c r="D45" i="31"/>
  <c r="E45" i="31"/>
  <c r="F45" i="31"/>
  <c r="B46" i="31"/>
  <c r="C46" i="31"/>
  <c r="D46" i="31"/>
  <c r="E46" i="31"/>
  <c r="F46" i="31"/>
  <c r="B47" i="31"/>
  <c r="C47" i="31"/>
  <c r="D47" i="31"/>
  <c r="E47" i="31"/>
  <c r="F47" i="31"/>
  <c r="AE47" i="31"/>
  <c r="AH47" i="31"/>
  <c r="B48" i="31"/>
  <c r="C48" i="31"/>
  <c r="D48" i="31"/>
  <c r="E48" i="31"/>
  <c r="F48" i="31"/>
  <c r="AE48" i="31"/>
  <c r="AH48" i="31"/>
  <c r="B49" i="31"/>
  <c r="C49" i="31"/>
  <c r="D49" i="31"/>
  <c r="E49" i="31"/>
  <c r="F49" i="31"/>
  <c r="AE49" i="31"/>
  <c r="AH49" i="31"/>
  <c r="B50" i="31"/>
  <c r="C50" i="31"/>
  <c r="D50" i="31"/>
  <c r="E50" i="31"/>
  <c r="F50" i="31"/>
  <c r="B51" i="31"/>
  <c r="C51" i="31"/>
  <c r="D51" i="31"/>
  <c r="E51" i="31"/>
  <c r="F51" i="31"/>
  <c r="AE51" i="31"/>
  <c r="AH51" i="31"/>
  <c r="B52" i="31"/>
  <c r="C52" i="31"/>
  <c r="D52" i="31"/>
  <c r="E52" i="31"/>
  <c r="F52" i="31"/>
  <c r="AE52" i="31"/>
  <c r="AH52" i="31"/>
  <c r="B53" i="31"/>
  <c r="C53" i="31"/>
  <c r="D53" i="31"/>
  <c r="E53" i="31"/>
  <c r="F53" i="31"/>
  <c r="AE53" i="31"/>
  <c r="AH53" i="31"/>
  <c r="AK53" i="31"/>
  <c r="AL53" i="31"/>
  <c r="AM53" i="31"/>
  <c r="AN53" i="31"/>
  <c r="AO53" i="31"/>
  <c r="BL53" i="31" s="1"/>
  <c r="B54" i="31"/>
  <c r="C54" i="31"/>
  <c r="D54" i="31"/>
  <c r="E54" i="31"/>
  <c r="F54" i="31"/>
  <c r="AE54" i="31"/>
  <c r="AH54" i="31"/>
  <c r="B55" i="31"/>
  <c r="C55" i="31"/>
  <c r="D55" i="31"/>
  <c r="E55" i="31"/>
  <c r="F55" i="31"/>
  <c r="AE55" i="31"/>
  <c r="AH55" i="31"/>
  <c r="AK55" i="31"/>
  <c r="AL55" i="31"/>
  <c r="AM55" i="31"/>
  <c r="AN55" i="31"/>
  <c r="AO55" i="31"/>
  <c r="BL55" i="31" s="1"/>
  <c r="B56" i="31"/>
  <c r="C56" i="31"/>
  <c r="D56" i="31"/>
  <c r="E56" i="31"/>
  <c r="F56" i="31"/>
  <c r="AE56" i="31"/>
  <c r="AH56" i="31"/>
  <c r="B57" i="31"/>
  <c r="C57" i="31"/>
  <c r="D57" i="31"/>
  <c r="E57" i="31"/>
  <c r="F57" i="31"/>
  <c r="AE57" i="31"/>
  <c r="AH57" i="31"/>
  <c r="B58" i="31"/>
  <c r="C58" i="31"/>
  <c r="D58" i="31"/>
  <c r="E58" i="31"/>
  <c r="F58" i="31"/>
  <c r="AE58" i="31"/>
  <c r="AH58" i="31"/>
  <c r="B59" i="31"/>
  <c r="C59" i="31"/>
  <c r="D59" i="31"/>
  <c r="E59" i="31"/>
  <c r="F59" i="31"/>
  <c r="AE59" i="31"/>
  <c r="AH59" i="31"/>
  <c r="B60" i="31"/>
  <c r="C60" i="31"/>
  <c r="D60" i="31"/>
  <c r="E60" i="31"/>
  <c r="F60" i="31"/>
  <c r="AE60" i="31"/>
  <c r="AH60" i="31"/>
  <c r="B61" i="31"/>
  <c r="C61" i="31"/>
  <c r="D61" i="31"/>
  <c r="E61" i="31"/>
  <c r="F61" i="31"/>
  <c r="AE61" i="31"/>
  <c r="AH61" i="31"/>
  <c r="AK61" i="31"/>
  <c r="AL61" i="31"/>
  <c r="AM61" i="31"/>
  <c r="AN61" i="31"/>
  <c r="BK61" i="31" s="1"/>
  <c r="AO61" i="31"/>
  <c r="BL61" i="31" s="1"/>
  <c r="B62" i="31"/>
  <c r="C62" i="31"/>
  <c r="D62" i="31"/>
  <c r="E62" i="31"/>
  <c r="F62" i="31"/>
  <c r="AE62" i="31"/>
  <c r="AH62" i="31"/>
  <c r="B63" i="31"/>
  <c r="C63" i="31"/>
  <c r="D63" i="31"/>
  <c r="E63" i="31"/>
  <c r="F63" i="31"/>
  <c r="AE63" i="31"/>
  <c r="AH63" i="31"/>
  <c r="AK63" i="31"/>
  <c r="AL63" i="31"/>
  <c r="BI63" i="31" s="1"/>
  <c r="AM63" i="31"/>
  <c r="AN63" i="31"/>
  <c r="BK63" i="31" s="1"/>
  <c r="AO63" i="31"/>
  <c r="BL63" i="31" s="1"/>
  <c r="B64" i="31"/>
  <c r="C64" i="31"/>
  <c r="D64" i="31"/>
  <c r="E64" i="31"/>
  <c r="F64" i="31"/>
  <c r="AE64" i="31"/>
  <c r="AH64" i="31"/>
  <c r="B65" i="31"/>
  <c r="C65" i="31"/>
  <c r="D65" i="31"/>
  <c r="E65" i="31"/>
  <c r="F65" i="31"/>
  <c r="AE65" i="31"/>
  <c r="AH65" i="31"/>
  <c r="AK65" i="31"/>
  <c r="AL65" i="31"/>
  <c r="BI65" i="31" s="1"/>
  <c r="AM65" i="31"/>
  <c r="AN65" i="31"/>
  <c r="AO65" i="31"/>
  <c r="BL65" i="31"/>
  <c r="B66" i="31"/>
  <c r="C66" i="31"/>
  <c r="D66" i="31"/>
  <c r="E66" i="31"/>
  <c r="F66" i="31"/>
  <c r="AE66" i="31"/>
  <c r="AH66" i="31"/>
  <c r="AK66" i="31"/>
  <c r="AL66" i="31"/>
  <c r="AM66" i="31"/>
  <c r="AN66" i="31"/>
  <c r="AO66" i="31"/>
  <c r="BL66" i="31" s="1"/>
  <c r="B67" i="31"/>
  <c r="C67" i="31"/>
  <c r="D67" i="31"/>
  <c r="E67" i="31"/>
  <c r="F67" i="31"/>
  <c r="B68" i="31"/>
  <c r="C68" i="31"/>
  <c r="D68" i="31"/>
  <c r="E68" i="31"/>
  <c r="F68" i="31"/>
  <c r="AK68" i="31"/>
  <c r="AL68" i="31"/>
  <c r="AM68" i="31"/>
  <c r="AN68" i="31"/>
  <c r="AO68" i="31"/>
  <c r="BL68" i="31" s="1"/>
  <c r="B69" i="31"/>
  <c r="C69" i="31"/>
  <c r="D69" i="31"/>
  <c r="E69" i="31"/>
  <c r="F69" i="31"/>
  <c r="B70" i="31"/>
  <c r="C70" i="31"/>
  <c r="D70" i="31"/>
  <c r="E70" i="31"/>
  <c r="F70" i="31"/>
  <c r="AK70" i="31"/>
  <c r="AL70" i="31"/>
  <c r="AM70" i="31"/>
  <c r="AN70" i="31"/>
  <c r="BK70" i="31" s="1"/>
  <c r="AO70" i="31"/>
  <c r="BL70" i="31" s="1"/>
  <c r="B71" i="31"/>
  <c r="C71" i="31"/>
  <c r="D71" i="31"/>
  <c r="E71" i="31"/>
  <c r="F71" i="31"/>
  <c r="AK71" i="31"/>
  <c r="AL71" i="31"/>
  <c r="BI71" i="31" s="1"/>
  <c r="AM71" i="31"/>
  <c r="AN71" i="31"/>
  <c r="BK71" i="31" s="1"/>
  <c r="AO71" i="31"/>
  <c r="BL71" i="31" s="1"/>
  <c r="B72" i="31"/>
  <c r="C72" i="31"/>
  <c r="D72" i="31"/>
  <c r="E72" i="31"/>
  <c r="F72" i="31"/>
  <c r="B73" i="31"/>
  <c r="C73" i="31"/>
  <c r="D73" i="31"/>
  <c r="E73" i="31"/>
  <c r="F73" i="31"/>
  <c r="AK73" i="31"/>
  <c r="AL73" i="31"/>
  <c r="AM73" i="31"/>
  <c r="AN73" i="31"/>
  <c r="BK73" i="31" s="1"/>
  <c r="AO73" i="31"/>
  <c r="BL73" i="31" s="1"/>
  <c r="B74" i="31"/>
  <c r="C74" i="31"/>
  <c r="D74" i="31"/>
  <c r="E74" i="31"/>
  <c r="F74" i="31"/>
  <c r="AK74" i="31"/>
  <c r="AL74" i="31"/>
  <c r="BI74" i="31" s="1"/>
  <c r="AM74" i="31"/>
  <c r="AN74" i="31"/>
  <c r="AO74" i="31"/>
  <c r="BL74" i="31" s="1"/>
  <c r="B75" i="31"/>
  <c r="C75" i="31"/>
  <c r="D75" i="31"/>
  <c r="E75" i="31"/>
  <c r="F75" i="31"/>
  <c r="B76" i="31"/>
  <c r="C76" i="31"/>
  <c r="D76" i="31"/>
  <c r="E76" i="31"/>
  <c r="F76" i="31"/>
  <c r="AK76" i="31"/>
  <c r="AL76" i="31"/>
  <c r="AM76" i="31"/>
  <c r="AN76" i="31"/>
  <c r="BK76" i="31" s="1"/>
  <c r="AO76" i="31"/>
  <c r="BL76" i="31" s="1"/>
  <c r="B77" i="31"/>
  <c r="C77" i="31"/>
  <c r="D77" i="31"/>
  <c r="E77" i="31"/>
  <c r="F77" i="31"/>
  <c r="AK77" i="31"/>
  <c r="AL77" i="31"/>
  <c r="AM77" i="31"/>
  <c r="AN77" i="31"/>
  <c r="AO77" i="31"/>
  <c r="BL77" i="31" s="1"/>
  <c r="B78" i="31"/>
  <c r="C78" i="31"/>
  <c r="D78" i="31"/>
  <c r="E78" i="31"/>
  <c r="F78" i="31"/>
  <c r="B79" i="31"/>
  <c r="C79" i="31"/>
  <c r="D79" i="31"/>
  <c r="E79" i="31"/>
  <c r="F79" i="31"/>
  <c r="AK79" i="31"/>
  <c r="AL79" i="31"/>
  <c r="AM79" i="31"/>
  <c r="AN79" i="31"/>
  <c r="AO79" i="31"/>
  <c r="BL79" i="31"/>
  <c r="B80" i="31"/>
  <c r="C80" i="31"/>
  <c r="D80" i="31"/>
  <c r="E80" i="31"/>
  <c r="F80" i="31"/>
  <c r="B81" i="31"/>
  <c r="C81" i="31"/>
  <c r="D81" i="31"/>
  <c r="E81" i="31"/>
  <c r="F81" i="31"/>
  <c r="AK81" i="31"/>
  <c r="AL81" i="31"/>
  <c r="BI81" i="31" s="1"/>
  <c r="AM81" i="31"/>
  <c r="AN81" i="31"/>
  <c r="BK81" i="31" s="1"/>
  <c r="AO81" i="31"/>
  <c r="BL81" i="31" s="1"/>
  <c r="B82" i="31"/>
  <c r="AK82" i="31"/>
  <c r="AL82" i="31"/>
  <c r="AM82" i="31"/>
  <c r="AN82" i="31"/>
  <c r="BK82" i="31" s="1"/>
  <c r="AO82" i="31"/>
  <c r="BL82" i="31" s="1"/>
  <c r="B83" i="31"/>
  <c r="B84" i="31"/>
  <c r="AK84" i="31"/>
  <c r="AL84" i="31"/>
  <c r="BI84" i="31" s="1"/>
  <c r="AM84" i="31"/>
  <c r="AN84" i="31"/>
  <c r="AO84" i="31"/>
  <c r="BL84" i="31" s="1"/>
  <c r="B85" i="31"/>
  <c r="AK85" i="31"/>
  <c r="AL85" i="31"/>
  <c r="AM85" i="31"/>
  <c r="AN85" i="31"/>
  <c r="AO85" i="31"/>
  <c r="BL85" i="31" s="1"/>
  <c r="B86" i="31"/>
  <c r="B87" i="31"/>
  <c r="AK87" i="31"/>
  <c r="AL87" i="31"/>
  <c r="AM87" i="31"/>
  <c r="AN87" i="31"/>
  <c r="BK87" i="31" s="1"/>
  <c r="AO87" i="31"/>
  <c r="BL87" i="31" s="1"/>
  <c r="B88" i="31"/>
  <c r="AK88" i="31"/>
  <c r="AL88" i="31"/>
  <c r="AM88" i="31"/>
  <c r="AN88" i="31"/>
  <c r="AO88" i="31"/>
  <c r="BL88" i="31" s="1"/>
  <c r="B89" i="31"/>
  <c r="B90" i="31"/>
  <c r="AK90" i="31"/>
  <c r="AL90" i="31"/>
  <c r="BI90" i="31" s="1"/>
  <c r="AM90" i="31"/>
  <c r="AN90" i="31"/>
  <c r="AO90" i="31"/>
  <c r="BL90" i="31" s="1"/>
  <c r="B91" i="31"/>
  <c r="AK91" i="31"/>
  <c r="AL91" i="31"/>
  <c r="AM91" i="31"/>
  <c r="AN91" i="31"/>
  <c r="BK91" i="31" s="1"/>
  <c r="AO91" i="31"/>
  <c r="BL91" i="31" s="1"/>
  <c r="B92" i="31"/>
  <c r="B93" i="31"/>
  <c r="AK93" i="31"/>
  <c r="AL93" i="31"/>
  <c r="AM93" i="31"/>
  <c r="AN93" i="31"/>
  <c r="AO93" i="31"/>
  <c r="BL93" i="31" s="1"/>
  <c r="B94" i="31"/>
  <c r="AK94" i="31"/>
  <c r="AL94" i="31"/>
  <c r="AM94" i="31"/>
  <c r="AN94" i="31"/>
  <c r="BK94" i="31" s="1"/>
  <c r="AO94" i="31"/>
  <c r="BL94" i="31" s="1"/>
  <c r="B95" i="31"/>
  <c r="B96" i="31"/>
  <c r="AK96" i="31"/>
  <c r="AL96" i="31"/>
  <c r="AM96" i="31"/>
  <c r="AN96" i="31"/>
  <c r="AO96" i="31"/>
  <c r="BL96" i="31" s="1"/>
  <c r="B97" i="31"/>
  <c r="AK97" i="31"/>
  <c r="AL97" i="31"/>
  <c r="BI97" i="31" s="1"/>
  <c r="AM97" i="31"/>
  <c r="AN97" i="31"/>
  <c r="AO97" i="31"/>
  <c r="BL97" i="31" s="1"/>
  <c r="B98" i="31"/>
  <c r="B99" i="31"/>
  <c r="AK99" i="31"/>
  <c r="AL99" i="31"/>
  <c r="AM99" i="31"/>
  <c r="AN99" i="31"/>
  <c r="BK99" i="31" s="1"/>
  <c r="AO99" i="31"/>
  <c r="BL99" i="31" s="1"/>
  <c r="B100" i="31"/>
  <c r="AK100" i="31"/>
  <c r="AL100" i="31"/>
  <c r="BI100" i="31" s="1"/>
  <c r="AM100" i="31"/>
  <c r="AN100" i="31"/>
  <c r="AO100" i="31"/>
  <c r="BL100" i="31" s="1"/>
  <c r="B101" i="31"/>
  <c r="B102" i="31"/>
  <c r="AK102" i="31"/>
  <c r="AL102" i="31"/>
  <c r="AM102" i="31"/>
  <c r="AN102" i="31"/>
  <c r="AO102" i="31"/>
  <c r="BL102" i="31" s="1"/>
  <c r="B103" i="31"/>
  <c r="AK103" i="31"/>
  <c r="AL103" i="31"/>
  <c r="BI103" i="31" s="1"/>
  <c r="AM103" i="31"/>
  <c r="BJ103" i="31" s="1"/>
  <c r="AN103" i="31"/>
  <c r="BK103" i="31" s="1"/>
  <c r="AO103" i="31"/>
  <c r="BL103" i="31" s="1"/>
  <c r="B104" i="31"/>
  <c r="B105" i="31"/>
  <c r="AK105" i="31"/>
  <c r="AL105" i="31"/>
  <c r="AM105" i="31"/>
  <c r="AN105" i="31"/>
  <c r="AO105" i="31"/>
  <c r="BL105" i="31" s="1"/>
  <c r="B106" i="31"/>
  <c r="AK106" i="31"/>
  <c r="AL106" i="31"/>
  <c r="BI106" i="31" s="1"/>
  <c r="AM106" i="31"/>
  <c r="AN106" i="31"/>
  <c r="BK106" i="31" s="1"/>
  <c r="AO106" i="31"/>
  <c r="BL106" i="31" s="1"/>
  <c r="B107" i="31"/>
  <c r="B108" i="31"/>
  <c r="AK108" i="31"/>
  <c r="AL108" i="31"/>
  <c r="BI108" i="31" s="1"/>
  <c r="AM108" i="31"/>
  <c r="AN108" i="31"/>
  <c r="AO108" i="31"/>
  <c r="BL108" i="31" s="1"/>
  <c r="B109" i="31"/>
  <c r="AK109" i="31"/>
  <c r="AL109" i="31"/>
  <c r="AM109" i="31"/>
  <c r="AN109" i="31"/>
  <c r="BK109" i="31" s="1"/>
  <c r="AO109" i="31"/>
  <c r="BL109" i="31" s="1"/>
  <c r="B110" i="31"/>
  <c r="B111" i="31"/>
  <c r="AK111" i="31"/>
  <c r="AL111" i="31"/>
  <c r="BI111" i="31" s="1"/>
  <c r="AM111" i="31"/>
  <c r="AN111" i="31"/>
  <c r="AO111" i="31"/>
  <c r="BL111" i="31" s="1"/>
  <c r="B112" i="31"/>
  <c r="AK112" i="31"/>
  <c r="BH112" i="31" s="1"/>
  <c r="AL112" i="31"/>
  <c r="AM112" i="31"/>
  <c r="AN112" i="31"/>
  <c r="BK112" i="31" s="1"/>
  <c r="AO112" i="31"/>
  <c r="BL112" i="31" s="1"/>
  <c r="B113" i="31"/>
  <c r="B114" i="31"/>
  <c r="B115" i="31"/>
  <c r="B116" i="31"/>
  <c r="B117" i="31"/>
  <c r="B118" i="31"/>
  <c r="B119" i="31"/>
  <c r="AK119" i="31"/>
  <c r="AL119" i="31"/>
  <c r="AM119" i="31"/>
  <c r="AN119" i="31"/>
  <c r="BK119" i="31" s="1"/>
  <c r="AO119" i="31"/>
  <c r="BL119" i="31" s="1"/>
  <c r="B120" i="31"/>
  <c r="AK120" i="31"/>
  <c r="AL120" i="31"/>
  <c r="AM120" i="31"/>
  <c r="AN120" i="31"/>
  <c r="AO120" i="31"/>
  <c r="BL120" i="31" s="1"/>
  <c r="B121" i="31"/>
  <c r="B122" i="31"/>
  <c r="AK122" i="31"/>
  <c r="AL122" i="31"/>
  <c r="AM122" i="31"/>
  <c r="AN122" i="31"/>
  <c r="BK122" i="31" s="1"/>
  <c r="AO122" i="31"/>
  <c r="BL122" i="31" s="1"/>
  <c r="B123" i="31"/>
  <c r="AK123" i="31"/>
  <c r="AL123" i="31"/>
  <c r="BI123" i="31" s="1"/>
  <c r="AM123" i="31"/>
  <c r="AN123" i="31"/>
  <c r="AO123" i="31"/>
  <c r="BL123" i="31" s="1"/>
  <c r="B124" i="31"/>
  <c r="B125" i="31"/>
  <c r="AK125" i="31"/>
  <c r="AL125" i="31"/>
  <c r="BI125" i="31" s="1"/>
  <c r="AM125" i="31"/>
  <c r="AN125" i="31"/>
  <c r="AO125" i="31"/>
  <c r="BL125" i="31" s="1"/>
  <c r="B126" i="31"/>
  <c r="AK126" i="31"/>
  <c r="AL126" i="31"/>
  <c r="BI126" i="31" s="1"/>
  <c r="AM126" i="31"/>
  <c r="AN126" i="31"/>
  <c r="BK126" i="31" s="1"/>
  <c r="AO126" i="31"/>
  <c r="BL126" i="31" s="1"/>
  <c r="B127" i="31"/>
  <c r="B128" i="31"/>
  <c r="AK128" i="31"/>
  <c r="AL128" i="31"/>
  <c r="AM128" i="31"/>
  <c r="AN128" i="31"/>
  <c r="BK128" i="31" s="1"/>
  <c r="AO128" i="31"/>
  <c r="BL128" i="31" s="1"/>
  <c r="B129" i="31"/>
  <c r="AK129" i="31"/>
  <c r="AL129" i="31"/>
  <c r="BI129" i="31" s="1"/>
  <c r="AM129" i="31"/>
  <c r="AN129" i="31"/>
  <c r="AO129" i="31"/>
  <c r="BL129" i="31" s="1"/>
  <c r="B130" i="31"/>
  <c r="B131" i="31"/>
  <c r="AK131" i="31"/>
  <c r="AL131" i="31"/>
  <c r="BI131" i="31" s="1"/>
  <c r="AM131" i="31"/>
  <c r="AN131" i="31"/>
  <c r="AO131" i="31"/>
  <c r="BL131" i="31" s="1"/>
  <c r="B132" i="31"/>
  <c r="AK132" i="31"/>
  <c r="AL132" i="31"/>
  <c r="AM132" i="31"/>
  <c r="AN132" i="31"/>
  <c r="AO132" i="31"/>
  <c r="BL132" i="31" s="1"/>
  <c r="B133" i="31"/>
  <c r="B134" i="31"/>
  <c r="AK134" i="31"/>
  <c r="AL134" i="31"/>
  <c r="BI134" i="31" s="1"/>
  <c r="AM134" i="31"/>
  <c r="AN134" i="31"/>
  <c r="BK134" i="31" s="1"/>
  <c r="AO134" i="31"/>
  <c r="BL134" i="31" s="1"/>
  <c r="B135" i="31"/>
  <c r="AK135" i="31"/>
  <c r="AL135" i="31"/>
  <c r="BI135" i="31" s="1"/>
  <c r="AM135" i="31"/>
  <c r="AN135" i="31"/>
  <c r="AO135" i="31"/>
  <c r="BL135" i="31" s="1"/>
  <c r="B136" i="31"/>
  <c r="B137" i="31"/>
  <c r="AK137" i="31"/>
  <c r="AL137" i="31"/>
  <c r="AM137" i="31"/>
  <c r="AN137" i="31"/>
  <c r="BK137" i="31" s="1"/>
  <c r="AO137" i="31"/>
  <c r="BL137" i="31" s="1"/>
  <c r="B138" i="31"/>
  <c r="AK138" i="31"/>
  <c r="AL138" i="31"/>
  <c r="AM138" i="31"/>
  <c r="AN138" i="31"/>
  <c r="BK138" i="31" s="1"/>
  <c r="AO138" i="31"/>
  <c r="BL138" i="31" s="1"/>
  <c r="B139" i="31"/>
  <c r="B140" i="31"/>
  <c r="AK140" i="31"/>
  <c r="AL140" i="31"/>
  <c r="BI140" i="31" s="1"/>
  <c r="AM140" i="31"/>
  <c r="AN140" i="31"/>
  <c r="AO140" i="31"/>
  <c r="BL140" i="31" s="1"/>
  <c r="B141" i="31"/>
  <c r="AK141" i="31"/>
  <c r="AL141" i="31"/>
  <c r="AM141" i="31"/>
  <c r="AN141" i="31"/>
  <c r="BK141" i="31" s="1"/>
  <c r="AO141" i="31"/>
  <c r="BL141" i="31" s="1"/>
  <c r="B142" i="31"/>
  <c r="B143" i="31"/>
  <c r="B144" i="31"/>
  <c r="B145" i="31"/>
  <c r="B146" i="31"/>
  <c r="B147" i="31"/>
  <c r="B148" i="31"/>
  <c r="AK148" i="31"/>
  <c r="AL148" i="31"/>
  <c r="BI148" i="31" s="1"/>
  <c r="AM148" i="31"/>
  <c r="AN148" i="31"/>
  <c r="BK148" i="31" s="1"/>
  <c r="AO148" i="31"/>
  <c r="BL148" i="31" s="1"/>
  <c r="B149" i="31"/>
  <c r="B150" i="31"/>
  <c r="AK150" i="31"/>
  <c r="AL150" i="31"/>
  <c r="BI150" i="31" s="1"/>
  <c r="AM150" i="31"/>
  <c r="AN150" i="31"/>
  <c r="AO150" i="31"/>
  <c r="BL150" i="31" s="1"/>
  <c r="B151" i="31"/>
  <c r="B152" i="31"/>
  <c r="AK152" i="31"/>
  <c r="AL152" i="31"/>
  <c r="BI152" i="31" s="1"/>
  <c r="AM152" i="31"/>
  <c r="AN152" i="31"/>
  <c r="AO152" i="31"/>
  <c r="BL152" i="31" s="1"/>
  <c r="B153" i="31"/>
  <c r="B154" i="31"/>
  <c r="AK154" i="31"/>
  <c r="AL154" i="31"/>
  <c r="AM154" i="31"/>
  <c r="AN154" i="31"/>
  <c r="AO154" i="31"/>
  <c r="BL154" i="31" s="1"/>
  <c r="B155" i="31"/>
  <c r="B156" i="31"/>
  <c r="B157" i="31"/>
  <c r="B158" i="31"/>
  <c r="B159" i="31"/>
  <c r="AK159" i="31"/>
  <c r="AL159" i="31"/>
  <c r="BI159" i="31" s="1"/>
  <c r="AM159" i="31"/>
  <c r="BJ159" i="31" s="1"/>
  <c r="AN159" i="31"/>
  <c r="AO159" i="31"/>
  <c r="BL159" i="31" s="1"/>
  <c r="B160" i="31"/>
  <c r="B161" i="31"/>
  <c r="B162" i="31"/>
  <c r="B163" i="31"/>
  <c r="B164" i="31"/>
  <c r="B165" i="31"/>
  <c r="B166" i="31"/>
  <c r="AK166" i="31"/>
  <c r="AL166" i="31"/>
  <c r="AM166" i="31"/>
  <c r="AN166" i="31"/>
  <c r="AO166" i="31"/>
  <c r="BL166" i="31" s="1"/>
  <c r="B167" i="31"/>
  <c r="B168" i="31"/>
  <c r="B169" i="31"/>
  <c r="B170" i="31"/>
  <c r="B171" i="31"/>
  <c r="B172" i="31"/>
  <c r="B173" i="31"/>
  <c r="B174" i="31"/>
  <c r="B175" i="31"/>
  <c r="B176" i="31"/>
  <c r="B177" i="31"/>
  <c r="B178" i="31"/>
  <c r="B179" i="31"/>
  <c r="B180" i="31"/>
  <c r="B181" i="31"/>
  <c r="B182" i="31"/>
  <c r="C1" i="39"/>
  <c r="D1" i="39" s="1"/>
  <c r="E1" i="39" s="1"/>
  <c r="F1" i="39" s="1"/>
  <c r="G1" i="39" s="1"/>
  <c r="H1" i="39" s="1"/>
  <c r="I1" i="39" s="1"/>
  <c r="J1" i="39" s="1"/>
  <c r="K1" i="39" s="1"/>
  <c r="L1" i="39" s="1"/>
  <c r="M1" i="39" s="1"/>
  <c r="N1" i="39" s="1"/>
  <c r="O1" i="39" s="1"/>
  <c r="P1" i="39" s="1"/>
  <c r="Q1" i="39" s="1"/>
  <c r="R1" i="39" s="1"/>
  <c r="S1" i="39" s="1"/>
  <c r="T1" i="39" s="1"/>
  <c r="U1" i="39" s="1"/>
  <c r="V1" i="39" s="1"/>
  <c r="W1" i="39" s="1"/>
  <c r="X1" i="39" s="1"/>
  <c r="Y1" i="39" s="1"/>
  <c r="Z1" i="39" s="1"/>
  <c r="AA1" i="39" s="1"/>
  <c r="AB1" i="39" s="1"/>
  <c r="AC1" i="39" s="1"/>
  <c r="AD1" i="39" s="1"/>
  <c r="AE1" i="39" s="1"/>
  <c r="AF1" i="39" s="1"/>
  <c r="AG1" i="39" s="1"/>
  <c r="AH1" i="39" s="1"/>
  <c r="AI1" i="39" s="1"/>
  <c r="AJ1" i="39" s="1"/>
  <c r="AK1" i="39" s="1"/>
  <c r="AL1" i="39" s="1"/>
  <c r="AM1" i="39" s="1"/>
  <c r="AN1" i="39" s="1"/>
  <c r="AO1" i="39" s="1"/>
  <c r="AP1" i="39" s="1"/>
  <c r="AQ1" i="39" s="1"/>
  <c r="AR1" i="39" s="1"/>
  <c r="A2" i="39"/>
  <c r="A3" i="39"/>
  <c r="B5" i="39"/>
  <c r="AW8" i="39"/>
  <c r="AX8" i="39"/>
  <c r="AY8" i="39"/>
  <c r="AZ8" i="39"/>
  <c r="BA8" i="39"/>
  <c r="A2" i="37"/>
  <c r="B2" i="37"/>
  <c r="A3" i="37"/>
  <c r="B5" i="37"/>
  <c r="AW8" i="37"/>
  <c r="AX8" i="37"/>
  <c r="AY8" i="37"/>
  <c r="AZ8" i="37"/>
  <c r="BA8" i="37"/>
  <c r="F5" i="32"/>
  <c r="G5" i="32" s="1"/>
  <c r="H5" i="32" s="1"/>
  <c r="I5" i="32" s="1"/>
  <c r="J5" i="32" s="1"/>
  <c r="K5" i="32" s="1"/>
  <c r="L5" i="32" s="1"/>
  <c r="M5" i="32" s="1"/>
  <c r="N5" i="32" s="1"/>
  <c r="O5" i="32" s="1"/>
  <c r="P5" i="32" s="1"/>
  <c r="Q5" i="32" s="1"/>
  <c r="R5" i="32" s="1"/>
  <c r="S5" i="32" s="1"/>
  <c r="T5" i="32" s="1"/>
  <c r="U5" i="32" s="1"/>
  <c r="V5" i="32" s="1"/>
  <c r="W5" i="32" s="1"/>
  <c r="X5" i="32" s="1"/>
  <c r="Y5" i="32" s="1"/>
  <c r="I7" i="32"/>
  <c r="L7" i="32"/>
  <c r="O7" i="32"/>
  <c r="R7" i="32"/>
  <c r="U7" i="32"/>
  <c r="X7" i="32"/>
  <c r="AG8" i="32"/>
  <c r="AK8" i="31" s="1"/>
  <c r="AW8" i="31" s="1"/>
  <c r="AH8" i="32"/>
  <c r="AL8" i="31" s="1"/>
  <c r="AX8" i="31" s="1"/>
  <c r="AI8" i="32"/>
  <c r="AM8" i="31" s="1"/>
  <c r="BA8" i="31" s="1"/>
  <c r="AJ8" i="32"/>
  <c r="AN8" i="31" s="1"/>
  <c r="BD8" i="31" s="1"/>
  <c r="AK8" i="32"/>
  <c r="AO8" i="31" s="1"/>
  <c r="BG8" i="31" s="1"/>
  <c r="I86" i="32"/>
  <c r="I88" i="32" s="1"/>
  <c r="L86" i="32"/>
  <c r="L88" i="32" s="1"/>
  <c r="O86" i="32"/>
  <c r="O88" i="32" s="1"/>
  <c r="R86" i="32"/>
  <c r="U86" i="32"/>
  <c r="U88" i="32" s="1"/>
  <c r="X86" i="32"/>
  <c r="AA86" i="32"/>
  <c r="AA88" i="32" s="1"/>
  <c r="AK11" i="31"/>
  <c r="AK16" i="31"/>
  <c r="AK19" i="31"/>
  <c r="AK14" i="31"/>
  <c r="AL121" i="31"/>
  <c r="AL16" i="31"/>
  <c r="BI16" i="31" s="1"/>
  <c r="AL19" i="31"/>
  <c r="AL11" i="31"/>
  <c r="BI11" i="31" s="1"/>
  <c r="AM19" i="31"/>
  <c r="AL14" i="31"/>
  <c r="BI14" i="31" s="1"/>
  <c r="AN19" i="31"/>
  <c r="AM11" i="31"/>
  <c r="AM16" i="31"/>
  <c r="AM14" i="31"/>
  <c r="AN121" i="31"/>
  <c r="AN11" i="31"/>
  <c r="AN16" i="31"/>
  <c r="AN14" i="31"/>
  <c r="BK14" i="31" s="1"/>
  <c r="AO19" i="31"/>
  <c r="BL19" i="31" s="1"/>
  <c r="AO14" i="31"/>
  <c r="BL14" i="31" s="1"/>
  <c r="AO11" i="31"/>
  <c r="BL11" i="31" s="1"/>
  <c r="AO16" i="31"/>
  <c r="BL16" i="31" s="1"/>
  <c r="AK181" i="31"/>
  <c r="AK147" i="31"/>
  <c r="AK127" i="31"/>
  <c r="AK142" i="31"/>
  <c r="AK163" i="31"/>
  <c r="AK139" i="31"/>
  <c r="AK155" i="31"/>
  <c r="AK157" i="31"/>
  <c r="AK158" i="31"/>
  <c r="AK171" i="31"/>
  <c r="AL130" i="31"/>
  <c r="AL160" i="31"/>
  <c r="AL168" i="31"/>
  <c r="BI168" i="31" s="1"/>
  <c r="AL145" i="31"/>
  <c r="BI145" i="31" s="1"/>
  <c r="AL133" i="31"/>
  <c r="BI133" i="31" s="1"/>
  <c r="AL146" i="31"/>
  <c r="BI146" i="31" s="1"/>
  <c r="AL155" i="31"/>
  <c r="BI155" i="31" s="1"/>
  <c r="AL163" i="31"/>
  <c r="BI163" i="31" s="1"/>
  <c r="AM157" i="31"/>
  <c r="AM167" i="31"/>
  <c r="AM158" i="31"/>
  <c r="AM130" i="31"/>
  <c r="AM146" i="31"/>
  <c r="AL169" i="31"/>
  <c r="AL181" i="31"/>
  <c r="BI181" i="31" s="1"/>
  <c r="AM143" i="31"/>
  <c r="AL136" i="31"/>
  <c r="BI136" i="31" s="1"/>
  <c r="AM164" i="31"/>
  <c r="AM127" i="31"/>
  <c r="AM147" i="31"/>
  <c r="BJ147" i="31" s="1"/>
  <c r="AM156" i="31"/>
  <c r="AN164" i="31"/>
  <c r="AM169" i="31"/>
  <c r="AN130" i="31"/>
  <c r="AN124" i="31"/>
  <c r="BK124" i="31" s="1"/>
  <c r="AM165" i="31"/>
  <c r="AM182" i="31"/>
  <c r="BJ182" i="31" s="1"/>
  <c r="AO146" i="31"/>
  <c r="BL146" i="31" s="1"/>
  <c r="AN142" i="31"/>
  <c r="BK142" i="31" s="1"/>
  <c r="AN151" i="31"/>
  <c r="BK151" i="31" s="1"/>
  <c r="AN165" i="31"/>
  <c r="BK165" i="31" s="1"/>
  <c r="AO130" i="31"/>
  <c r="BL130" i="31" s="1"/>
  <c r="AM163" i="31"/>
  <c r="AM144" i="31"/>
  <c r="AN149" i="31"/>
  <c r="AN182" i="31"/>
  <c r="AN161" i="31"/>
  <c r="AN144" i="31"/>
  <c r="AN153" i="31"/>
  <c r="AN147" i="31"/>
  <c r="BK147" i="31" s="1"/>
  <c r="AN156" i="31"/>
  <c r="BK156" i="31" s="1"/>
  <c r="AO149" i="31"/>
  <c r="BL149" i="31" s="1"/>
  <c r="AO151" i="31"/>
  <c r="BL151" i="31" s="1"/>
  <c r="AN163" i="31"/>
  <c r="AO181" i="31"/>
  <c r="BL181" i="31" s="1"/>
  <c r="AN170" i="31"/>
  <c r="BK170" i="31" s="1"/>
  <c r="AO160" i="31"/>
  <c r="BL160" i="31" s="1"/>
  <c r="AN162" i="31"/>
  <c r="BK162" i="31" s="1"/>
  <c r="AO158" i="31"/>
  <c r="BL158" i="31" s="1"/>
  <c r="AN168" i="31"/>
  <c r="BK168" i="31" s="1"/>
  <c r="AN171" i="31"/>
  <c r="BK171" i="31" s="1"/>
  <c r="AO165" i="31"/>
  <c r="BL165" i="31" s="1"/>
  <c r="AN136" i="31"/>
  <c r="AO163" i="31"/>
  <c r="BL163" i="31" s="1"/>
  <c r="AO168" i="31"/>
  <c r="BL168" i="31" s="1"/>
  <c r="AO156" i="31"/>
  <c r="BL156" i="31" s="1"/>
  <c r="AO162" i="31"/>
  <c r="BL162" i="31" s="1"/>
  <c r="AO171" i="31"/>
  <c r="BL171" i="31" s="1"/>
  <c r="AO133" i="31"/>
  <c r="BL133" i="31" s="1"/>
  <c r="L95" i="32"/>
  <c r="L97" i="32" s="1"/>
  <c r="L96" i="32"/>
  <c r="AK160" i="31"/>
  <c r="AK182" i="31"/>
  <c r="AM155" i="31"/>
  <c r="BJ155" i="31" s="1"/>
  <c r="AE9" i="31"/>
  <c r="AO127" i="31"/>
  <c r="BL127" i="31" s="1"/>
  <c r="AL170" i="31"/>
  <c r="BI170" i="31" s="1"/>
  <c r="AL124" i="31"/>
  <c r="BI124" i="31" s="1"/>
  <c r="AK149" i="31"/>
  <c r="AO170" i="31"/>
  <c r="BL170" i="31" s="1"/>
  <c r="AM133" i="31"/>
  <c r="AO169" i="31"/>
  <c r="BL169" i="31" s="1"/>
  <c r="AN167" i="31"/>
  <c r="BK167" i="31" s="1"/>
  <c r="AM149" i="31"/>
  <c r="AO139" i="31"/>
  <c r="BL139" i="31" s="1"/>
  <c r="BJ96" i="31"/>
  <c r="BI138" i="31"/>
  <c r="AN169" i="31"/>
  <c r="AO155" i="31"/>
  <c r="BL155" i="31" s="1"/>
  <c r="G27" i="31"/>
  <c r="G31" i="31" s="1"/>
  <c r="AL147" i="31"/>
  <c r="BI147" i="31" s="1"/>
  <c r="AN160" i="31"/>
  <c r="BK160" i="31" s="1"/>
  <c r="AK136" i="31"/>
  <c r="AM139" i="31"/>
  <c r="AN158" i="31"/>
  <c r="AL153" i="31"/>
  <c r="AN133" i="31"/>
  <c r="AM136" i="31"/>
  <c r="BJ136" i="31" s="1"/>
  <c r="AN143" i="31"/>
  <c r="AL157" i="31"/>
  <c r="BI157" i="31" s="1"/>
  <c r="AK143" i="31"/>
  <c r="AL139" i="31"/>
  <c r="BI139" i="31" s="1"/>
  <c r="AK133" i="31"/>
  <c r="AK156" i="31"/>
  <c r="AH68" i="31"/>
  <c r="AK124" i="31"/>
  <c r="AO182" i="31"/>
  <c r="BL182" i="31" s="1"/>
  <c r="AL156" i="31"/>
  <c r="BI156" i="31" s="1"/>
  <c r="AK167" i="31"/>
  <c r="H33" i="31"/>
  <c r="H34" i="31"/>
  <c r="AM162" i="31"/>
  <c r="AL161" i="31"/>
  <c r="BI161" i="31" s="1"/>
  <c r="AK130" i="31"/>
  <c r="AK121" i="31"/>
  <c r="AK170" i="31"/>
  <c r="AN146" i="31"/>
  <c r="AL142" i="31"/>
  <c r="BI142" i="31" s="1"/>
  <c r="AL164" i="31"/>
  <c r="BI164" i="31" s="1"/>
  <c r="AL167" i="31"/>
  <c r="AK146" i="31"/>
  <c r="AM121" i="31"/>
  <c r="AO143" i="31"/>
  <c r="BL143" i="31" s="1"/>
  <c r="AM145" i="31"/>
  <c r="BJ145" i="31" s="1"/>
  <c r="AO145" i="31"/>
  <c r="BL145" i="31" s="1"/>
  <c r="AN145" i="31"/>
  <c r="BK145" i="31" s="1"/>
  <c r="AN127" i="31"/>
  <c r="AK169" i="31"/>
  <c r="BI18" i="31"/>
  <c r="AL162" i="31"/>
  <c r="BI162" i="31" s="1"/>
  <c r="AK168" i="31"/>
  <c r="AO142" i="31"/>
  <c r="BL142" i="31" s="1"/>
  <c r="AN157" i="31"/>
  <c r="AL151" i="31"/>
  <c r="BI151" i="31" s="1"/>
  <c r="AK153" i="31"/>
  <c r="AO147" i="31"/>
  <c r="BL147" i="31" s="1"/>
  <c r="AN155" i="31"/>
  <c r="AM168" i="31"/>
  <c r="AH75" i="31"/>
  <c r="AE46" i="31"/>
  <c r="AE44" i="31"/>
  <c r="AM161" i="31"/>
  <c r="AM181" i="31"/>
  <c r="AL144" i="31"/>
  <c r="BI144" i="31" s="1"/>
  <c r="AK151" i="31"/>
  <c r="AO136" i="31"/>
  <c r="BL136" i="31" s="1"/>
  <c r="AH78" i="31"/>
  <c r="AH81" i="31"/>
  <c r="AH80" i="31"/>
  <c r="AO164" i="31"/>
  <c r="BL164" i="31" s="1"/>
  <c r="AO124" i="31"/>
  <c r="BL124" i="31" s="1"/>
  <c r="AO121" i="31"/>
  <c r="BL121" i="31" s="1"/>
  <c r="AH16" i="31"/>
  <c r="AO161" i="31"/>
  <c r="BL161" i="31" s="1"/>
  <c r="AM153" i="31"/>
  <c r="AL127" i="31"/>
  <c r="BI127" i="31" s="1"/>
  <c r="AK144" i="31"/>
  <c r="AH46" i="31"/>
  <c r="AH44" i="31"/>
  <c r="AH45" i="31"/>
  <c r="AL158" i="31"/>
  <c r="BI158" i="31" s="1"/>
  <c r="AN139" i="31"/>
  <c r="BK139" i="31" s="1"/>
  <c r="AL149" i="31"/>
  <c r="BI149" i="31" s="1"/>
  <c r="AL171" i="31"/>
  <c r="BI171" i="31" s="1"/>
  <c r="AK165" i="31"/>
  <c r="AK164" i="31"/>
  <c r="AE77" i="31"/>
  <c r="AO144" i="31"/>
  <c r="BL144" i="31" s="1"/>
  <c r="AM142" i="31"/>
  <c r="AL182" i="31"/>
  <c r="AK162" i="31"/>
  <c r="BH162" i="31" s="1"/>
  <c r="AK145" i="31"/>
  <c r="J19" i="31"/>
  <c r="J27" i="31" s="1"/>
  <c r="J31" i="31" s="1"/>
  <c r="AO153" i="31"/>
  <c r="BL153" i="31" s="1"/>
  <c r="AO157" i="31"/>
  <c r="BL157" i="31" s="1"/>
  <c r="AO167" i="31"/>
  <c r="BL167" i="31" s="1"/>
  <c r="AN181" i="31"/>
  <c r="AM160" i="31"/>
  <c r="BJ160" i="31" s="1"/>
  <c r="AM151" i="31"/>
  <c r="AM170" i="31"/>
  <c r="AM171" i="31"/>
  <c r="AM124" i="31"/>
  <c r="AK161" i="31"/>
  <c r="BI22" i="31"/>
  <c r="BJ18" i="31"/>
  <c r="AE78" i="31"/>
  <c r="AE79" i="31"/>
  <c r="BI76" i="31"/>
  <c r="AH18" i="31"/>
  <c r="AH73" i="31" s="1"/>
  <c r="AH26" i="31"/>
  <c r="AL165" i="31"/>
  <c r="AL143" i="31"/>
  <c r="BI143" i="31" s="1"/>
  <c r="AT8" i="31"/>
  <c r="AE81" i="31"/>
  <c r="BI93" i="31"/>
  <c r="BI88" i="31"/>
  <c r="BI28" i="31"/>
  <c r="BI66" i="31"/>
  <c r="BI31" i="31"/>
  <c r="BI85" i="31"/>
  <c r="BI96" i="31"/>
  <c r="BI77" i="31"/>
  <c r="BK105" i="31"/>
  <c r="BI23" i="31"/>
  <c r="BI99" i="31"/>
  <c r="BK161" i="31"/>
  <c r="BK29" i="31"/>
  <c r="V4" i="39"/>
  <c r="M4" i="39"/>
  <c r="D4" i="39"/>
  <c r="AK118" i="31"/>
  <c r="AK117" i="31"/>
  <c r="AL118" i="31"/>
  <c r="BI118" i="31" s="1"/>
  <c r="AM118" i="31"/>
  <c r="BJ118" i="31" s="1"/>
  <c r="AL117" i="31"/>
  <c r="BI117" i="31" s="1"/>
  <c r="AM117" i="31"/>
  <c r="AN117" i="31"/>
  <c r="AN118" i="31"/>
  <c r="BK118" i="31" s="1"/>
  <c r="AO117" i="31"/>
  <c r="BL117" i="31" s="1"/>
  <c r="AO118" i="31"/>
  <c r="BL118" i="31" s="1"/>
  <c r="AK180" i="31"/>
  <c r="AK46" i="31"/>
  <c r="AK173" i="31"/>
  <c r="AK47" i="31"/>
  <c r="AK48" i="31"/>
  <c r="AK52" i="31"/>
  <c r="AK51" i="31"/>
  <c r="AK44" i="31"/>
  <c r="AK75" i="31"/>
  <c r="AK83" i="31"/>
  <c r="AK95" i="31"/>
  <c r="AK92" i="31"/>
  <c r="AK98" i="31"/>
  <c r="AK175" i="31"/>
  <c r="AK30" i="31"/>
  <c r="AK67" i="31"/>
  <c r="AK60" i="31"/>
  <c r="AK54" i="31"/>
  <c r="AK72" i="31"/>
  <c r="AK58" i="31"/>
  <c r="AK104" i="31"/>
  <c r="AK69" i="31"/>
  <c r="AK179" i="31"/>
  <c r="AK116" i="31"/>
  <c r="AK59" i="31"/>
  <c r="AK78" i="31"/>
  <c r="AK45" i="31"/>
  <c r="AK113" i="31"/>
  <c r="AK27" i="31"/>
  <c r="AK114" i="31"/>
  <c r="BH114" i="31" s="1"/>
  <c r="AK101" i="31"/>
  <c r="AK177" i="31"/>
  <c r="AK56" i="31"/>
  <c r="AK49" i="31"/>
  <c r="AK43" i="31"/>
  <c r="AK89" i="31"/>
  <c r="AK107" i="31"/>
  <c r="AK57" i="31"/>
  <c r="AK80" i="31"/>
  <c r="AK64" i="31"/>
  <c r="AK50" i="31"/>
  <c r="AK86" i="31"/>
  <c r="AK178" i="31"/>
  <c r="AK62" i="31"/>
  <c r="AL72" i="31"/>
  <c r="BI72" i="31" s="1"/>
  <c r="AL57" i="31"/>
  <c r="AL114" i="31"/>
  <c r="AL173" i="31"/>
  <c r="AL78" i="31"/>
  <c r="BI78" i="31" s="1"/>
  <c r="AL113" i="31"/>
  <c r="BI113" i="31" s="1"/>
  <c r="AL44" i="31"/>
  <c r="BI44" i="31" s="1"/>
  <c r="AL46" i="31"/>
  <c r="BI46" i="31" s="1"/>
  <c r="AL86" i="31"/>
  <c r="BI86" i="31" s="1"/>
  <c r="AL58" i="31"/>
  <c r="AL92" i="31"/>
  <c r="BI92" i="31" s="1"/>
  <c r="AL107" i="31"/>
  <c r="BI107" i="31" s="1"/>
  <c r="AL80" i="31"/>
  <c r="BI80" i="31" s="1"/>
  <c r="AL30" i="31"/>
  <c r="BI30" i="31" s="1"/>
  <c r="AL95" i="31"/>
  <c r="BI95" i="31" s="1"/>
  <c r="AK172" i="31"/>
  <c r="AL64" i="31"/>
  <c r="BI64" i="31" s="1"/>
  <c r="AL67" i="31"/>
  <c r="AL62" i="31"/>
  <c r="BI62" i="31" s="1"/>
  <c r="AL98" i="31"/>
  <c r="BI98" i="31" s="1"/>
  <c r="AL60" i="31"/>
  <c r="BI60" i="31" s="1"/>
  <c r="AL43" i="31"/>
  <c r="BI43" i="31" s="1"/>
  <c r="AL50" i="31"/>
  <c r="BI50" i="31" s="1"/>
  <c r="AL48" i="31"/>
  <c r="AL47" i="31"/>
  <c r="BI47" i="31" s="1"/>
  <c r="AL75" i="31"/>
  <c r="BI75" i="31" s="1"/>
  <c r="AL45" i="31"/>
  <c r="AL177" i="31"/>
  <c r="AL116" i="31"/>
  <c r="BI116" i="31" s="1"/>
  <c r="AL59" i="31"/>
  <c r="BI59" i="31" s="1"/>
  <c r="AL51" i="31"/>
  <c r="BI51" i="31" s="1"/>
  <c r="AM95" i="31"/>
  <c r="AL89" i="31"/>
  <c r="AM107" i="31"/>
  <c r="BJ107" i="31" s="1"/>
  <c r="AL49" i="31"/>
  <c r="BI49" i="31" s="1"/>
  <c r="AL172" i="31"/>
  <c r="AL27" i="31"/>
  <c r="AL178" i="31"/>
  <c r="AL175" i="31"/>
  <c r="AL104" i="31"/>
  <c r="BI104" i="31" s="1"/>
  <c r="AL179" i="31"/>
  <c r="AL83" i="31"/>
  <c r="BI83" i="31" s="1"/>
  <c r="AL101" i="31"/>
  <c r="BI101" i="31" s="1"/>
  <c r="AM46" i="31"/>
  <c r="AL180" i="31"/>
  <c r="AL69" i="31"/>
  <c r="BI69" i="31" s="1"/>
  <c r="AL54" i="31"/>
  <c r="BI54" i="31" s="1"/>
  <c r="AL56" i="31"/>
  <c r="BI56" i="31" s="1"/>
  <c r="AL52" i="31"/>
  <c r="BI52" i="31" s="1"/>
  <c r="AM113" i="31"/>
  <c r="BJ113" i="31" s="1"/>
  <c r="AM57" i="31"/>
  <c r="BJ57" i="31" s="1"/>
  <c r="AM78" i="31"/>
  <c r="AM114" i="31"/>
  <c r="AM72" i="31"/>
  <c r="AM58" i="31"/>
  <c r="AN107" i="31"/>
  <c r="BK107" i="31" s="1"/>
  <c r="AM86" i="31"/>
  <c r="AM80" i="31"/>
  <c r="AM64" i="31"/>
  <c r="BJ64" i="31" s="1"/>
  <c r="AM173" i="31"/>
  <c r="AM30" i="31"/>
  <c r="BJ30" i="31" s="1"/>
  <c r="AM83" i="31"/>
  <c r="BJ83" i="31" s="1"/>
  <c r="AM44" i="31"/>
  <c r="AM27" i="31"/>
  <c r="AM45" i="31"/>
  <c r="AM116" i="31"/>
  <c r="AM92" i="31"/>
  <c r="AM172" i="31"/>
  <c r="AM56" i="31"/>
  <c r="BJ56" i="31" s="1"/>
  <c r="AM49" i="31"/>
  <c r="AM54" i="31"/>
  <c r="BJ54" i="31" s="1"/>
  <c r="AM177" i="31"/>
  <c r="AM60" i="31"/>
  <c r="BJ60" i="31" s="1"/>
  <c r="AM101" i="31"/>
  <c r="AM43" i="31"/>
  <c r="AN45" i="31"/>
  <c r="BK45" i="31" s="1"/>
  <c r="AN46" i="31"/>
  <c r="BK46" i="31" s="1"/>
  <c r="AM175" i="31"/>
  <c r="AM48" i="31"/>
  <c r="AM179" i="31"/>
  <c r="AN80" i="31"/>
  <c r="AN116" i="31"/>
  <c r="AN95" i="31"/>
  <c r="AM89" i="31"/>
  <c r="BJ89" i="31" s="1"/>
  <c r="AM47" i="31"/>
  <c r="AM69" i="31"/>
  <c r="BJ69" i="31" s="1"/>
  <c r="AM52" i="31"/>
  <c r="AM180" i="31"/>
  <c r="AM62" i="31"/>
  <c r="AN44" i="31"/>
  <c r="AM104" i="31"/>
  <c r="AM178" i="31"/>
  <c r="AM67" i="31"/>
  <c r="AM75" i="31"/>
  <c r="AN83" i="31"/>
  <c r="AM51" i="31"/>
  <c r="BJ51" i="31" s="1"/>
  <c r="AN27" i="31"/>
  <c r="BK27" i="31" s="1"/>
  <c r="AN58" i="31"/>
  <c r="AM50" i="31"/>
  <c r="AM59" i="31"/>
  <c r="AM98" i="31"/>
  <c r="AN30" i="31"/>
  <c r="AN173" i="31"/>
  <c r="AN180" i="31"/>
  <c r="AN51" i="31"/>
  <c r="BK51" i="31" s="1"/>
  <c r="AN60" i="31"/>
  <c r="BK60" i="31" s="1"/>
  <c r="AN54" i="31"/>
  <c r="BK54" i="31" s="1"/>
  <c r="AO107" i="31"/>
  <c r="BL107" i="31" s="1"/>
  <c r="AO44" i="31"/>
  <c r="BL44" i="31" s="1"/>
  <c r="AN113" i="31"/>
  <c r="BK113" i="31" s="1"/>
  <c r="AO116" i="31"/>
  <c r="BL116" i="31" s="1"/>
  <c r="AN64" i="31"/>
  <c r="AN57" i="31"/>
  <c r="BK57" i="31" s="1"/>
  <c r="AN72" i="31"/>
  <c r="BK72" i="31" s="1"/>
  <c r="AN86" i="31"/>
  <c r="BK86" i="31" s="1"/>
  <c r="AO45" i="31"/>
  <c r="BL45" i="31" s="1"/>
  <c r="AN101" i="31"/>
  <c r="BK101" i="31" s="1"/>
  <c r="AN67" i="31"/>
  <c r="BK67" i="31" s="1"/>
  <c r="AN59" i="31"/>
  <c r="AN78" i="31"/>
  <c r="AN48" i="31"/>
  <c r="BK48" i="31" s="1"/>
  <c r="AN75" i="31"/>
  <c r="BK75" i="31" s="1"/>
  <c r="AN92" i="31"/>
  <c r="BK92" i="31" s="1"/>
  <c r="AN114" i="31"/>
  <c r="AN172" i="31"/>
  <c r="AO64" i="31"/>
  <c r="BL64" i="31" s="1"/>
  <c r="AO27" i="31"/>
  <c r="BL27" i="31" s="1"/>
  <c r="AO60" i="31"/>
  <c r="BL60" i="31" s="1"/>
  <c r="AN175" i="31"/>
  <c r="AO83" i="31"/>
  <c r="BL83" i="31" s="1"/>
  <c r="AO80" i="31"/>
  <c r="BL80" i="31" s="1"/>
  <c r="AN89" i="31"/>
  <c r="BK89" i="31" s="1"/>
  <c r="AO58" i="31"/>
  <c r="BL58" i="31" s="1"/>
  <c r="AO95" i="31"/>
  <c r="BL95" i="31" s="1"/>
  <c r="AN56" i="31"/>
  <c r="BK56" i="31" s="1"/>
  <c r="AN47" i="31"/>
  <c r="AO30" i="31"/>
  <c r="BL30" i="31" s="1"/>
  <c r="AN98" i="31"/>
  <c r="BK98" i="31" s="1"/>
  <c r="AN52" i="31"/>
  <c r="BK52" i="31" s="1"/>
  <c r="AN49" i="31"/>
  <c r="BK49" i="31" s="1"/>
  <c r="AN179" i="31"/>
  <c r="AO51" i="31"/>
  <c r="BL51" i="31" s="1"/>
  <c r="AN104" i="31"/>
  <c r="BK104" i="31" s="1"/>
  <c r="AN178" i="31"/>
  <c r="AN69" i="31"/>
  <c r="AN43" i="31"/>
  <c r="AN177" i="31"/>
  <c r="AN50" i="31"/>
  <c r="BK50" i="31" s="1"/>
  <c r="AN62" i="31"/>
  <c r="BK62" i="31" s="1"/>
  <c r="AO46" i="31"/>
  <c r="BL46" i="31" s="1"/>
  <c r="AO92" i="31"/>
  <c r="BL92" i="31" s="1"/>
  <c r="AO67" i="31"/>
  <c r="BL67" i="31" s="1"/>
  <c r="AO98" i="31"/>
  <c r="BL98" i="31" s="1"/>
  <c r="AO86" i="31"/>
  <c r="BL86" i="31" s="1"/>
  <c r="AO78" i="31"/>
  <c r="BL78" i="31" s="1"/>
  <c r="AO69" i="31"/>
  <c r="BL69" i="31" s="1"/>
  <c r="AO173" i="31"/>
  <c r="AO54" i="31"/>
  <c r="BL54" i="31" s="1"/>
  <c r="AO48" i="31"/>
  <c r="BL48" i="31" s="1"/>
  <c r="AO179" i="31"/>
  <c r="AO59" i="31"/>
  <c r="BL59" i="31" s="1"/>
  <c r="AO72" i="31"/>
  <c r="BL72" i="31" s="1"/>
  <c r="AO57" i="31"/>
  <c r="BL57" i="31" s="1"/>
  <c r="AO75" i="31"/>
  <c r="BL75" i="31" s="1"/>
  <c r="AO113" i="31"/>
  <c r="BL113" i="31" s="1"/>
  <c r="AO101" i="31"/>
  <c r="BL101" i="31" s="1"/>
  <c r="AO114" i="31"/>
  <c r="BL114" i="31" s="1"/>
  <c r="AO56" i="31"/>
  <c r="BL56" i="31" s="1"/>
  <c r="AO50" i="31"/>
  <c r="BL50" i="31" s="1"/>
  <c r="AO177" i="31"/>
  <c r="AO175" i="31"/>
  <c r="AO52" i="31"/>
  <c r="BL52" i="31" s="1"/>
  <c r="AO104" i="31"/>
  <c r="BL104" i="31" s="1"/>
  <c r="AO178" i="31"/>
  <c r="AO43" i="31"/>
  <c r="BL43" i="31" s="1"/>
  <c r="AO172" i="31"/>
  <c r="AO89" i="31"/>
  <c r="BL89" i="31" s="1"/>
  <c r="AO62" i="31"/>
  <c r="BL62" i="31" s="1"/>
  <c r="AO49" i="31"/>
  <c r="BL49" i="31" s="1"/>
  <c r="AO180" i="31"/>
  <c r="AO47" i="31"/>
  <c r="BL47" i="31" s="1"/>
  <c r="AK110" i="31"/>
  <c r="AK115" i="31"/>
  <c r="AL115" i="31"/>
  <c r="BI115" i="31" s="1"/>
  <c r="AL110" i="31"/>
  <c r="BI110" i="31" s="1"/>
  <c r="AL174" i="31"/>
  <c r="AK174" i="31"/>
  <c r="AK176" i="31"/>
  <c r="AM115" i="31"/>
  <c r="AK24" i="31"/>
  <c r="AK21" i="31"/>
  <c r="AM174" i="31"/>
  <c r="AL21" i="31"/>
  <c r="BI21" i="31" s="1"/>
  <c r="AM110" i="31"/>
  <c r="AL24" i="31"/>
  <c r="BI24" i="31" s="1"/>
  <c r="AM21" i="31"/>
  <c r="BJ21" i="31" s="1"/>
  <c r="AL176" i="31"/>
  <c r="AN110" i="31"/>
  <c r="BK110" i="31" s="1"/>
  <c r="AN21" i="31"/>
  <c r="AM24" i="31"/>
  <c r="BJ24" i="31" s="1"/>
  <c r="AM176" i="31"/>
  <c r="AO110" i="31"/>
  <c r="BL110" i="31" s="1"/>
  <c r="AN176" i="31"/>
  <c r="AN24" i="31"/>
  <c r="BK24" i="31" s="1"/>
  <c r="AO24" i="31"/>
  <c r="BL24" i="31" s="1"/>
  <c r="AO176" i="31"/>
  <c r="AN115" i="31"/>
  <c r="BK115" i="31" s="1"/>
  <c r="AN174" i="31"/>
  <c r="AO174" i="31"/>
  <c r="AO115" i="31"/>
  <c r="BL115" i="31" s="1"/>
  <c r="AO21" i="31"/>
  <c r="BL21" i="31" s="1"/>
  <c r="N104" i="32"/>
  <c r="N107" i="32" s="1"/>
  <c r="N106" i="32"/>
  <c r="N98" i="32"/>
  <c r="N100" i="32" s="1"/>
  <c r="N99" i="32"/>
  <c r="N96" i="32"/>
  <c r="O106" i="32"/>
  <c r="O99" i="32"/>
  <c r="O105" i="32"/>
  <c r="O96" i="32"/>
  <c r="O98" i="32"/>
  <c r="O100" i="32" s="1"/>
  <c r="O104" i="32"/>
  <c r="O107" i="32" s="1"/>
  <c r="Q105" i="32"/>
  <c r="Q106" i="32"/>
  <c r="Q104" i="32"/>
  <c r="Q107" i="32" s="1"/>
  <c r="Q98" i="32"/>
  <c r="Q100" i="32" s="1"/>
  <c r="Q99" i="32"/>
  <c r="Q96" i="32"/>
  <c r="R106" i="32"/>
  <c r="T106" i="32"/>
  <c r="R104" i="32"/>
  <c r="R107" i="32" s="1"/>
  <c r="T105" i="32"/>
  <c r="R105" i="32"/>
  <c r="R96" i="32"/>
  <c r="R99" i="32"/>
  <c r="R98" i="32"/>
  <c r="R100" i="32" s="1"/>
  <c r="AK39" i="31"/>
  <c r="AK40" i="31"/>
  <c r="AK34" i="31"/>
  <c r="AK32" i="31"/>
  <c r="BH32" i="31" s="1"/>
  <c r="AK41" i="31"/>
  <c r="AK38" i="31"/>
  <c r="AK36" i="31"/>
  <c r="AK37" i="31"/>
  <c r="AK35" i="31"/>
  <c r="AK42" i="31"/>
  <c r="U106" i="32"/>
  <c r="U105" i="32"/>
  <c r="T96" i="32"/>
  <c r="T98" i="32"/>
  <c r="T100" i="32" s="1"/>
  <c r="U99" i="32"/>
  <c r="T104" i="32"/>
  <c r="T107" i="32" s="1"/>
  <c r="T99" i="32"/>
  <c r="AL34" i="31"/>
  <c r="BI34" i="31" s="1"/>
  <c r="AL35" i="31"/>
  <c r="BI35" i="31" s="1"/>
  <c r="AL37" i="31"/>
  <c r="BI37" i="31" s="1"/>
  <c r="AL39" i="31"/>
  <c r="AL42" i="31"/>
  <c r="BI42" i="31" s="1"/>
  <c r="AL40" i="31"/>
  <c r="BI40" i="31" s="1"/>
  <c r="AL38" i="31"/>
  <c r="BI38" i="31" s="1"/>
  <c r="U98" i="32"/>
  <c r="U100" i="32" s="1"/>
  <c r="U96" i="32"/>
  <c r="W105" i="32"/>
  <c r="U104" i="32"/>
  <c r="U107" i="32" s="1"/>
  <c r="W99" i="32"/>
  <c r="W106" i="32"/>
  <c r="AM34" i="31"/>
  <c r="BJ34" i="31" s="1"/>
  <c r="AL36" i="31"/>
  <c r="BI36" i="31" s="1"/>
  <c r="AM37" i="31"/>
  <c r="AL41" i="31"/>
  <c r="BI41" i="31" s="1"/>
  <c r="AL32" i="31"/>
  <c r="BI32" i="31" s="1"/>
  <c r="AM35" i="31"/>
  <c r="X104" i="32"/>
  <c r="X107" i="32" s="1"/>
  <c r="W104" i="32"/>
  <c r="W107" i="32" s="1"/>
  <c r="X106" i="32"/>
  <c r="X105" i="32"/>
  <c r="Z105" i="32"/>
  <c r="X99" i="32"/>
  <c r="W98" i="32"/>
  <c r="W100" i="32" s="1"/>
  <c r="X98" i="32"/>
  <c r="X100" i="32" s="1"/>
  <c r="W96" i="32"/>
  <c r="AN35" i="31"/>
  <c r="AN37" i="31"/>
  <c r="AM40" i="31"/>
  <c r="AN34" i="31"/>
  <c r="AM32" i="31"/>
  <c r="BJ32" i="31" s="1"/>
  <c r="AM38" i="31"/>
  <c r="BJ38" i="31" s="1"/>
  <c r="AM42" i="31"/>
  <c r="AM39" i="31"/>
  <c r="Z106" i="32"/>
  <c r="X96" i="32"/>
  <c r="AA106" i="32"/>
  <c r="Z104" i="32"/>
  <c r="Z107" i="32" s="1"/>
  <c r="AA105" i="32"/>
  <c r="Z98" i="32"/>
  <c r="Z100" i="32" s="1"/>
  <c r="Z99" i="32"/>
  <c r="AN42" i="31"/>
  <c r="AM41" i="31"/>
  <c r="AN38" i="31"/>
  <c r="BK38" i="31" s="1"/>
  <c r="AM36" i="31"/>
  <c r="Z96" i="32"/>
  <c r="AA99" i="32"/>
  <c r="AA98" i="32"/>
  <c r="AA100" i="32" s="1"/>
  <c r="AA96" i="32"/>
  <c r="AN32" i="31"/>
  <c r="AN41" i="31"/>
  <c r="AN40" i="31"/>
  <c r="AN36" i="31"/>
  <c r="BK36" i="31"/>
  <c r="AN39" i="31"/>
  <c r="BK39" i="31" s="1"/>
  <c r="AA104" i="32"/>
  <c r="AA107" i="32" s="1"/>
  <c r="N95" i="32"/>
  <c r="N97" i="32" s="1"/>
  <c r="O95" i="32"/>
  <c r="O97" i="32" s="1"/>
  <c r="Q95" i="32"/>
  <c r="Q97" i="32" s="1"/>
  <c r="R95" i="32"/>
  <c r="R97" i="32" s="1"/>
  <c r="T95" i="32"/>
  <c r="T97" i="32" s="1"/>
  <c r="W95" i="32"/>
  <c r="W97" i="32" s="1"/>
  <c r="U95" i="32"/>
  <c r="U97" i="32" s="1"/>
  <c r="X95" i="32"/>
  <c r="X97" i="32" s="1"/>
  <c r="Z95" i="32"/>
  <c r="Z97" i="32" s="1"/>
  <c r="AA95" i="32"/>
  <c r="AA97" i="32" s="1"/>
  <c r="AB98" i="32"/>
  <c r="AB100" i="32" s="1"/>
  <c r="AB99" i="32"/>
  <c r="AB101" i="32"/>
  <c r="AB103" i="32" s="1"/>
  <c r="AB96" i="32"/>
  <c r="AB104" i="32"/>
  <c r="AB107" i="32" s="1"/>
  <c r="AB102" i="32"/>
  <c r="AB105" i="32"/>
  <c r="AB106" i="32"/>
  <c r="AC99" i="32"/>
  <c r="AC96" i="32"/>
  <c r="AC105" i="32"/>
  <c r="AC104" i="32"/>
  <c r="AC107" i="32" s="1"/>
  <c r="AC98" i="32"/>
  <c r="AC100" i="32" s="1"/>
  <c r="AC106" i="32"/>
  <c r="AO32" i="31"/>
  <c r="BL32" i="31" s="1"/>
  <c r="AO36" i="31"/>
  <c r="BL36" i="31" s="1"/>
  <c r="AO39" i="31"/>
  <c r="BL39" i="31" s="1"/>
  <c r="AO40" i="31"/>
  <c r="BL40" i="31" s="1"/>
  <c r="AO34" i="31"/>
  <c r="BL34" i="31" s="1"/>
  <c r="AO35" i="31"/>
  <c r="BL35" i="31" s="1"/>
  <c r="AO41" i="31"/>
  <c r="BL41" i="31" s="1"/>
  <c r="AO38" i="31"/>
  <c r="BL38" i="31" s="1"/>
  <c r="AO37" i="31"/>
  <c r="BL37" i="31" s="1"/>
  <c r="AO42" i="31"/>
  <c r="BL42" i="31" s="1"/>
  <c r="AB95" i="32"/>
  <c r="AB97" i="32" s="1"/>
  <c r="AC95" i="32"/>
  <c r="AC97" i="32" s="1"/>
  <c r="M102" i="32"/>
  <c r="M101" i="32"/>
  <c r="M103" i="32" s="1"/>
  <c r="N102" i="32"/>
  <c r="N101" i="32"/>
  <c r="N103" i="32" s="1"/>
  <c r="O102" i="32"/>
  <c r="O101" i="32"/>
  <c r="O103" i="32" s="1"/>
  <c r="Q102" i="32"/>
  <c r="Q101" i="32"/>
  <c r="Q103" i="32" s="1"/>
  <c r="R101" i="32"/>
  <c r="R103" i="32" s="1"/>
  <c r="R102" i="32"/>
  <c r="T101" i="32"/>
  <c r="U101" i="32"/>
  <c r="U103" i="32" s="1"/>
  <c r="T102" i="32"/>
  <c r="T103" i="32"/>
  <c r="W101" i="32"/>
  <c r="W103" i="32" s="1"/>
  <c r="U102" i="32"/>
  <c r="X101" i="32"/>
  <c r="X103" i="32" s="1"/>
  <c r="W102" i="32"/>
  <c r="Z101" i="32"/>
  <c r="Z103" i="32" s="1"/>
  <c r="X102" i="32"/>
  <c r="AA101" i="32"/>
  <c r="Z102" i="32"/>
  <c r="AA102" i="32"/>
  <c r="AA103" i="32"/>
  <c r="AC101" i="32"/>
  <c r="AC103" i="32" s="1"/>
  <c r="AC102" i="32"/>
  <c r="K60" i="39" l="1"/>
  <c r="K69" i="39"/>
  <c r="K65" i="39"/>
  <c r="K61" i="39"/>
  <c r="K66" i="39"/>
  <c r="K71" i="39"/>
  <c r="K72" i="39"/>
  <c r="K67" i="39"/>
  <c r="K68" i="39"/>
  <c r="K70" i="39"/>
  <c r="K64" i="39"/>
  <c r="T67" i="39"/>
  <c r="T69" i="39"/>
  <c r="T70" i="39"/>
  <c r="T65" i="39"/>
  <c r="T60" i="39"/>
  <c r="T66" i="39"/>
  <c r="T64" i="39"/>
  <c r="T71" i="39"/>
  <c r="T61" i="39"/>
  <c r="T68" i="39"/>
  <c r="T72" i="39"/>
  <c r="AC69" i="39"/>
  <c r="AC71" i="39"/>
  <c r="AC70" i="39"/>
  <c r="AC67" i="39"/>
  <c r="AC64" i="39"/>
  <c r="AC65" i="39"/>
  <c r="AC66" i="39"/>
  <c r="AC60" i="39"/>
  <c r="AC68" i="39"/>
  <c r="AC61" i="39"/>
  <c r="AC72" i="39"/>
  <c r="B46" i="39"/>
  <c r="AP41" i="37"/>
  <c r="AP41" i="39" s="1"/>
  <c r="AQ40" i="37"/>
  <c r="AQ40" i="39" s="1"/>
  <c r="AO40" i="37"/>
  <c r="AO40" i="39" s="1"/>
  <c r="AQ39" i="37"/>
  <c r="AQ39" i="39" s="1"/>
  <c r="AO39" i="37"/>
  <c r="AO39" i="39" s="1"/>
  <c r="AO14" i="37"/>
  <c r="AO14" i="39" s="1"/>
  <c r="AQ14" i="37"/>
  <c r="AQ14" i="39" s="1"/>
  <c r="AP14" i="37"/>
  <c r="AP14" i="39" s="1"/>
  <c r="B20" i="39"/>
  <c r="BJ111" i="31"/>
  <c r="BJ152" i="31"/>
  <c r="BJ105" i="31"/>
  <c r="BJ88" i="31"/>
  <c r="AQ41" i="37"/>
  <c r="AQ41" i="39" s="1"/>
  <c r="BK33" i="31"/>
  <c r="BK28" i="31"/>
  <c r="AQ35" i="37"/>
  <c r="AQ35" i="39" s="1"/>
  <c r="BJ13" i="31"/>
  <c r="BJ63" i="31"/>
  <c r="BJ84" i="31"/>
  <c r="AH69" i="31"/>
  <c r="AE69" i="31"/>
  <c r="BJ35" i="31"/>
  <c r="BJ98" i="31"/>
  <c r="BJ62" i="31"/>
  <c r="BJ72" i="31"/>
  <c r="BJ124" i="31"/>
  <c r="AH74" i="31"/>
  <c r="BJ122" i="31"/>
  <c r="BI82" i="31"/>
  <c r="BJ29" i="31"/>
  <c r="BJ27" i="31"/>
  <c r="BJ114" i="31"/>
  <c r="BJ171" i="31"/>
  <c r="BJ158" i="31"/>
  <c r="BI141" i="31"/>
  <c r="BJ112" i="31"/>
  <c r="BJ73" i="31"/>
  <c r="AH70" i="31"/>
  <c r="AA33" i="31"/>
  <c r="AA34" i="31" s="1"/>
  <c r="N33" i="31"/>
  <c r="N34" i="31" s="1"/>
  <c r="BJ50" i="31"/>
  <c r="BJ52" i="31"/>
  <c r="BJ44" i="31"/>
  <c r="BJ78" i="31"/>
  <c r="BJ170" i="31"/>
  <c r="BJ181" i="31"/>
  <c r="BJ144" i="31"/>
  <c r="BJ167" i="31"/>
  <c r="BI119" i="31"/>
  <c r="BI112" i="31"/>
  <c r="BJ90" i="31"/>
  <c r="BI73" i="31"/>
  <c r="BJ36" i="31"/>
  <c r="BJ49" i="31"/>
  <c r="BJ80" i="31"/>
  <c r="AE70" i="31"/>
  <c r="BJ168" i="31"/>
  <c r="B12" i="39"/>
  <c r="BI137" i="31"/>
  <c r="BI94" i="31"/>
  <c r="B30" i="39"/>
  <c r="BJ48" i="31"/>
  <c r="BJ46" i="31"/>
  <c r="BJ110" i="31"/>
  <c r="BJ40" i="31"/>
  <c r="BJ58" i="31"/>
  <c r="BJ121" i="31"/>
  <c r="BJ133" i="31"/>
  <c r="BI128" i="31"/>
  <c r="BI102" i="31"/>
  <c r="BI55" i="31"/>
  <c r="BI33" i="31"/>
  <c r="BK15" i="31"/>
  <c r="BH22" i="31"/>
  <c r="R33" i="31"/>
  <c r="R34" i="31" s="1"/>
  <c r="Q33" i="31"/>
  <c r="Q34" i="31" s="1"/>
  <c r="K33" i="31"/>
  <c r="K34" i="31" s="1"/>
  <c r="L33" i="31"/>
  <c r="L34" i="31" s="1"/>
  <c r="L9" i="31"/>
  <c r="AH9" i="31" s="1"/>
  <c r="BH113" i="31"/>
  <c r="BH141" i="31"/>
  <c r="BH157" i="31"/>
  <c r="BH39" i="31"/>
  <c r="BH168" i="31"/>
  <c r="BH83" i="31"/>
  <c r="BH163" i="31"/>
  <c r="BH34" i="31"/>
  <c r="BH50" i="31"/>
  <c r="BH142" i="31"/>
  <c r="BH130" i="31"/>
  <c r="BH26" i="31"/>
  <c r="BH51" i="31"/>
  <c r="BH152" i="31"/>
  <c r="BH57" i="31"/>
  <c r="BH48" i="31"/>
  <c r="BH42" i="31"/>
  <c r="BH89" i="31"/>
  <c r="BH58" i="31"/>
  <c r="BH164" i="31"/>
  <c r="BH99" i="31"/>
  <c r="BH35" i="31"/>
  <c r="BH165" i="31"/>
  <c r="BH84" i="31"/>
  <c r="AP39" i="37"/>
  <c r="AP39" i="39" s="1"/>
  <c r="BH36" i="31"/>
  <c r="BH56" i="31"/>
  <c r="BH102" i="31"/>
  <c r="BH54" i="31"/>
  <c r="BH67" i="31"/>
  <c r="BJ100" i="31"/>
  <c r="A10" i="36"/>
  <c r="BH27" i="31"/>
  <c r="BH46" i="31"/>
  <c r="BH110" i="31"/>
  <c r="BH30" i="31"/>
  <c r="BH146" i="31"/>
  <c r="O35" i="32"/>
  <c r="O41" i="32"/>
  <c r="Q41" i="32" s="1"/>
  <c r="J41" i="37" s="1"/>
  <c r="O40" i="32"/>
  <c r="O39" i="32"/>
  <c r="Q39" i="32" s="1"/>
  <c r="J39" i="37" s="1"/>
  <c r="X33" i="31"/>
  <c r="X34" i="31" s="1"/>
  <c r="W33" i="31"/>
  <c r="W34" i="31" s="1"/>
  <c r="AE76" i="31"/>
  <c r="AO41" i="37"/>
  <c r="AO41" i="39" s="1"/>
  <c r="O14" i="32"/>
  <c r="Q14" i="32" s="1"/>
  <c r="U33" i="31"/>
  <c r="U34" i="31" s="1"/>
  <c r="BK25" i="31"/>
  <c r="AP40" i="37"/>
  <c r="AP40" i="39" s="1"/>
  <c r="AE74" i="31"/>
  <c r="AE68" i="31"/>
  <c r="BI120" i="31"/>
  <c r="BJ74" i="31"/>
  <c r="BH31" i="31"/>
  <c r="B36" i="39"/>
  <c r="BJ85" i="31"/>
  <c r="AP35" i="37"/>
  <c r="AP35" i="39" s="1"/>
  <c r="AO35" i="37"/>
  <c r="AO35" i="39" s="1"/>
  <c r="B25" i="39"/>
  <c r="B33" i="39"/>
  <c r="BJ26" i="31"/>
  <c r="B24" i="39"/>
  <c r="AH72" i="31"/>
  <c r="BJ79" i="31"/>
  <c r="BI61" i="31"/>
  <c r="AE75" i="31"/>
  <c r="BJ15" i="31"/>
  <c r="B14" i="39"/>
  <c r="BJ102" i="31"/>
  <c r="BI29" i="31"/>
  <c r="BI12" i="31"/>
  <c r="AA87" i="36"/>
  <c r="L86" i="36"/>
  <c r="K13" i="36"/>
  <c r="N13" i="36" s="1"/>
  <c r="AN8" i="36"/>
  <c r="D9" i="36"/>
  <c r="B47" i="39"/>
  <c r="B35" i="39"/>
  <c r="B23" i="39"/>
  <c r="B11" i="39"/>
  <c r="B48" i="39"/>
  <c r="B42" i="39"/>
  <c r="B18" i="39"/>
  <c r="B21" i="39"/>
  <c r="B34" i="39"/>
  <c r="B15" i="39"/>
  <c r="B22" i="39"/>
  <c r="B16" i="39"/>
  <c r="B26" i="39"/>
  <c r="L9" i="36"/>
  <c r="M43" i="36"/>
  <c r="BK40" i="31"/>
  <c r="BK42" i="31"/>
  <c r="BK83" i="31"/>
  <c r="BK150" i="31"/>
  <c r="BK133" i="31"/>
  <c r="BK153" i="31"/>
  <c r="BK16" i="31"/>
  <c r="BH126" i="31"/>
  <c r="BI91" i="31"/>
  <c r="BK64" i="31"/>
  <c r="BK120" i="31"/>
  <c r="BK20" i="31"/>
  <c r="BK144" i="31"/>
  <c r="BK85" i="31"/>
  <c r="BK32" i="31"/>
  <c r="BK95" i="31"/>
  <c r="BK19" i="31"/>
  <c r="BK157" i="31"/>
  <c r="BK13" i="31"/>
  <c r="B31" i="39"/>
  <c r="BK41" i="31"/>
  <c r="BK78" i="31"/>
  <c r="BK55" i="31"/>
  <c r="BK129" i="31"/>
  <c r="BI39" i="31"/>
  <c r="BH40" i="31"/>
  <c r="BH21" i="31"/>
  <c r="BK47" i="31"/>
  <c r="BK30" i="31"/>
  <c r="BI27" i="31"/>
  <c r="BI45" i="31"/>
  <c r="BI67" i="31"/>
  <c r="BI58" i="31"/>
  <c r="BI114" i="31"/>
  <c r="BK159" i="31"/>
  <c r="BI132" i="31"/>
  <c r="BI182" i="31"/>
  <c r="BK90" i="31"/>
  <c r="BI167" i="31"/>
  <c r="BI130" i="31"/>
  <c r="BI153" i="31"/>
  <c r="BK182" i="31"/>
  <c r="BJ165" i="31"/>
  <c r="BI169" i="31"/>
  <c r="BI160" i="31"/>
  <c r="BJ14" i="31"/>
  <c r="BK111" i="31"/>
  <c r="BH68" i="31"/>
  <c r="O7" i="36"/>
  <c r="BK43" i="31"/>
  <c r="BK34" i="31"/>
  <c r="BK69" i="31"/>
  <c r="BK59" i="31"/>
  <c r="BK140" i="31"/>
  <c r="BK68" i="31"/>
  <c r="BK121" i="31"/>
  <c r="BH24" i="31"/>
  <c r="BK116" i="31"/>
  <c r="BI57" i="31"/>
  <c r="BH92" i="31"/>
  <c r="BH117" i="31"/>
  <c r="BK74" i="31"/>
  <c r="BI154" i="31"/>
  <c r="BH144" i="31"/>
  <c r="BK53" i="31"/>
  <c r="BK158" i="31"/>
  <c r="BK149" i="31"/>
  <c r="BJ146" i="31"/>
  <c r="BI166" i="31"/>
  <c r="BK125" i="31"/>
  <c r="BK108" i="31"/>
  <c r="B19" i="39"/>
  <c r="K12" i="36"/>
  <c r="N12" i="36" s="1"/>
  <c r="B51" i="39"/>
  <c r="BK166" i="31"/>
  <c r="BK37" i="31"/>
  <c r="BK21" i="31"/>
  <c r="BK44" i="31"/>
  <c r="BK80" i="31"/>
  <c r="BH95" i="31"/>
  <c r="BK65" i="31"/>
  <c r="BK23" i="31"/>
  <c r="BK181" i="31"/>
  <c r="BK66" i="31"/>
  <c r="BK169" i="31"/>
  <c r="BH149" i="31"/>
  <c r="BJ108" i="31"/>
  <c r="BI53" i="31"/>
  <c r="B27" i="39"/>
  <c r="BK35" i="31"/>
  <c r="BK152" i="31"/>
  <c r="BK123" i="31"/>
  <c r="BK77" i="31"/>
  <c r="BK17" i="31"/>
  <c r="BK88" i="31"/>
  <c r="BK136" i="31"/>
  <c r="BK163" i="31"/>
  <c r="BK97" i="31"/>
  <c r="B43" i="39"/>
  <c r="B49" i="39"/>
  <c r="BK11" i="31"/>
  <c r="BK79" i="31"/>
  <c r="BK93" i="31"/>
  <c r="BK100" i="31"/>
  <c r="BK154" i="31"/>
  <c r="BK146" i="31"/>
  <c r="BK164" i="31"/>
  <c r="BH37" i="31"/>
  <c r="BK114" i="31"/>
  <c r="BK58" i="31"/>
  <c r="BI89" i="31"/>
  <c r="BI48" i="31"/>
  <c r="BK117" i="31"/>
  <c r="BK131" i="31"/>
  <c r="BK130" i="31"/>
  <c r="BI109" i="31"/>
  <c r="BI165" i="31"/>
  <c r="BK155" i="31"/>
  <c r="BK143" i="31"/>
  <c r="BH155" i="31"/>
  <c r="BI122" i="31"/>
  <c r="BI105" i="31"/>
  <c r="BI87" i="31"/>
  <c r="B50" i="39"/>
  <c r="S41" i="36"/>
  <c r="R7" i="36"/>
  <c r="AK8" i="36"/>
  <c r="AA7" i="36"/>
  <c r="U87" i="36"/>
  <c r="U86" i="36"/>
  <c r="R87" i="36"/>
  <c r="R86" i="36"/>
  <c r="AA86" i="36"/>
  <c r="P41" i="36"/>
  <c r="X7" i="36"/>
  <c r="AL8" i="36"/>
  <c r="X86" i="36"/>
  <c r="L91" i="32"/>
  <c r="O34" i="36"/>
  <c r="O22" i="36"/>
  <c r="AD87" i="36"/>
  <c r="AD7" i="36"/>
  <c r="O86" i="36"/>
  <c r="O19" i="36"/>
  <c r="I93" i="32"/>
  <c r="I94" i="32" s="1"/>
  <c r="O36" i="36"/>
  <c r="K93" i="32"/>
  <c r="K94" i="32" s="1"/>
  <c r="O26" i="36"/>
  <c r="N43" i="36"/>
  <c r="O43" i="36"/>
  <c r="M39" i="36"/>
  <c r="N39" i="36"/>
  <c r="V39" i="36"/>
  <c r="P39" i="36"/>
  <c r="Y39" i="36"/>
  <c r="S39" i="36"/>
  <c r="BH43" i="31"/>
  <c r="BH60" i="31"/>
  <c r="BH44" i="31"/>
  <c r="BJ106" i="31"/>
  <c r="BJ25" i="31"/>
  <c r="BJ91" i="31"/>
  <c r="BJ93" i="31"/>
  <c r="BJ20" i="31"/>
  <c r="BJ151" i="31"/>
  <c r="BH159" i="31"/>
  <c r="BJ16" i="31"/>
  <c r="BK135" i="31"/>
  <c r="BJ132" i="31"/>
  <c r="BH105" i="31"/>
  <c r="BJ94" i="31"/>
  <c r="BH66" i="31"/>
  <c r="BH45" i="31"/>
  <c r="BH78" i="31"/>
  <c r="BH125" i="31"/>
  <c r="BJ77" i="31"/>
  <c r="BJ134" i="31"/>
  <c r="BJ153" i="31"/>
  <c r="BH77" i="31"/>
  <c r="BH181" i="31"/>
  <c r="BH154" i="31"/>
  <c r="BH124" i="31"/>
  <c r="BJ70" i="31"/>
  <c r="B45" i="39"/>
  <c r="B29" i="39"/>
  <c r="B13" i="39"/>
  <c r="BH86" i="31"/>
  <c r="BH49" i="31"/>
  <c r="BH59" i="31"/>
  <c r="BH131" i="31"/>
  <c r="BJ109" i="31"/>
  <c r="BH111" i="31"/>
  <c r="BJ31" i="31"/>
  <c r="BH29" i="31"/>
  <c r="BH82" i="31"/>
  <c r="BH17" i="31"/>
  <c r="BJ162" i="31"/>
  <c r="BJ126" i="31"/>
  <c r="BJ154" i="31"/>
  <c r="BH108" i="31"/>
  <c r="BH94" i="31"/>
  <c r="BH70" i="31"/>
  <c r="BK12" i="31"/>
  <c r="AH50" i="31"/>
  <c r="AH29" i="31"/>
  <c r="L7" i="36"/>
  <c r="B44" i="39"/>
  <c r="B28" i="39"/>
  <c r="BH81" i="31"/>
  <c r="BH158" i="31"/>
  <c r="BH33" i="31"/>
  <c r="BH13" i="31"/>
  <c r="BH53" i="31"/>
  <c r="BH19" i="31"/>
  <c r="BH90" i="31"/>
  <c r="BH137" i="31"/>
  <c r="BJ75" i="31"/>
  <c r="BJ47" i="31"/>
  <c r="BJ92" i="31"/>
  <c r="BJ95" i="31"/>
  <c r="BH116" i="31"/>
  <c r="BH52" i="31"/>
  <c r="BH150" i="31"/>
  <c r="BJ28" i="31"/>
  <c r="BJ119" i="31"/>
  <c r="BJ53" i="31"/>
  <c r="BJ142" i="31"/>
  <c r="BH63" i="31"/>
  <c r="BH87" i="31"/>
  <c r="BH128" i="31"/>
  <c r="BJ131" i="31"/>
  <c r="BJ125" i="31"/>
  <c r="AH67" i="31"/>
  <c r="AH77" i="31"/>
  <c r="BH109" i="31"/>
  <c r="BJ11" i="31"/>
  <c r="BJ19" i="31"/>
  <c r="BH120" i="31"/>
  <c r="BJ66" i="31"/>
  <c r="BH73" i="31"/>
  <c r="BH156" i="31"/>
  <c r="BJ150" i="31"/>
  <c r="BH127" i="31"/>
  <c r="BH91" i="31"/>
  <c r="BH61" i="31"/>
  <c r="AE8" i="31"/>
  <c r="J93" i="32"/>
  <c r="J94" i="32" s="1"/>
  <c r="B10" i="39"/>
  <c r="BJ67" i="31"/>
  <c r="BJ43" i="31"/>
  <c r="BJ116" i="31"/>
  <c r="BJ143" i="31"/>
  <c r="BJ169" i="31"/>
  <c r="BJ123" i="31"/>
  <c r="BH132" i="31"/>
  <c r="BJ99" i="31"/>
  <c r="BH85" i="31"/>
  <c r="BH153" i="31"/>
  <c r="BJ149" i="31"/>
  <c r="BH103" i="31"/>
  <c r="BJ128" i="31"/>
  <c r="BH100" i="31"/>
  <c r="BK26" i="31"/>
  <c r="K11" i="36"/>
  <c r="M11" i="36" s="1"/>
  <c r="D11" i="36"/>
  <c r="BH115" i="31"/>
  <c r="BH64" i="31"/>
  <c r="BH69" i="31"/>
  <c r="BJ117" i="31"/>
  <c r="BH118" i="31"/>
  <c r="BJ157" i="31"/>
  <c r="BH18" i="31"/>
  <c r="BJ76" i="31"/>
  <c r="BH148" i="31"/>
  <c r="BH97" i="31"/>
  <c r="BH135" i="31"/>
  <c r="BH151" i="31"/>
  <c r="BH169" i="31"/>
  <c r="BH133" i="31"/>
  <c r="BH143" i="31"/>
  <c r="BJ139" i="31"/>
  <c r="BH122" i="31"/>
  <c r="K10" i="36"/>
  <c r="D10" i="36"/>
  <c r="BJ115" i="31"/>
  <c r="BJ37" i="31"/>
  <c r="BJ59" i="31"/>
  <c r="BJ101" i="31"/>
  <c r="BJ45" i="31"/>
  <c r="BH101" i="31"/>
  <c r="BH98" i="31"/>
  <c r="BH47" i="31"/>
  <c r="BJ22" i="31"/>
  <c r="BJ156" i="31"/>
  <c r="BH88" i="31"/>
  <c r="BJ81" i="31"/>
  <c r="BJ137" i="31"/>
  <c r="BH119" i="31"/>
  <c r="BH167" i="31"/>
  <c r="BH129" i="31"/>
  <c r="BJ164" i="31"/>
  <c r="BJ148" i="31"/>
  <c r="A11" i="36"/>
  <c r="C12" i="32"/>
  <c r="BJ39" i="31"/>
  <c r="BJ41" i="31"/>
  <c r="BJ42" i="31"/>
  <c r="BH41" i="31"/>
  <c r="BJ104" i="31"/>
  <c r="BH80" i="31"/>
  <c r="BH104" i="31"/>
  <c r="BJ10" i="31"/>
  <c r="BJ23" i="31"/>
  <c r="BJ120" i="31"/>
  <c r="BJ141" i="31"/>
  <c r="BH123" i="31"/>
  <c r="BH65" i="31"/>
  <c r="BH134" i="31"/>
  <c r="BH182" i="31"/>
  <c r="BH71" i="31"/>
  <c r="B9" i="39"/>
  <c r="BJ33" i="31"/>
  <c r="BJ12" i="31"/>
  <c r="BJ138" i="31"/>
  <c r="BH161" i="31"/>
  <c r="BK127" i="31"/>
  <c r="BH171" i="31"/>
  <c r="BH14" i="31"/>
  <c r="BH106" i="31"/>
  <c r="BH62" i="31"/>
  <c r="BJ86" i="31"/>
  <c r="BJ82" i="31"/>
  <c r="BJ55" i="31"/>
  <c r="BJ61" i="31"/>
  <c r="BH15" i="31"/>
  <c r="BH139" i="31"/>
  <c r="BH136" i="31"/>
  <c r="BH160" i="31"/>
  <c r="BH96" i="31"/>
  <c r="BH75" i="31"/>
  <c r="BH138" i="31"/>
  <c r="BH38" i="31"/>
  <c r="BJ87" i="31"/>
  <c r="BJ71" i="31"/>
  <c r="BH25" i="31"/>
  <c r="BH10" i="31"/>
  <c r="BJ161" i="31"/>
  <c r="BH147" i="31"/>
  <c r="BH170" i="31"/>
  <c r="BH16" i="31"/>
  <c r="BJ166" i="31"/>
  <c r="BJ140" i="31"/>
  <c r="BK96" i="31"/>
  <c r="BK22" i="31"/>
  <c r="BK132" i="31"/>
  <c r="BK102" i="31"/>
  <c r="BK84" i="31"/>
  <c r="BK10" i="31"/>
  <c r="BK18" i="31"/>
  <c r="N32" i="36"/>
  <c r="BH107" i="31"/>
  <c r="BH72" i="31"/>
  <c r="BH93" i="31"/>
  <c r="BH145" i="31"/>
  <c r="BJ127" i="31"/>
  <c r="BJ135" i="31"/>
  <c r="BJ17" i="31"/>
  <c r="BJ163" i="31"/>
  <c r="BJ129" i="31"/>
  <c r="BJ65" i="31"/>
  <c r="BH12" i="31"/>
  <c r="BH121" i="31"/>
  <c r="BH23" i="31"/>
  <c r="BH11" i="31"/>
  <c r="L18" i="36"/>
  <c r="M18" i="36"/>
  <c r="N18" i="36"/>
  <c r="BH55" i="31"/>
  <c r="BJ97" i="31"/>
  <c r="BH79" i="31"/>
  <c r="BH76" i="31"/>
  <c r="BH20" i="31"/>
  <c r="BJ68" i="31"/>
  <c r="BH28" i="31"/>
  <c r="BJ130" i="31"/>
  <c r="BH166" i="31"/>
  <c r="BH140" i="31"/>
  <c r="BH74" i="31"/>
  <c r="BI10" i="31"/>
  <c r="BI121" i="31"/>
  <c r="BI70" i="31"/>
  <c r="BI19" i="31"/>
  <c r="BI79" i="31"/>
  <c r="BI15" i="31"/>
  <c r="BI68" i="31"/>
  <c r="BI20" i="31"/>
  <c r="O17" i="36"/>
  <c r="L92" i="32"/>
  <c r="B39" i="39"/>
  <c r="B40" i="39"/>
  <c r="M9" i="36"/>
  <c r="O9" i="36"/>
  <c r="N9" i="36"/>
  <c r="O33" i="36"/>
  <c r="L33" i="36"/>
  <c r="L25" i="36"/>
  <c r="O32" i="36"/>
  <c r="L27" i="36"/>
  <c r="L32" i="36"/>
  <c r="M32" i="36"/>
  <c r="Y35" i="36"/>
  <c r="O27" i="36"/>
  <c r="L43" i="36"/>
  <c r="M19" i="36"/>
  <c r="L22" i="36"/>
  <c r="N47" i="36"/>
  <c r="L37" i="36"/>
  <c r="M16" i="36"/>
  <c r="N37" i="36"/>
  <c r="M30" i="36"/>
  <c r="B3" i="37"/>
  <c r="O49" i="36"/>
  <c r="N30" i="36"/>
  <c r="B3" i="39"/>
  <c r="M37" i="36"/>
  <c r="N28" i="36"/>
  <c r="L31" i="36"/>
  <c r="L44" i="36"/>
  <c r="V14" i="36"/>
  <c r="N31" i="36"/>
  <c r="O15" i="36"/>
  <c r="L36" i="36"/>
  <c r="O14" i="36"/>
  <c r="M36" i="36"/>
  <c r="AB14" i="36"/>
  <c r="N33" i="36"/>
  <c r="M27" i="36"/>
  <c r="L42" i="36"/>
  <c r="N19" i="36"/>
  <c r="S14" i="36"/>
  <c r="N36" i="36"/>
  <c r="L14" i="36"/>
  <c r="M42" i="36"/>
  <c r="O31" i="36"/>
  <c r="M14" i="36"/>
  <c r="O25" i="36"/>
  <c r="O45" i="36"/>
  <c r="Y14" i="36"/>
  <c r="P14" i="36"/>
  <c r="L28" i="36"/>
  <c r="N45" i="36"/>
  <c r="Q41" i="36"/>
  <c r="M28" i="36"/>
  <c r="O42" i="36"/>
  <c r="Q35" i="36"/>
  <c r="O35" i="36"/>
  <c r="O18" i="36"/>
  <c r="O30" i="36"/>
  <c r="O20" i="36"/>
  <c r="O44" i="36"/>
  <c r="M48" i="36"/>
  <c r="L48" i="36"/>
  <c r="O48" i="36"/>
  <c r="N48" i="36"/>
  <c r="O50" i="36"/>
  <c r="M50" i="36"/>
  <c r="L50" i="36"/>
  <c r="N50" i="36"/>
  <c r="M51" i="36"/>
  <c r="N51" i="36"/>
  <c r="O51" i="36"/>
  <c r="L51" i="36"/>
  <c r="V41" i="36"/>
  <c r="O21" i="36"/>
  <c r="L35" i="36"/>
  <c r="L30" i="36"/>
  <c r="N46" i="36"/>
  <c r="L49" i="36"/>
  <c r="M35" i="36"/>
  <c r="Q40" i="36"/>
  <c r="Y41" i="36"/>
  <c r="S35" i="36"/>
  <c r="O24" i="36"/>
  <c r="L34" i="36"/>
  <c r="N35" i="36"/>
  <c r="M49" i="36"/>
  <c r="S40" i="36"/>
  <c r="M38" i="36"/>
  <c r="O40" i="36"/>
  <c r="M34" i="36"/>
  <c r="M47" i="36"/>
  <c r="AE40" i="36"/>
  <c r="AE39" i="36"/>
  <c r="N49" i="36"/>
  <c r="V35" i="36"/>
  <c r="V40" i="36"/>
  <c r="N38" i="36"/>
  <c r="L29" i="36"/>
  <c r="L40" i="36"/>
  <c r="L19" i="36"/>
  <c r="N16" i="36"/>
  <c r="M40" i="36"/>
  <c r="P40" i="36"/>
  <c r="O16" i="36"/>
  <c r="AB35" i="36"/>
  <c r="Y40" i="36"/>
  <c r="M46" i="36"/>
  <c r="AE35" i="36"/>
  <c r="O38" i="36"/>
  <c r="O46" i="36"/>
  <c r="O23" i="36"/>
  <c r="M15" i="36"/>
  <c r="N29" i="36"/>
  <c r="N25" i="36"/>
  <c r="L23" i="36"/>
  <c r="M41" i="36"/>
  <c r="N21" i="36"/>
  <c r="N15" i="36"/>
  <c r="L26" i="36"/>
  <c r="M23" i="36"/>
  <c r="N41" i="36"/>
  <c r="L38" i="36"/>
  <c r="O47" i="36"/>
  <c r="O41" i="36"/>
  <c r="AE14" i="36"/>
  <c r="M33" i="36"/>
  <c r="M26" i="36"/>
  <c r="N23" i="36"/>
  <c r="AB40" i="36"/>
  <c r="N17" i="36"/>
  <c r="M22" i="36"/>
  <c r="N22" i="36"/>
  <c r="N34" i="36"/>
  <c r="L45" i="36"/>
  <c r="M17" i="36"/>
  <c r="O39" i="36"/>
  <c r="AB39" i="36"/>
  <c r="L39" i="36"/>
  <c r="L20" i="36"/>
  <c r="M20" i="36"/>
  <c r="N20" i="36"/>
  <c r="O29" i="36"/>
  <c r="M44" i="36"/>
  <c r="L24" i="36"/>
  <c r="AB41" i="36"/>
  <c r="M24" i="36"/>
  <c r="AE41" i="36"/>
  <c r="L21" i="36"/>
  <c r="AA35" i="37" l="1"/>
  <c r="AA39" i="37"/>
  <c r="I35" i="37"/>
  <c r="L89" i="36"/>
  <c r="AA41" i="37"/>
  <c r="AA14" i="37"/>
  <c r="M89" i="36"/>
  <c r="Q39" i="36"/>
  <c r="O13" i="36"/>
  <c r="M9" i="31"/>
  <c r="Q35" i="32"/>
  <c r="J35" i="37" s="1"/>
  <c r="Q40" i="32"/>
  <c r="J40" i="37" s="1"/>
  <c r="R41" i="32"/>
  <c r="T41" i="32" s="1"/>
  <c r="S41" i="37" s="1"/>
  <c r="R39" i="32"/>
  <c r="T39" i="32" s="1"/>
  <c r="S39" i="37" s="1"/>
  <c r="Q14" i="36"/>
  <c r="R14" i="36"/>
  <c r="R41" i="37"/>
  <c r="R40" i="37"/>
  <c r="AA40" i="37"/>
  <c r="R35" i="37"/>
  <c r="AN39" i="37"/>
  <c r="AJ39" i="37"/>
  <c r="AN40" i="37"/>
  <c r="AJ40" i="37"/>
  <c r="AJ41" i="37"/>
  <c r="AN41" i="37"/>
  <c r="R14" i="37"/>
  <c r="I40" i="37"/>
  <c r="I41" i="37"/>
  <c r="K41" i="37" s="1"/>
  <c r="R14" i="32"/>
  <c r="T14" i="32" s="1"/>
  <c r="J14" i="37"/>
  <c r="I39" i="37"/>
  <c r="K39" i="37" s="1"/>
  <c r="AN35" i="37"/>
  <c r="AJ35" i="37"/>
  <c r="I14" i="37"/>
  <c r="R39" i="37"/>
  <c r="AN14" i="37"/>
  <c r="AJ14" i="37"/>
  <c r="M13" i="36"/>
  <c r="L13" i="36"/>
  <c r="T41" i="36"/>
  <c r="O12" i="36"/>
  <c r="M12" i="36"/>
  <c r="N10" i="36"/>
  <c r="L12" i="36"/>
  <c r="L93" i="32"/>
  <c r="L94" i="32" s="1"/>
  <c r="L10" i="36"/>
  <c r="O10" i="36"/>
  <c r="L11" i="36"/>
  <c r="O11" i="36"/>
  <c r="N11" i="36"/>
  <c r="A12" i="36"/>
  <c r="C13" i="32"/>
  <c r="AZ14" i="37"/>
  <c r="AX14" i="37"/>
  <c r="M10" i="36"/>
  <c r="AY14" i="37"/>
  <c r="AW14" i="37"/>
  <c r="AE26" i="31"/>
  <c r="AE16" i="31"/>
  <c r="AE50" i="31"/>
  <c r="AQ8" i="31"/>
  <c r="AE29" i="31"/>
  <c r="AE18" i="31"/>
  <c r="R41" i="36"/>
  <c r="R40" i="36"/>
  <c r="R35" i="36"/>
  <c r="R39" i="36"/>
  <c r="O89" i="36"/>
  <c r="N89" i="36"/>
  <c r="J39" i="39"/>
  <c r="AG39" i="32"/>
  <c r="AM39" i="32" s="1"/>
  <c r="T39" i="36"/>
  <c r="AG14" i="32"/>
  <c r="J14" i="39"/>
  <c r="T14" i="36"/>
  <c r="AS35" i="37" l="1"/>
  <c r="AN35" i="39"/>
  <c r="AS40" i="37"/>
  <c r="AN40" i="39"/>
  <c r="AS39" i="37"/>
  <c r="AN39" i="39"/>
  <c r="AS41" i="37"/>
  <c r="AN41" i="39"/>
  <c r="AS14" i="37"/>
  <c r="AN14" i="39"/>
  <c r="Q39" i="39"/>
  <c r="Q41" i="39"/>
  <c r="L85" i="36"/>
  <c r="L88" i="36"/>
  <c r="O85" i="36"/>
  <c r="L90" i="36"/>
  <c r="M85" i="36"/>
  <c r="N85" i="36"/>
  <c r="K35" i="37"/>
  <c r="M88" i="36"/>
  <c r="M90" i="36" s="1"/>
  <c r="R35" i="32"/>
  <c r="T35" i="32" s="1"/>
  <c r="S35" i="37" s="1"/>
  <c r="AI9" i="31"/>
  <c r="AW9" i="31" s="1"/>
  <c r="O9" i="31"/>
  <c r="U39" i="32"/>
  <c r="W39" i="32" s="1"/>
  <c r="AB39" i="37" s="1"/>
  <c r="J40" i="39"/>
  <c r="K40" i="37"/>
  <c r="U41" i="32"/>
  <c r="W41" i="32" s="1"/>
  <c r="AB41" i="37" s="1"/>
  <c r="R40" i="32"/>
  <c r="T39" i="37"/>
  <c r="K14" i="37"/>
  <c r="U14" i="32"/>
  <c r="W14" i="32" s="1"/>
  <c r="S14" i="37"/>
  <c r="U14" i="36"/>
  <c r="T41" i="37"/>
  <c r="AG40" i="32"/>
  <c r="AM40" i="32" s="1"/>
  <c r="AG41" i="32"/>
  <c r="AM41" i="32" s="1"/>
  <c r="J41" i="39"/>
  <c r="D41" i="39"/>
  <c r="E40" i="39"/>
  <c r="T40" i="36"/>
  <c r="N88" i="36"/>
  <c r="N90" i="36" s="1"/>
  <c r="O88" i="36"/>
  <c r="O90" i="36" s="1"/>
  <c r="BA14" i="37"/>
  <c r="AE72" i="31"/>
  <c r="AE73" i="31"/>
  <c r="A13" i="36"/>
  <c r="C14" i="32"/>
  <c r="U39" i="36"/>
  <c r="J35" i="39"/>
  <c r="T35" i="36"/>
  <c r="D39" i="39"/>
  <c r="G39" i="39"/>
  <c r="F39" i="39"/>
  <c r="E39" i="39"/>
  <c r="AH14" i="32"/>
  <c r="AN14" i="32" s="1"/>
  <c r="W14" i="36"/>
  <c r="AK14" i="36" s="1"/>
  <c r="AQ14" i="36" s="1"/>
  <c r="S14" i="39"/>
  <c r="AJ14" i="36"/>
  <c r="AM14" i="32"/>
  <c r="G14" i="39"/>
  <c r="D14" i="39"/>
  <c r="F14" i="39"/>
  <c r="E14" i="39"/>
  <c r="T35" i="37" l="1"/>
  <c r="Q35" i="39"/>
  <c r="T14" i="37"/>
  <c r="Q14" i="39"/>
  <c r="AC39" i="37"/>
  <c r="Z39" i="39"/>
  <c r="AC41" i="37"/>
  <c r="Z41" i="39"/>
  <c r="U35" i="32"/>
  <c r="W35" i="32" s="1"/>
  <c r="AB35" i="37" s="1"/>
  <c r="U35" i="36"/>
  <c r="M91" i="36"/>
  <c r="X39" i="32"/>
  <c r="Z39" i="32" s="1"/>
  <c r="AK39" i="37" s="1"/>
  <c r="AL39" i="37" s="1"/>
  <c r="P9" i="31"/>
  <c r="AK9" i="31"/>
  <c r="X41" i="32"/>
  <c r="Z41" i="32" s="1"/>
  <c r="AK41" i="37" s="1"/>
  <c r="AL41" i="37" s="1"/>
  <c r="T40" i="32"/>
  <c r="S40" i="37" s="1"/>
  <c r="X14" i="32"/>
  <c r="Z14" i="32" s="1"/>
  <c r="AB14" i="37"/>
  <c r="N91" i="36"/>
  <c r="E41" i="39"/>
  <c r="G41" i="39"/>
  <c r="F41" i="39"/>
  <c r="U40" i="36"/>
  <c r="F40" i="39"/>
  <c r="D40" i="39"/>
  <c r="G40" i="39"/>
  <c r="U41" i="36"/>
  <c r="W35" i="36"/>
  <c r="S35" i="39"/>
  <c r="AB41" i="39"/>
  <c r="L91" i="36"/>
  <c r="O91" i="36"/>
  <c r="W41" i="36"/>
  <c r="C15" i="32"/>
  <c r="A15" i="36" s="1"/>
  <c r="A14" i="36"/>
  <c r="AH41" i="32"/>
  <c r="AN41" i="32" s="1"/>
  <c r="S41" i="39"/>
  <c r="X39" i="36"/>
  <c r="AH39" i="32"/>
  <c r="AN39" i="32" s="1"/>
  <c r="W39" i="36"/>
  <c r="O39" i="39"/>
  <c r="S39" i="39"/>
  <c r="I39" i="39"/>
  <c r="K39" i="39" s="1"/>
  <c r="D35" i="39"/>
  <c r="G35" i="39"/>
  <c r="F35" i="39"/>
  <c r="E35" i="39"/>
  <c r="Z39" i="36"/>
  <c r="X14" i="36"/>
  <c r="M35" i="39"/>
  <c r="N35" i="39"/>
  <c r="O35" i="39"/>
  <c r="P35" i="39"/>
  <c r="AW14" i="39"/>
  <c r="I14" i="39"/>
  <c r="K14" i="39" s="1"/>
  <c r="AP14" i="36"/>
  <c r="P14" i="39"/>
  <c r="O14" i="39"/>
  <c r="N14" i="39"/>
  <c r="M14" i="39"/>
  <c r="T40" i="37" l="1"/>
  <c r="Q40" i="39"/>
  <c r="AC35" i="37"/>
  <c r="Z35" i="39"/>
  <c r="AC14" i="37"/>
  <c r="Z14" i="39"/>
  <c r="AA41" i="32"/>
  <c r="AC41" i="32" s="1"/>
  <c r="AT41" i="37" s="1"/>
  <c r="Z35" i="36"/>
  <c r="X35" i="32"/>
  <c r="Z35" i="32" s="1"/>
  <c r="AK35" i="37" s="1"/>
  <c r="AL35" i="37" s="1"/>
  <c r="AA39" i="32"/>
  <c r="AC39" i="32" s="1"/>
  <c r="AT39" i="37" s="1"/>
  <c r="AH40" i="32"/>
  <c r="AN40" i="32" s="1"/>
  <c r="R9" i="31"/>
  <c r="AL9" i="31" s="1"/>
  <c r="AZ9" i="31" s="1"/>
  <c r="S9" i="31"/>
  <c r="U9" i="31" s="1"/>
  <c r="AM9" i="31" s="1"/>
  <c r="BC9" i="31" s="1"/>
  <c r="U40" i="32"/>
  <c r="W40" i="32" s="1"/>
  <c r="AB40" i="37" s="1"/>
  <c r="S40" i="39"/>
  <c r="W40" i="36"/>
  <c r="AA14" i="32"/>
  <c r="AC14" i="32" s="1"/>
  <c r="AT14" i="37" s="1"/>
  <c r="AK14" i="37"/>
  <c r="AL14" i="37" s="1"/>
  <c r="AB35" i="39"/>
  <c r="X35" i="36"/>
  <c r="X41" i="36"/>
  <c r="I41" i="39"/>
  <c r="K41" i="39" s="1"/>
  <c r="AI41" i="32"/>
  <c r="AO41" i="32" s="1"/>
  <c r="Z41" i="36"/>
  <c r="I40" i="39"/>
  <c r="K40" i="39" s="1"/>
  <c r="P41" i="39"/>
  <c r="AA39" i="36"/>
  <c r="M41" i="39"/>
  <c r="V9" i="31"/>
  <c r="N41" i="39"/>
  <c r="O41" i="39"/>
  <c r="P39" i="39"/>
  <c r="AI39" i="32"/>
  <c r="AO39" i="32" s="1"/>
  <c r="N39" i="39"/>
  <c r="AB39" i="39"/>
  <c r="V39" i="39"/>
  <c r="P40" i="39"/>
  <c r="M40" i="39"/>
  <c r="O40" i="39"/>
  <c r="N40" i="39"/>
  <c r="M39" i="39"/>
  <c r="I35" i="39"/>
  <c r="K35" i="39" s="1"/>
  <c r="R35" i="39"/>
  <c r="T35" i="39" s="1"/>
  <c r="AK39" i="39"/>
  <c r="AJ39" i="32"/>
  <c r="AP39" i="32" s="1"/>
  <c r="AC39" i="36"/>
  <c r="AB14" i="39"/>
  <c r="Z14" i="36"/>
  <c r="AI14" i="32"/>
  <c r="AX14" i="39"/>
  <c r="R14" i="39"/>
  <c r="T14" i="39" s="1"/>
  <c r="AC40" i="37" l="1"/>
  <c r="Z40" i="39"/>
  <c r="AU39" i="37"/>
  <c r="AU41" i="37"/>
  <c r="AK35" i="39"/>
  <c r="AA35" i="32"/>
  <c r="AC35" i="32" s="1"/>
  <c r="AT35" i="37" s="1"/>
  <c r="X40" i="36"/>
  <c r="X40" i="32"/>
  <c r="Z40" i="32" s="1"/>
  <c r="AK40" i="37" s="1"/>
  <c r="AL40" i="37" s="1"/>
  <c r="AU14" i="37"/>
  <c r="W35" i="39"/>
  <c r="V35" i="39"/>
  <c r="X35" i="39"/>
  <c r="Y35" i="39"/>
  <c r="AC35" i="36"/>
  <c r="AA35" i="36"/>
  <c r="AD39" i="32"/>
  <c r="X39" i="39"/>
  <c r="Y39" i="39"/>
  <c r="W41" i="39"/>
  <c r="Y41" i="39"/>
  <c r="X41" i="39"/>
  <c r="V41" i="39"/>
  <c r="AA41" i="36"/>
  <c r="R41" i="39"/>
  <c r="T41" i="39" s="1"/>
  <c r="X9" i="31"/>
  <c r="AN9" i="31" s="1"/>
  <c r="BF9" i="31" s="1"/>
  <c r="Y9" i="31"/>
  <c r="R39" i="39"/>
  <c r="T39" i="39" s="1"/>
  <c r="W39" i="39"/>
  <c r="R40" i="39"/>
  <c r="T40" i="39" s="1"/>
  <c r="AI40" i="32"/>
  <c r="AO40" i="32" s="1"/>
  <c r="AB40" i="39"/>
  <c r="Z40" i="36"/>
  <c r="AD39" i="36"/>
  <c r="AH39" i="39"/>
  <c r="AE39" i="39"/>
  <c r="AG39" i="39"/>
  <c r="AF39" i="39"/>
  <c r="AO14" i="32"/>
  <c r="AL14" i="36"/>
  <c r="Y14" i="39"/>
  <c r="X14" i="39"/>
  <c r="V14" i="39"/>
  <c r="W14" i="39"/>
  <c r="AA14" i="36"/>
  <c r="AT35" i="39" l="1"/>
  <c r="AU35" i="37"/>
  <c r="AA40" i="32"/>
  <c r="AC40" i="32" s="1"/>
  <c r="AT40" i="37" s="1"/>
  <c r="AA35" i="39"/>
  <c r="AC35" i="39" s="1"/>
  <c r="AF35" i="39"/>
  <c r="AE35" i="39"/>
  <c r="AG35" i="39"/>
  <c r="AH35" i="39"/>
  <c r="AF35" i="36"/>
  <c r="AD35" i="32"/>
  <c r="AD35" i="36"/>
  <c r="AA39" i="39"/>
  <c r="AC39" i="39" s="1"/>
  <c r="AD41" i="36"/>
  <c r="AJ41" i="32"/>
  <c r="AP41" i="32" s="1"/>
  <c r="AC41" i="36"/>
  <c r="AK41" i="39"/>
  <c r="AA41" i="39"/>
  <c r="AC41" i="39" s="1"/>
  <c r="AA9" i="31"/>
  <c r="AB9" i="31"/>
  <c r="AV9" i="31" s="1"/>
  <c r="W40" i="39"/>
  <c r="Y40" i="39"/>
  <c r="V40" i="39"/>
  <c r="X40" i="39"/>
  <c r="AA40" i="36"/>
  <c r="AJ39" i="39"/>
  <c r="AL39" i="39" s="1"/>
  <c r="AK39" i="32"/>
  <c r="AQ39" i="32" s="1"/>
  <c r="AT39" i="39"/>
  <c r="AF39" i="36"/>
  <c r="AG39" i="36" s="1"/>
  <c r="AD14" i="36"/>
  <c r="AY14" i="39"/>
  <c r="AA14" i="39"/>
  <c r="AR14" i="36"/>
  <c r="AJ14" i="32"/>
  <c r="AK14" i="39"/>
  <c r="AC14" i="36"/>
  <c r="AD40" i="32" l="1"/>
  <c r="AU40" i="37"/>
  <c r="AG35" i="36"/>
  <c r="AJ35" i="39"/>
  <c r="AL35" i="39" s="1"/>
  <c r="AD14" i="32"/>
  <c r="AD41" i="32"/>
  <c r="AF41" i="39"/>
  <c r="AE41" i="39"/>
  <c r="AG41" i="39"/>
  <c r="AH41" i="39"/>
  <c r="AT41" i="39"/>
  <c r="AF41" i="36"/>
  <c r="AG41" i="36" s="1"/>
  <c r="AK41" i="32"/>
  <c r="AQ41" i="32" s="1"/>
  <c r="AO9" i="31"/>
  <c r="AU9" i="31"/>
  <c r="AK40" i="39"/>
  <c r="AJ40" i="32"/>
  <c r="AP40" i="32" s="1"/>
  <c r="AC40" i="36"/>
  <c r="AA40" i="39"/>
  <c r="AC40" i="39" s="1"/>
  <c r="AC14" i="39"/>
  <c r="AM14" i="36"/>
  <c r="AP14" i="32"/>
  <c r="AH14" i="39"/>
  <c r="AG14" i="39"/>
  <c r="AF14" i="39"/>
  <c r="AE14" i="39"/>
  <c r="AF14" i="36"/>
  <c r="AG14" i="36" s="1"/>
  <c r="AT14" i="39"/>
  <c r="AK14" i="32"/>
  <c r="AJ41" i="39" l="1"/>
  <c r="AL41" i="39" s="1"/>
  <c r="AF40" i="39"/>
  <c r="AG40" i="39"/>
  <c r="AH40" i="39"/>
  <c r="AE40" i="39"/>
  <c r="AD40" i="36"/>
  <c r="AZ14" i="39"/>
  <c r="AJ14" i="39"/>
  <c r="AQ14" i="32"/>
  <c r="AN14" i="36"/>
  <c r="AS14" i="36"/>
  <c r="BA14" i="39" l="1"/>
  <c r="AS41" i="39"/>
  <c r="AU41" i="39" s="1"/>
  <c r="AT40" i="39"/>
  <c r="AF40" i="36"/>
  <c r="AG40" i="36" s="1"/>
  <c r="AK40" i="32"/>
  <c r="AQ40" i="32" s="1"/>
  <c r="AJ40" i="39"/>
  <c r="AL40" i="39" s="1"/>
  <c r="AL14" i="39"/>
  <c r="AT14" i="36"/>
  <c r="AS40" i="39" l="1"/>
  <c r="AU40" i="39" s="1"/>
  <c r="AQ44" i="37" l="1"/>
  <c r="AQ44" i="39" s="1"/>
  <c r="AP44" i="37"/>
  <c r="AP44" i="39" s="1"/>
  <c r="AO44" i="37"/>
  <c r="AO44" i="39" s="1"/>
  <c r="Y44" i="36"/>
  <c r="S44" i="36"/>
  <c r="V44" i="36"/>
  <c r="AB44" i="32" l="1"/>
  <c r="AB44" i="36"/>
  <c r="R44" i="37"/>
  <c r="AA44" i="37"/>
  <c r="I44" i="37"/>
  <c r="AN44" i="37"/>
  <c r="AJ44" i="37"/>
  <c r="P44" i="36"/>
  <c r="AS44" i="37" l="1"/>
  <c r="AN44" i="39"/>
  <c r="AF44" i="32"/>
  <c r="AE44" i="36"/>
  <c r="O44" i="32"/>
  <c r="Q44" i="36"/>
  <c r="Q44" i="32" l="1"/>
  <c r="R44" i="36"/>
  <c r="R44" i="32" l="1"/>
  <c r="J44" i="37"/>
  <c r="AG44" i="32"/>
  <c r="AM44" i="32" s="1"/>
  <c r="T44" i="36"/>
  <c r="J44" i="39"/>
  <c r="E44" i="39" l="1"/>
  <c r="D44" i="39"/>
  <c r="F44" i="39"/>
  <c r="G44" i="39"/>
  <c r="K44" i="37"/>
  <c r="T44" i="32"/>
  <c r="U44" i="36"/>
  <c r="I44" i="39" l="1"/>
  <c r="K44" i="39" s="1"/>
  <c r="U44" i="32"/>
  <c r="AH44" i="32"/>
  <c r="AN44" i="32" s="1"/>
  <c r="S44" i="37"/>
  <c r="Q44" i="39" s="1"/>
  <c r="S44" i="39"/>
  <c r="W44" i="36"/>
  <c r="O44" i="39" l="1"/>
  <c r="N44" i="39"/>
  <c r="P44" i="39"/>
  <c r="M44" i="39"/>
  <c r="T44" i="37"/>
  <c r="X44" i="36"/>
  <c r="W44" i="32"/>
  <c r="X44" i="32" l="1"/>
  <c r="AB44" i="37"/>
  <c r="Z44" i="39" s="1"/>
  <c r="Z44" i="36"/>
  <c r="AB44" i="39"/>
  <c r="AI44" i="32"/>
  <c r="AO44" i="32" s="1"/>
  <c r="R44" i="39"/>
  <c r="T44" i="39" s="1"/>
  <c r="W44" i="39" l="1"/>
  <c r="V44" i="39"/>
  <c r="Y44" i="39"/>
  <c r="AC44" i="37"/>
  <c r="X44" i="39"/>
  <c r="Z44" i="32"/>
  <c r="AA44" i="36"/>
  <c r="AA44" i="39" l="1"/>
  <c r="AC44" i="39" s="1"/>
  <c r="AA44" i="32"/>
  <c r="AJ44" i="32"/>
  <c r="AP44" i="32" s="1"/>
  <c r="AK44" i="39"/>
  <c r="AK44" i="37"/>
  <c r="AC44" i="36"/>
  <c r="AE44" i="39" l="1"/>
  <c r="AF44" i="39"/>
  <c r="AL44" i="37"/>
  <c r="AH44" i="39"/>
  <c r="AG44" i="39"/>
  <c r="AC44" i="32"/>
  <c r="AD44" i="32" s="1"/>
  <c r="AD44" i="36"/>
  <c r="AT44" i="37" l="1"/>
  <c r="AK44" i="32"/>
  <c r="AQ44" i="32" s="1"/>
  <c r="AF44" i="36"/>
  <c r="AG44" i="36" s="1"/>
  <c r="AT44" i="39"/>
  <c r="AJ44" i="39"/>
  <c r="AL44" i="39" s="1"/>
  <c r="AU44" i="37" l="1"/>
  <c r="AS44" i="39" l="1"/>
  <c r="AU44" i="39" s="1"/>
  <c r="AQ46" i="37" l="1"/>
  <c r="AQ46" i="39" s="1"/>
  <c r="AP46" i="37"/>
  <c r="AP46" i="39" s="1"/>
  <c r="AO46" i="37"/>
  <c r="AO46" i="39" s="1"/>
  <c r="AA46" i="37"/>
  <c r="AQ31" i="37"/>
  <c r="AQ31" i="39" s="1"/>
  <c r="AP31" i="37"/>
  <c r="AP31" i="39" s="1"/>
  <c r="AO31" i="37"/>
  <c r="AO31" i="39" s="1"/>
  <c r="AA31" i="37"/>
  <c r="AQ29" i="37"/>
  <c r="AQ29" i="39" s="1"/>
  <c r="AP29" i="37"/>
  <c r="AP29" i="39" s="1"/>
  <c r="AO29" i="37"/>
  <c r="AO29" i="39" s="1"/>
  <c r="AA29" i="37"/>
  <c r="AQ28" i="37"/>
  <c r="AQ28" i="39" s="1"/>
  <c r="AP28" i="37"/>
  <c r="AP28" i="39" s="1"/>
  <c r="AO28" i="37"/>
  <c r="AO28" i="39" s="1"/>
  <c r="Y46" i="36"/>
  <c r="R29" i="37" l="1"/>
  <c r="Y28" i="36"/>
  <c r="S46" i="36"/>
  <c r="I46" i="37"/>
  <c r="I28" i="37"/>
  <c r="R31" i="37"/>
  <c r="AB28" i="36"/>
  <c r="AB28" i="32"/>
  <c r="AE28" i="36" s="1"/>
  <c r="AJ28" i="37"/>
  <c r="AN28" i="37"/>
  <c r="AN31" i="37"/>
  <c r="AJ31" i="37"/>
  <c r="R28" i="37"/>
  <c r="I29" i="37"/>
  <c r="AJ46" i="37"/>
  <c r="AN46" i="37"/>
  <c r="V46" i="36"/>
  <c r="R46" i="37"/>
  <c r="I31" i="37"/>
  <c r="AA28" i="37"/>
  <c r="AJ29" i="37"/>
  <c r="AN29" i="37"/>
  <c r="V29" i="36"/>
  <c r="V28" i="36"/>
  <c r="S28" i="36"/>
  <c r="V31" i="36"/>
  <c r="Y29" i="36"/>
  <c r="S29" i="36"/>
  <c r="S31" i="36"/>
  <c r="Y31" i="36"/>
  <c r="AS31" i="37" l="1"/>
  <c r="AN31" i="39"/>
  <c r="AS31" i="39" s="1"/>
  <c r="AS29" i="37"/>
  <c r="AN29" i="39"/>
  <c r="AS46" i="37"/>
  <c r="AN46" i="39"/>
  <c r="AS28" i="37"/>
  <c r="AN28" i="39"/>
  <c r="AS28" i="39" s="1"/>
  <c r="P46" i="36"/>
  <c r="N29" i="32"/>
  <c r="P29" i="36"/>
  <c r="N31" i="32"/>
  <c r="P31" i="36"/>
  <c r="N28" i="32"/>
  <c r="P28" i="36"/>
  <c r="AB46" i="32"/>
  <c r="AB46" i="36"/>
  <c r="AB29" i="32"/>
  <c r="AE29" i="36" s="1"/>
  <c r="AB29" i="36"/>
  <c r="AB31" i="32"/>
  <c r="AE31" i="36" s="1"/>
  <c r="AB31" i="36"/>
  <c r="Q28" i="36" l="1"/>
  <c r="O28" i="32"/>
  <c r="Q31" i="36"/>
  <c r="O31" i="32"/>
  <c r="O29" i="32"/>
  <c r="Q29" i="36"/>
  <c r="O46" i="32"/>
  <c r="Q46" i="36"/>
  <c r="AE46" i="36"/>
  <c r="AF46" i="32"/>
  <c r="R31" i="36" l="1"/>
  <c r="Q31" i="32"/>
  <c r="R28" i="36"/>
  <c r="Q28" i="32"/>
  <c r="Q29" i="32"/>
  <c r="R29" i="36"/>
  <c r="Q46" i="32"/>
  <c r="R46" i="32" s="1"/>
  <c r="R46" i="36"/>
  <c r="R29" i="32" l="1"/>
  <c r="J29" i="37"/>
  <c r="J29" i="39"/>
  <c r="T29" i="36"/>
  <c r="R31" i="32"/>
  <c r="J31" i="39"/>
  <c r="T31" i="36"/>
  <c r="J31" i="37"/>
  <c r="U46" i="36"/>
  <c r="T46" i="32"/>
  <c r="AG46" i="32"/>
  <c r="AM46" i="32" s="1"/>
  <c r="J46" i="37"/>
  <c r="T46" i="36"/>
  <c r="J46" i="39"/>
  <c r="R28" i="32"/>
  <c r="J28" i="39"/>
  <c r="J28" i="37"/>
  <c r="T28" i="36"/>
  <c r="U46" i="32" l="1"/>
  <c r="S46" i="39"/>
  <c r="S46" i="37"/>
  <c r="AH46" i="32"/>
  <c r="AN46" i="32" s="1"/>
  <c r="W46" i="36"/>
  <c r="F31" i="39"/>
  <c r="D31" i="39"/>
  <c r="E31" i="39"/>
  <c r="G31" i="39"/>
  <c r="K31" i="37"/>
  <c r="G28" i="39"/>
  <c r="K28" i="37"/>
  <c r="E28" i="39"/>
  <c r="F28" i="39"/>
  <c r="D28" i="39"/>
  <c r="U31" i="36"/>
  <c r="T31" i="32"/>
  <c r="F46" i="39"/>
  <c r="E46" i="39"/>
  <c r="K46" i="37"/>
  <c r="G46" i="39"/>
  <c r="D46" i="39"/>
  <c r="F29" i="39"/>
  <c r="E29" i="39"/>
  <c r="D29" i="39"/>
  <c r="G29" i="39"/>
  <c r="K29" i="37"/>
  <c r="U28" i="36"/>
  <c r="T28" i="32"/>
  <c r="U29" i="36"/>
  <c r="T29" i="32"/>
  <c r="I28" i="39" l="1"/>
  <c r="K28" i="39" s="1"/>
  <c r="H85" i="39"/>
  <c r="H86" i="39"/>
  <c r="I31" i="39"/>
  <c r="K31" i="39" s="1"/>
  <c r="U31" i="32"/>
  <c r="W31" i="36"/>
  <c r="S31" i="39"/>
  <c r="S31" i="37"/>
  <c r="I46" i="39"/>
  <c r="K46" i="39" s="1"/>
  <c r="Q46" i="39"/>
  <c r="M46" i="39"/>
  <c r="O46" i="39"/>
  <c r="T46" i="37"/>
  <c r="P46" i="39"/>
  <c r="N46" i="39"/>
  <c r="H87" i="39"/>
  <c r="X46" i="36"/>
  <c r="W46" i="32"/>
  <c r="I29" i="39"/>
  <c r="K29" i="39" s="1"/>
  <c r="U29" i="32"/>
  <c r="S29" i="39"/>
  <c r="W29" i="36"/>
  <c r="S29" i="37"/>
  <c r="S28" i="39"/>
  <c r="W28" i="36"/>
  <c r="S28" i="37"/>
  <c r="U28" i="32"/>
  <c r="X31" i="36" l="1"/>
  <c r="W31" i="32"/>
  <c r="Q28" i="39"/>
  <c r="N28" i="39"/>
  <c r="P28" i="39"/>
  <c r="O28" i="39"/>
  <c r="T28" i="37"/>
  <c r="M28" i="39"/>
  <c r="X46" i="32"/>
  <c r="AI46" i="32"/>
  <c r="AO46" i="32" s="1"/>
  <c r="AB46" i="37"/>
  <c r="AB46" i="39"/>
  <c r="Z46" i="36"/>
  <c r="R46" i="39"/>
  <c r="T46" i="39" s="1"/>
  <c r="Q29" i="39"/>
  <c r="M29" i="39"/>
  <c r="O29" i="39"/>
  <c r="T29" i="37"/>
  <c r="N29" i="39"/>
  <c r="P29" i="39"/>
  <c r="W28" i="32"/>
  <c r="X28" i="36"/>
  <c r="W29" i="32"/>
  <c r="X29" i="32" s="1"/>
  <c r="X29" i="36"/>
  <c r="Q31" i="39"/>
  <c r="O31" i="39"/>
  <c r="P31" i="39"/>
  <c r="M31" i="39"/>
  <c r="T31" i="37"/>
  <c r="N31" i="39"/>
  <c r="X31" i="32" l="1"/>
  <c r="Z31" i="36"/>
  <c r="AB31" i="39"/>
  <c r="AB31" i="37"/>
  <c r="R29" i="39"/>
  <c r="T29" i="39" s="1"/>
  <c r="Z46" i="39"/>
  <c r="AC46" i="37"/>
  <c r="Y46" i="39"/>
  <c r="W46" i="39"/>
  <c r="X46" i="39"/>
  <c r="V46" i="39"/>
  <c r="AA46" i="36"/>
  <c r="Z46" i="32"/>
  <c r="R31" i="39"/>
  <c r="T31" i="39" s="1"/>
  <c r="AS39" i="39"/>
  <c r="AU39" i="39" s="1"/>
  <c r="R28" i="39"/>
  <c r="T28" i="39" s="1"/>
  <c r="AB28" i="37"/>
  <c r="Z28" i="36"/>
  <c r="AB28" i="39"/>
  <c r="AB29" i="37"/>
  <c r="AB29" i="39"/>
  <c r="Z29" i="36"/>
  <c r="X28" i="32"/>
  <c r="Z29" i="32"/>
  <c r="AA29" i="36"/>
  <c r="AA46" i="39" l="1"/>
  <c r="AC46" i="39" s="1"/>
  <c r="Z31" i="39"/>
  <c r="W31" i="39"/>
  <c r="AC31" i="37"/>
  <c r="X31" i="39"/>
  <c r="V31" i="39"/>
  <c r="Y31" i="39"/>
  <c r="Z28" i="32"/>
  <c r="AA28" i="36"/>
  <c r="Z28" i="39"/>
  <c r="V28" i="39"/>
  <c r="AC28" i="37"/>
  <c r="W28" i="39"/>
  <c r="X28" i="39"/>
  <c r="Y28" i="39"/>
  <c r="AA31" i="36"/>
  <c r="Z31" i="32"/>
  <c r="AS35" i="39"/>
  <c r="AU35" i="39" s="1"/>
  <c r="Z29" i="39"/>
  <c r="X29" i="39"/>
  <c r="Y29" i="39"/>
  <c r="AC29" i="37"/>
  <c r="W29" i="39"/>
  <c r="V29" i="39"/>
  <c r="AA46" i="32"/>
  <c r="AK46" i="39"/>
  <c r="AC46" i="36"/>
  <c r="AJ46" i="32"/>
  <c r="AP46" i="32" s="1"/>
  <c r="AK46" i="37"/>
  <c r="AA29" i="32"/>
  <c r="AK29" i="39"/>
  <c r="AC29" i="36"/>
  <c r="AK29" i="37"/>
  <c r="AS14" i="39"/>
  <c r="AU14" i="39" s="1"/>
  <c r="AA29" i="39" l="1"/>
  <c r="AC29" i="39" s="1"/>
  <c r="AL29" i="37"/>
  <c r="AG29" i="39"/>
  <c r="AE29" i="39"/>
  <c r="AF29" i="39"/>
  <c r="AH29" i="39"/>
  <c r="AA31" i="39"/>
  <c r="AC31" i="39" s="1"/>
  <c r="AA28" i="39"/>
  <c r="AC28" i="39" s="1"/>
  <c r="AD46" i="36"/>
  <c r="AC46" i="32"/>
  <c r="AD29" i="36"/>
  <c r="AC29" i="32"/>
  <c r="AA28" i="32"/>
  <c r="AK28" i="37"/>
  <c r="AK28" i="39"/>
  <c r="AC28" i="36"/>
  <c r="AE46" i="39"/>
  <c r="AH46" i="39"/>
  <c r="AL46" i="37"/>
  <c r="AG46" i="39"/>
  <c r="AF46" i="39"/>
  <c r="AA31" i="32"/>
  <c r="AK31" i="39"/>
  <c r="AC31" i="36"/>
  <c r="AK31" i="37"/>
  <c r="AS60" i="39" l="1"/>
  <c r="AU60" i="39" s="1"/>
  <c r="AS61" i="39"/>
  <c r="AU61" i="39" s="1"/>
  <c r="AF29" i="36"/>
  <c r="AG29" i="36" s="1"/>
  <c r="AT29" i="37"/>
  <c r="AT29" i="39"/>
  <c r="AH31" i="39"/>
  <c r="AE31" i="39"/>
  <c r="AG31" i="39"/>
  <c r="AF31" i="39"/>
  <c r="AL31" i="37"/>
  <c r="AE28" i="39"/>
  <c r="AL28" i="37"/>
  <c r="AH28" i="39"/>
  <c r="AF28" i="39"/>
  <c r="AG28" i="39"/>
  <c r="AD28" i="36"/>
  <c r="AC28" i="32"/>
  <c r="AD31" i="36"/>
  <c r="AC31" i="32"/>
  <c r="AJ46" i="39"/>
  <c r="AL46" i="39" s="1"/>
  <c r="AD46" i="32"/>
  <c r="AT46" i="39"/>
  <c r="AT46" i="37"/>
  <c r="AK46" i="32"/>
  <c r="AQ46" i="32" s="1"/>
  <c r="AF46" i="36"/>
  <c r="AG46" i="36" s="1"/>
  <c r="AJ29" i="39"/>
  <c r="AL29" i="39" s="1"/>
  <c r="AD29" i="32"/>
  <c r="AD31" i="32" l="1"/>
  <c r="AF31" i="36"/>
  <c r="AG31" i="36" s="1"/>
  <c r="AT31" i="39"/>
  <c r="AU31" i="39" s="1"/>
  <c r="AT31" i="37"/>
  <c r="AJ31" i="39"/>
  <c r="AL31" i="39" s="1"/>
  <c r="AD28" i="32"/>
  <c r="AF28" i="36"/>
  <c r="AG28" i="36" s="1"/>
  <c r="AT28" i="39"/>
  <c r="AU28" i="39" s="1"/>
  <c r="AT28" i="37"/>
  <c r="AU28" i="37" s="1"/>
  <c r="AJ28" i="39"/>
  <c r="AL28" i="39" s="1"/>
  <c r="AU29" i="37"/>
  <c r="AU46" i="37"/>
  <c r="AS29" i="39" l="1"/>
  <c r="AU29" i="39" s="1"/>
  <c r="AS46" i="39"/>
  <c r="AU46" i="39" s="1"/>
  <c r="AU31" i="37"/>
  <c r="AQ84" i="37" l="1"/>
  <c r="AQ84" i="39" s="1"/>
  <c r="AP84" i="37"/>
  <c r="AP84" i="39" s="1"/>
  <c r="AO84" i="37"/>
  <c r="AO84" i="39" s="1"/>
  <c r="AQ83" i="37"/>
  <c r="AQ83" i="39" s="1"/>
  <c r="AP83" i="37"/>
  <c r="AP83" i="39" s="1"/>
  <c r="AO83" i="37"/>
  <c r="AO83" i="39" s="1"/>
  <c r="AQ82" i="37"/>
  <c r="AQ82" i="39" s="1"/>
  <c r="AP82" i="37"/>
  <c r="AP82" i="39" s="1"/>
  <c r="AO82" i="37"/>
  <c r="AO82" i="39" s="1"/>
  <c r="AQ81" i="37"/>
  <c r="AQ81" i="39" s="1"/>
  <c r="AP81" i="37"/>
  <c r="AP81" i="39" s="1"/>
  <c r="AO81" i="37"/>
  <c r="AO81" i="39" s="1"/>
  <c r="AQ80" i="37"/>
  <c r="AQ80" i="39" s="1"/>
  <c r="AP80" i="37"/>
  <c r="AP80" i="39" s="1"/>
  <c r="AO80" i="37"/>
  <c r="AO80" i="39" s="1"/>
  <c r="AQ79" i="37"/>
  <c r="AQ79" i="39" s="1"/>
  <c r="AP79" i="37"/>
  <c r="AP79" i="39" s="1"/>
  <c r="AO79" i="37"/>
  <c r="AO79" i="39" s="1"/>
  <c r="AQ78" i="37"/>
  <c r="AQ78" i="39" s="1"/>
  <c r="AP78" i="37"/>
  <c r="AP78" i="39" s="1"/>
  <c r="AO78" i="37"/>
  <c r="AO78" i="39" s="1"/>
  <c r="AQ77" i="37"/>
  <c r="AQ77" i="39" s="1"/>
  <c r="AP77" i="37"/>
  <c r="AP77" i="39" s="1"/>
  <c r="AO77" i="37"/>
  <c r="AO77" i="39" s="1"/>
  <c r="AQ76" i="37"/>
  <c r="AQ76" i="39" s="1"/>
  <c r="AP76" i="37"/>
  <c r="AP76" i="39" s="1"/>
  <c r="AO76" i="37"/>
  <c r="AO76" i="39" s="1"/>
  <c r="AQ75" i="37"/>
  <c r="AQ75" i="39" s="1"/>
  <c r="AP75" i="37"/>
  <c r="AP75" i="39" s="1"/>
  <c r="AO75" i="37"/>
  <c r="AO75" i="39" s="1"/>
  <c r="AQ74" i="37"/>
  <c r="AQ74" i="39" s="1"/>
  <c r="AP74" i="37"/>
  <c r="AP74" i="39" s="1"/>
  <c r="AO74" i="37"/>
  <c r="AO74" i="39" s="1"/>
  <c r="AQ73" i="37"/>
  <c r="AQ73" i="39" s="1"/>
  <c r="AP73" i="37"/>
  <c r="AP73" i="39" s="1"/>
  <c r="AO73" i="37"/>
  <c r="AO73" i="39" s="1"/>
  <c r="R83" i="37"/>
  <c r="R81" i="37"/>
  <c r="R80" i="37"/>
  <c r="I79" i="37"/>
  <c r="I78" i="37"/>
  <c r="R75" i="37"/>
  <c r="R74" i="37"/>
  <c r="I73" i="37"/>
  <c r="AQ63" i="37"/>
  <c r="AQ63" i="39" s="1"/>
  <c r="AP63" i="37"/>
  <c r="AP63" i="39" s="1"/>
  <c r="AO63" i="37"/>
  <c r="AO63" i="39" s="1"/>
  <c r="AQ62" i="37"/>
  <c r="AQ62" i="39" s="1"/>
  <c r="AP62" i="37"/>
  <c r="AP62" i="39" s="1"/>
  <c r="AO62" i="37"/>
  <c r="AO62" i="39" s="1"/>
  <c r="AQ59" i="37"/>
  <c r="AQ59" i="39" s="1"/>
  <c r="AP59" i="37"/>
  <c r="AP59" i="39" s="1"/>
  <c r="AO59" i="37"/>
  <c r="AO59" i="39" s="1"/>
  <c r="AQ58" i="37"/>
  <c r="AQ58" i="39" s="1"/>
  <c r="AP58" i="37"/>
  <c r="AP58" i="39" s="1"/>
  <c r="AO58" i="37"/>
  <c r="AO58" i="39" s="1"/>
  <c r="AQ57" i="37"/>
  <c r="AQ57" i="39" s="1"/>
  <c r="AP57" i="37"/>
  <c r="AP57" i="39" s="1"/>
  <c r="AO57" i="37"/>
  <c r="AO57" i="39" s="1"/>
  <c r="AQ56" i="37"/>
  <c r="AQ56" i="39" s="1"/>
  <c r="AP56" i="37"/>
  <c r="AP56" i="39" s="1"/>
  <c r="AO56" i="37"/>
  <c r="AO56" i="39" s="1"/>
  <c r="AQ55" i="37"/>
  <c r="AQ55" i="39" s="1"/>
  <c r="AP55" i="37"/>
  <c r="AP55" i="39" s="1"/>
  <c r="AO55" i="37"/>
  <c r="AO55" i="39" s="1"/>
  <c r="AQ54" i="37"/>
  <c r="AQ54" i="39" s="1"/>
  <c r="AP54" i="37"/>
  <c r="AP54" i="39" s="1"/>
  <c r="AO54" i="37"/>
  <c r="AO54" i="39" s="1"/>
  <c r="AQ53" i="37"/>
  <c r="AQ53" i="39" s="1"/>
  <c r="AP53" i="37"/>
  <c r="AP53" i="39" s="1"/>
  <c r="AO53" i="37"/>
  <c r="AO53" i="39" s="1"/>
  <c r="AQ52" i="37"/>
  <c r="AQ52" i="39" s="1"/>
  <c r="AP52" i="37"/>
  <c r="AP52" i="39" s="1"/>
  <c r="AO52" i="37"/>
  <c r="AO52" i="39" s="1"/>
  <c r="AQ51" i="37"/>
  <c r="AQ51" i="39" s="1"/>
  <c r="AP51" i="37"/>
  <c r="AP51" i="39" s="1"/>
  <c r="AO51" i="37"/>
  <c r="AO51" i="39" s="1"/>
  <c r="AQ50" i="37"/>
  <c r="AQ50" i="39" s="1"/>
  <c r="AP50" i="37"/>
  <c r="AP50" i="39" s="1"/>
  <c r="AO50" i="37"/>
  <c r="AO50" i="39" s="1"/>
  <c r="AQ49" i="37"/>
  <c r="AQ49" i="39" s="1"/>
  <c r="AP49" i="37"/>
  <c r="AP49" i="39" s="1"/>
  <c r="AO49" i="37"/>
  <c r="AO49" i="39" s="1"/>
  <c r="AQ48" i="37"/>
  <c r="AQ48" i="39" s="1"/>
  <c r="AP48" i="37"/>
  <c r="AP48" i="39" s="1"/>
  <c r="AO48" i="37"/>
  <c r="AO48" i="39" s="1"/>
  <c r="AQ47" i="37"/>
  <c r="AQ47" i="39" s="1"/>
  <c r="AP47" i="37"/>
  <c r="AP47" i="39" s="1"/>
  <c r="AO47" i="37"/>
  <c r="AO47" i="39" s="1"/>
  <c r="AQ45" i="37"/>
  <c r="AQ45" i="39" s="1"/>
  <c r="AP45" i="37"/>
  <c r="AP45" i="39" s="1"/>
  <c r="AO45" i="37"/>
  <c r="AO45" i="39" s="1"/>
  <c r="AQ43" i="37"/>
  <c r="AQ43" i="39" s="1"/>
  <c r="AP43" i="37"/>
  <c r="AP43" i="39" s="1"/>
  <c r="AO43" i="37"/>
  <c r="AO43" i="39" s="1"/>
  <c r="AQ42" i="37"/>
  <c r="AQ42" i="39" s="1"/>
  <c r="AP42" i="37"/>
  <c r="AP42" i="39" s="1"/>
  <c r="AO42" i="37"/>
  <c r="AO42" i="39" s="1"/>
  <c r="I63" i="37"/>
  <c r="R58" i="37"/>
  <c r="R57" i="37"/>
  <c r="I56" i="37"/>
  <c r="I55" i="37"/>
  <c r="R52" i="37"/>
  <c r="R51" i="37"/>
  <c r="I50" i="37"/>
  <c r="R45" i="37"/>
  <c r="R43" i="37"/>
  <c r="I42" i="37"/>
  <c r="AQ38" i="37"/>
  <c r="AQ38" i="39" s="1"/>
  <c r="AP38" i="37"/>
  <c r="AP38" i="39" s="1"/>
  <c r="AO38" i="37"/>
  <c r="AO38" i="39" s="1"/>
  <c r="AQ37" i="37"/>
  <c r="AQ37" i="39" s="1"/>
  <c r="AP37" i="37"/>
  <c r="AP37" i="39" s="1"/>
  <c r="AO37" i="37"/>
  <c r="AO37" i="39" s="1"/>
  <c r="AQ36" i="37"/>
  <c r="AQ36" i="39" s="1"/>
  <c r="AP36" i="37"/>
  <c r="AP36" i="39" s="1"/>
  <c r="AO36" i="37"/>
  <c r="AO36" i="39" s="1"/>
  <c r="AQ34" i="37"/>
  <c r="AQ34" i="39" s="1"/>
  <c r="AP34" i="37"/>
  <c r="AP34" i="39" s="1"/>
  <c r="AO34" i="37"/>
  <c r="AO34" i="39" s="1"/>
  <c r="AQ33" i="37"/>
  <c r="AQ33" i="39" s="1"/>
  <c r="AP33" i="37"/>
  <c r="AP33" i="39" s="1"/>
  <c r="AO33" i="37"/>
  <c r="AO33" i="39" s="1"/>
  <c r="AQ32" i="37"/>
  <c r="AQ32" i="39" s="1"/>
  <c r="AP32" i="37"/>
  <c r="AP32" i="39" s="1"/>
  <c r="AO32" i="37"/>
  <c r="AO32" i="39" s="1"/>
  <c r="AQ30" i="37"/>
  <c r="AQ30" i="39" s="1"/>
  <c r="AP30" i="37"/>
  <c r="AP30" i="39" s="1"/>
  <c r="AO30" i="37"/>
  <c r="AO30" i="39" s="1"/>
  <c r="AQ27" i="37"/>
  <c r="AQ27" i="39" s="1"/>
  <c r="AP27" i="37"/>
  <c r="AP27" i="39" s="1"/>
  <c r="AO27" i="37"/>
  <c r="AO27" i="39" s="1"/>
  <c r="AQ26" i="37"/>
  <c r="AQ26" i="39" s="1"/>
  <c r="AP26" i="37"/>
  <c r="AP26" i="39" s="1"/>
  <c r="AO26" i="37"/>
  <c r="AO26" i="39" s="1"/>
  <c r="AQ25" i="37"/>
  <c r="AQ25" i="39" s="1"/>
  <c r="AP25" i="37"/>
  <c r="AP25" i="39" s="1"/>
  <c r="AO25" i="37"/>
  <c r="AO25" i="39" s="1"/>
  <c r="AQ24" i="37"/>
  <c r="AQ24" i="39" s="1"/>
  <c r="AP24" i="37"/>
  <c r="AP24" i="39" s="1"/>
  <c r="AO24" i="37"/>
  <c r="AO24" i="39" s="1"/>
  <c r="AQ23" i="37"/>
  <c r="AQ23" i="39" s="1"/>
  <c r="AP23" i="37"/>
  <c r="AP23" i="39" s="1"/>
  <c r="AO23" i="37"/>
  <c r="AO23" i="39" s="1"/>
  <c r="AQ22" i="37"/>
  <c r="AQ22" i="39" s="1"/>
  <c r="AP22" i="37"/>
  <c r="AP22" i="39" s="1"/>
  <c r="AO22" i="37"/>
  <c r="AO22" i="39" s="1"/>
  <c r="AQ21" i="37"/>
  <c r="AQ21" i="39" s="1"/>
  <c r="AP21" i="37"/>
  <c r="AP21" i="39" s="1"/>
  <c r="AO21" i="37"/>
  <c r="AO21" i="39" s="1"/>
  <c r="AQ20" i="37"/>
  <c r="AQ20" i="39" s="1"/>
  <c r="AP20" i="37"/>
  <c r="AP20" i="39" s="1"/>
  <c r="AO20" i="37"/>
  <c r="AO20" i="39" s="1"/>
  <c r="AQ19" i="37"/>
  <c r="AQ19" i="39" s="1"/>
  <c r="AP19" i="37"/>
  <c r="AP19" i="39" s="1"/>
  <c r="AO19" i="37"/>
  <c r="AO19" i="39" s="1"/>
  <c r="AQ18" i="37"/>
  <c r="AQ18" i="39" s="1"/>
  <c r="AP18" i="37"/>
  <c r="AP18" i="39" s="1"/>
  <c r="AO18" i="37"/>
  <c r="AO18" i="39" s="1"/>
  <c r="AQ17" i="37"/>
  <c r="AQ17" i="39" s="1"/>
  <c r="AP17" i="37"/>
  <c r="AP17" i="39" s="1"/>
  <c r="AO17" i="37"/>
  <c r="AO17" i="39" s="1"/>
  <c r="AQ16" i="37"/>
  <c r="AQ16" i="39" s="1"/>
  <c r="AP16" i="37"/>
  <c r="AP16" i="39" s="1"/>
  <c r="AO16" i="37"/>
  <c r="AO16" i="39" s="1"/>
  <c r="AQ15" i="37"/>
  <c r="AQ15" i="39" s="1"/>
  <c r="AP15" i="37"/>
  <c r="AP15" i="39" s="1"/>
  <c r="AO15" i="37"/>
  <c r="AO15" i="39" s="1"/>
  <c r="AQ13" i="37"/>
  <c r="AQ13" i="39" s="1"/>
  <c r="AP13" i="37"/>
  <c r="AP13" i="39" s="1"/>
  <c r="AO13" i="37"/>
  <c r="AO13" i="39" s="1"/>
  <c r="AQ12" i="37"/>
  <c r="AQ12" i="39" s="1"/>
  <c r="AP12" i="37"/>
  <c r="AP12" i="39" s="1"/>
  <c r="AO12" i="37"/>
  <c r="AO12" i="39" s="1"/>
  <c r="AQ11" i="37"/>
  <c r="AQ11" i="39" s="1"/>
  <c r="AP11" i="37"/>
  <c r="AP11" i="39" s="1"/>
  <c r="AO11" i="37"/>
  <c r="AO11" i="39" s="1"/>
  <c r="AQ10" i="37"/>
  <c r="AQ10" i="39" s="1"/>
  <c r="AP10" i="37"/>
  <c r="AP10" i="39" s="1"/>
  <c r="AO10" i="37"/>
  <c r="AO10" i="39" s="1"/>
  <c r="AQ9" i="37"/>
  <c r="AQ9" i="39" s="1"/>
  <c r="AP9" i="37"/>
  <c r="AP9" i="39" s="1"/>
  <c r="AO9" i="37"/>
  <c r="AO9" i="39" s="1"/>
  <c r="R38" i="37"/>
  <c r="I37" i="37"/>
  <c r="R36" i="37"/>
  <c r="I36" i="37"/>
  <c r="R32" i="37"/>
  <c r="R30" i="37"/>
  <c r="I27" i="37"/>
  <c r="I26" i="37"/>
  <c r="R23" i="37"/>
  <c r="R22" i="37"/>
  <c r="I21" i="37"/>
  <c r="I20" i="37"/>
  <c r="R17" i="37"/>
  <c r="R16" i="37"/>
  <c r="AO87" i="39" l="1"/>
  <c r="AP87" i="39"/>
  <c r="AJ26" i="37"/>
  <c r="AN26" i="37"/>
  <c r="AJ10" i="37"/>
  <c r="AN10" i="37"/>
  <c r="AZ10" i="37"/>
  <c r="R9" i="37"/>
  <c r="AX9" i="37"/>
  <c r="AY11" i="37"/>
  <c r="AW13" i="37"/>
  <c r="I13" i="37"/>
  <c r="I49" i="37"/>
  <c r="I84" i="37"/>
  <c r="AJ53" i="37"/>
  <c r="AN53" i="37"/>
  <c r="AN56" i="37"/>
  <c r="AJ56" i="37"/>
  <c r="AQ87" i="39"/>
  <c r="AJ20" i="37"/>
  <c r="AN20" i="37"/>
  <c r="AN47" i="37"/>
  <c r="AJ47" i="37"/>
  <c r="AJ82" i="37"/>
  <c r="AN82" i="37"/>
  <c r="AY10" i="37"/>
  <c r="AW12" i="37"/>
  <c r="I12" i="37"/>
  <c r="AX15" i="37"/>
  <c r="R15" i="37"/>
  <c r="I19" i="37"/>
  <c r="R21" i="37"/>
  <c r="I25" i="37"/>
  <c r="R27" i="37"/>
  <c r="I34" i="37"/>
  <c r="R37" i="37"/>
  <c r="AJ11" i="37"/>
  <c r="AN11" i="37"/>
  <c r="AZ11" i="37"/>
  <c r="AN15" i="37"/>
  <c r="AJ15" i="37"/>
  <c r="AZ15" i="37"/>
  <c r="AJ18" i="37"/>
  <c r="AN18" i="37"/>
  <c r="AJ21" i="37"/>
  <c r="AN21" i="37"/>
  <c r="AN24" i="37"/>
  <c r="AJ24" i="37"/>
  <c r="AN27" i="37"/>
  <c r="AJ27" i="37"/>
  <c r="AN33" i="37"/>
  <c r="AJ33" i="37"/>
  <c r="AN37" i="37"/>
  <c r="AJ37" i="37"/>
  <c r="R42" i="37"/>
  <c r="I48" i="37"/>
  <c r="R50" i="37"/>
  <c r="I54" i="37"/>
  <c r="R56" i="37"/>
  <c r="I62" i="37"/>
  <c r="AN43" i="37"/>
  <c r="AJ43" i="37"/>
  <c r="AN48" i="37"/>
  <c r="AJ48" i="37"/>
  <c r="AN51" i="37"/>
  <c r="AJ51" i="37"/>
  <c r="AN54" i="37"/>
  <c r="AJ54" i="37"/>
  <c r="AJ57" i="37"/>
  <c r="AN57" i="37"/>
  <c r="AN62" i="37"/>
  <c r="AJ62" i="37"/>
  <c r="R73" i="37"/>
  <c r="I77" i="37"/>
  <c r="R79" i="37"/>
  <c r="I83" i="37"/>
  <c r="AJ74" i="37"/>
  <c r="AN74" i="37"/>
  <c r="AN77" i="37"/>
  <c r="AJ77" i="37"/>
  <c r="AJ80" i="37"/>
  <c r="AN80" i="37"/>
  <c r="AN83" i="37"/>
  <c r="AJ83" i="37"/>
  <c r="AY12" i="37"/>
  <c r="AN73" i="37"/>
  <c r="AJ73" i="37"/>
  <c r="I15" i="37"/>
  <c r="AW15" i="37"/>
  <c r="AY9" i="37"/>
  <c r="AW11" i="37"/>
  <c r="I11" i="37"/>
  <c r="AX13" i="37"/>
  <c r="R13" i="37"/>
  <c r="I18" i="37"/>
  <c r="R20" i="37"/>
  <c r="I24" i="37"/>
  <c r="R26" i="37"/>
  <c r="I33" i="37"/>
  <c r="I47" i="37"/>
  <c r="R49" i="37"/>
  <c r="I53" i="37"/>
  <c r="R55" i="37"/>
  <c r="I59" i="37"/>
  <c r="R63" i="37"/>
  <c r="I76" i="37"/>
  <c r="R78" i="37"/>
  <c r="I82" i="37"/>
  <c r="R84" i="37"/>
  <c r="AJ17" i="37"/>
  <c r="AN17" i="37"/>
  <c r="AN42" i="37"/>
  <c r="AJ42" i="37"/>
  <c r="AJ23" i="37"/>
  <c r="AN23" i="37"/>
  <c r="AW10" i="37"/>
  <c r="I10" i="37"/>
  <c r="R12" i="37"/>
  <c r="AX12" i="37"/>
  <c r="AY15" i="37"/>
  <c r="I17" i="37"/>
  <c r="R19" i="37"/>
  <c r="I23" i="37"/>
  <c r="R25" i="37"/>
  <c r="I32" i="37"/>
  <c r="R34" i="37"/>
  <c r="AN9" i="37"/>
  <c r="AJ9" i="37"/>
  <c r="AZ9" i="37"/>
  <c r="AN12" i="37"/>
  <c r="AZ12" i="37"/>
  <c r="AJ12" i="37"/>
  <c r="AJ16" i="37"/>
  <c r="AN16" i="37"/>
  <c r="AN19" i="37"/>
  <c r="AJ19" i="37"/>
  <c r="AN22" i="37"/>
  <c r="AJ22" i="37"/>
  <c r="AN25" i="37"/>
  <c r="AJ25" i="37"/>
  <c r="AJ30" i="37"/>
  <c r="AN30" i="37"/>
  <c r="AN34" i="37"/>
  <c r="AJ34" i="37"/>
  <c r="AN38" i="37"/>
  <c r="AJ38" i="37"/>
  <c r="I45" i="37"/>
  <c r="R48" i="37"/>
  <c r="I52" i="37"/>
  <c r="R54" i="37"/>
  <c r="I58" i="37"/>
  <c r="R62" i="37"/>
  <c r="AJ45" i="37"/>
  <c r="AN45" i="37"/>
  <c r="AN49" i="37"/>
  <c r="AJ49" i="37"/>
  <c r="AN52" i="37"/>
  <c r="AJ52" i="37"/>
  <c r="AN55" i="37"/>
  <c r="AJ55" i="37"/>
  <c r="AN58" i="37"/>
  <c r="AJ58" i="37"/>
  <c r="AJ63" i="37"/>
  <c r="AN63" i="37"/>
  <c r="I75" i="37"/>
  <c r="R77" i="37"/>
  <c r="I81" i="37"/>
  <c r="AN75" i="37"/>
  <c r="AJ75" i="37"/>
  <c r="AN78" i="37"/>
  <c r="AJ78" i="37"/>
  <c r="AN81" i="37"/>
  <c r="AJ81" i="37"/>
  <c r="AN84" i="37"/>
  <c r="AJ84" i="37"/>
  <c r="AN32" i="37"/>
  <c r="AJ32" i="37"/>
  <c r="AX10" i="37"/>
  <c r="R10" i="37"/>
  <c r="AN50" i="37"/>
  <c r="AJ50" i="37"/>
  <c r="AN59" i="37"/>
  <c r="AJ59" i="37"/>
  <c r="AJ76" i="37"/>
  <c r="AN76" i="37"/>
  <c r="I9" i="37"/>
  <c r="AW9" i="37"/>
  <c r="R11" i="37"/>
  <c r="AX11" i="37"/>
  <c r="AY13" i="37"/>
  <c r="I16" i="37"/>
  <c r="R18" i="37"/>
  <c r="I22" i="37"/>
  <c r="R24" i="37"/>
  <c r="I30" i="37"/>
  <c r="R33" i="37"/>
  <c r="I38" i="37"/>
  <c r="I43" i="37"/>
  <c r="R47" i="37"/>
  <c r="I51" i="37"/>
  <c r="R53" i="37"/>
  <c r="I57" i="37"/>
  <c r="R59" i="37"/>
  <c r="I74" i="37"/>
  <c r="R76" i="37"/>
  <c r="I80" i="37"/>
  <c r="R82" i="37"/>
  <c r="AZ13" i="37"/>
  <c r="AN13" i="37"/>
  <c r="AJ13" i="37"/>
  <c r="AN79" i="37"/>
  <c r="AJ79" i="37"/>
  <c r="AO86" i="39"/>
  <c r="AO85" i="39"/>
  <c r="AP86" i="39"/>
  <c r="AP85" i="39"/>
  <c r="AQ86" i="39"/>
  <c r="AQ85" i="39"/>
  <c r="AN36" i="37"/>
  <c r="AJ36" i="37"/>
  <c r="AN32" i="39" l="1"/>
  <c r="AS32" i="39" s="1"/>
  <c r="AS32" i="37"/>
  <c r="AS49" i="37"/>
  <c r="AN49" i="39"/>
  <c r="AS49" i="39" s="1"/>
  <c r="AS16" i="37"/>
  <c r="AN16" i="39"/>
  <c r="AS37" i="37"/>
  <c r="AN37" i="39"/>
  <c r="AS37" i="39" s="1"/>
  <c r="AS20" i="37"/>
  <c r="AN20" i="39"/>
  <c r="AS79" i="37"/>
  <c r="AN79" i="39"/>
  <c r="AS79" i="39" s="1"/>
  <c r="AN45" i="39"/>
  <c r="AS45" i="39" s="1"/>
  <c r="AS45" i="37"/>
  <c r="AN38" i="39"/>
  <c r="AS38" i="39" s="1"/>
  <c r="AS38" i="37"/>
  <c r="AN83" i="39"/>
  <c r="AS83" i="39" s="1"/>
  <c r="AS83" i="37"/>
  <c r="AS43" i="37"/>
  <c r="AN43" i="39"/>
  <c r="AS43" i="39" s="1"/>
  <c r="AN15" i="39"/>
  <c r="AS15" i="37"/>
  <c r="BA15" i="37"/>
  <c r="AS76" i="37"/>
  <c r="AN76" i="39"/>
  <c r="AS76" i="39" s="1"/>
  <c r="AN80" i="39"/>
  <c r="AS80" i="39" s="1"/>
  <c r="AS80" i="37"/>
  <c r="AS33" i="37"/>
  <c r="AN33" i="39"/>
  <c r="AS33" i="39" s="1"/>
  <c r="AS84" i="37"/>
  <c r="AN84" i="39"/>
  <c r="AS84" i="39" s="1"/>
  <c r="AS63" i="37"/>
  <c r="AN63" i="39"/>
  <c r="AS63" i="39" s="1"/>
  <c r="AN34" i="39"/>
  <c r="AS34" i="39" s="1"/>
  <c r="AS34" i="37"/>
  <c r="AS62" i="37"/>
  <c r="AN62" i="39"/>
  <c r="AS62" i="39" s="1"/>
  <c r="AN11" i="39"/>
  <c r="BA11" i="37"/>
  <c r="AS11" i="37"/>
  <c r="AN13" i="39"/>
  <c r="AS13" i="37"/>
  <c r="BA13" i="37"/>
  <c r="AS30" i="37"/>
  <c r="AN30" i="39"/>
  <c r="AS30" i="39" s="1"/>
  <c r="AN12" i="39"/>
  <c r="BA12" i="37"/>
  <c r="AS12" i="37"/>
  <c r="AS57" i="37"/>
  <c r="AN57" i="39"/>
  <c r="AS57" i="39" s="1"/>
  <c r="AS27" i="37"/>
  <c r="AN27" i="39"/>
  <c r="AS27" i="39" s="1"/>
  <c r="AS59" i="37"/>
  <c r="AN59" i="39"/>
  <c r="AS59" i="39" s="1"/>
  <c r="AS81" i="37"/>
  <c r="AN81" i="39"/>
  <c r="AS81" i="39" s="1"/>
  <c r="AS77" i="37"/>
  <c r="AN77" i="39"/>
  <c r="AS77" i="39" s="1"/>
  <c r="AS58" i="37"/>
  <c r="AN58" i="39"/>
  <c r="AS58" i="39" s="1"/>
  <c r="AS74" i="37"/>
  <c r="AN74" i="39"/>
  <c r="AS74" i="39" s="1"/>
  <c r="AS24" i="37"/>
  <c r="AN24" i="39"/>
  <c r="AS50" i="37"/>
  <c r="AN50" i="39"/>
  <c r="AS50" i="39" s="1"/>
  <c r="AS78" i="37"/>
  <c r="AN78" i="39"/>
  <c r="AS78" i="39" s="1"/>
  <c r="AS25" i="37"/>
  <c r="AN25" i="39"/>
  <c r="AN9" i="39"/>
  <c r="AS9" i="37"/>
  <c r="BA9" i="37"/>
  <c r="AS54" i="37"/>
  <c r="AN54" i="39"/>
  <c r="AS54" i="39" s="1"/>
  <c r="AS21" i="37"/>
  <c r="AN21" i="39"/>
  <c r="AN10" i="39"/>
  <c r="BA10" i="37"/>
  <c r="AS10" i="37"/>
  <c r="AS55" i="37"/>
  <c r="AN55" i="39"/>
  <c r="AS55" i="39" s="1"/>
  <c r="AS42" i="37"/>
  <c r="AN42" i="39"/>
  <c r="AS42" i="39" s="1"/>
  <c r="AS82" i="37"/>
  <c r="AN82" i="39"/>
  <c r="AS82" i="39" s="1"/>
  <c r="AS75" i="37"/>
  <c r="AN75" i="39"/>
  <c r="AS75" i="39" s="1"/>
  <c r="AS22" i="37"/>
  <c r="AN22" i="39"/>
  <c r="AN17" i="39"/>
  <c r="AS17" i="37"/>
  <c r="AS73" i="37"/>
  <c r="AN73" i="39"/>
  <c r="AS73" i="39" s="1"/>
  <c r="AS51" i="37"/>
  <c r="AN51" i="39"/>
  <c r="AS51" i="39" s="1"/>
  <c r="AS18" i="37"/>
  <c r="AN18" i="39"/>
  <c r="AS26" i="37"/>
  <c r="AN26" i="39"/>
  <c r="AS26" i="39" s="1"/>
  <c r="AS52" i="37"/>
  <c r="AN52" i="39"/>
  <c r="AS52" i="39" s="1"/>
  <c r="AS56" i="37"/>
  <c r="AN56" i="39"/>
  <c r="AS19" i="37"/>
  <c r="AN19" i="39"/>
  <c r="AS23" i="37"/>
  <c r="AN23" i="39"/>
  <c r="AN48" i="39"/>
  <c r="AS48" i="39" s="1"/>
  <c r="AS48" i="37"/>
  <c r="AS47" i="37"/>
  <c r="AN47" i="39"/>
  <c r="AS47" i="39" s="1"/>
  <c r="AS53" i="37"/>
  <c r="AN53" i="39"/>
  <c r="AS53" i="39" s="1"/>
  <c r="AS36" i="37"/>
  <c r="AN36" i="39"/>
  <c r="BA23" i="39" l="1"/>
  <c r="AS23" i="39"/>
  <c r="AS19" i="39"/>
  <c r="BA19" i="39"/>
  <c r="AS11" i="39"/>
  <c r="BA11" i="39"/>
  <c r="BA15" i="39"/>
  <c r="AS15" i="39"/>
  <c r="BA20" i="39"/>
  <c r="AS20" i="39"/>
  <c r="BA9" i="39"/>
  <c r="AS9" i="39"/>
  <c r="AS56" i="39"/>
  <c r="AS87" i="39" s="1"/>
  <c r="AN87" i="39"/>
  <c r="AS25" i="39"/>
  <c r="BA25" i="39"/>
  <c r="BA17" i="39"/>
  <c r="AS17" i="39"/>
  <c r="BA12" i="39"/>
  <c r="AS12" i="39"/>
  <c r="BA16" i="39"/>
  <c r="AS16" i="39"/>
  <c r="BA22" i="39"/>
  <c r="AS22" i="39"/>
  <c r="BA10" i="39"/>
  <c r="AS10" i="39"/>
  <c r="BA21" i="39"/>
  <c r="AS21" i="39"/>
  <c r="BA24" i="39"/>
  <c r="AS24" i="39"/>
  <c r="BA18" i="39"/>
  <c r="AS18" i="39"/>
  <c r="AS13" i="39"/>
  <c r="BA13" i="39"/>
  <c r="AS36" i="39"/>
  <c r="AN86" i="39"/>
  <c r="AN85" i="39"/>
  <c r="AS86" i="39" l="1"/>
  <c r="AS85" i="39"/>
  <c r="V75" i="36" l="1"/>
  <c r="S73" i="36"/>
  <c r="V58" i="36"/>
  <c r="S50" i="36"/>
  <c r="Y45" i="36"/>
  <c r="V38" i="36"/>
  <c r="S34" i="36"/>
  <c r="S23" i="36"/>
  <c r="V19" i="36"/>
  <c r="S10" i="36"/>
  <c r="S45" i="36"/>
  <c r="S38" i="36"/>
  <c r="S82" i="36"/>
  <c r="V63" i="36"/>
  <c r="V34" i="36"/>
  <c r="S47" i="36"/>
  <c r="V47" i="36"/>
  <c r="V33" i="36"/>
  <c r="S75" i="36"/>
  <c r="V76" i="36"/>
  <c r="S81" i="36"/>
  <c r="S53" i="36"/>
  <c r="V84" i="36"/>
  <c r="V83" i="36"/>
  <c r="V48" i="36"/>
  <c r="S76" i="36"/>
  <c r="V82" i="36"/>
  <c r="V49" i="36"/>
  <c r="S58" i="36"/>
  <c r="V77" i="36"/>
  <c r="V78" i="36"/>
  <c r="S33" i="36"/>
  <c r="V54" i="36"/>
  <c r="V55" i="36"/>
  <c r="S59" i="36"/>
  <c r="V42" i="36"/>
  <c r="S62" i="36"/>
  <c r="S52" i="36"/>
  <c r="V62" i="36"/>
  <c r="V45" i="36"/>
  <c r="S84" i="36"/>
  <c r="V10" i="36"/>
  <c r="S21" i="36"/>
  <c r="V23" i="36"/>
  <c r="S27" i="36"/>
  <c r="V12" i="36"/>
  <c r="S17" i="36"/>
  <c r="V25" i="36"/>
  <c r="V43" i="36"/>
  <c r="S49" i="36"/>
  <c r="V51" i="36"/>
  <c r="S55" i="36"/>
  <c r="V57" i="36"/>
  <c r="S63" i="36"/>
  <c r="V73" i="36"/>
  <c r="S77" i="36"/>
  <c r="V79" i="36"/>
  <c r="V11" i="36"/>
  <c r="V18" i="36"/>
  <c r="V30" i="36"/>
  <c r="S13" i="36"/>
  <c r="V16" i="36"/>
  <c r="S20" i="36"/>
  <c r="S18" i="36"/>
  <c r="S16" i="36"/>
  <c r="S22" i="36"/>
  <c r="V24" i="36"/>
  <c r="S48" i="36"/>
  <c r="V50" i="36"/>
  <c r="S54" i="36"/>
  <c r="V56" i="36"/>
  <c r="V74" i="36"/>
  <c r="S78" i="36"/>
  <c r="V80" i="36"/>
  <c r="S83" i="36"/>
  <c r="S15" i="36"/>
  <c r="V17" i="36"/>
  <c r="V15" i="36"/>
  <c r="S19" i="36"/>
  <c r="V21" i="36"/>
  <c r="V22" i="36"/>
  <c r="S25" i="36"/>
  <c r="S26" i="36"/>
  <c r="V27" i="36"/>
  <c r="S32" i="36"/>
  <c r="V13" i="36"/>
  <c r="V20" i="36"/>
  <c r="S24" i="36"/>
  <c r="V26" i="36"/>
  <c r="S30" i="36"/>
  <c r="V32" i="36"/>
  <c r="S42" i="36"/>
  <c r="S43" i="36"/>
  <c r="S51" i="36"/>
  <c r="V52" i="36"/>
  <c r="V53" i="36"/>
  <c r="S56" i="36"/>
  <c r="S57" i="36"/>
  <c r="V59" i="36"/>
  <c r="S74" i="36"/>
  <c r="S79" i="36"/>
  <c r="S80" i="36"/>
  <c r="V81" i="36"/>
  <c r="S12" i="36"/>
  <c r="S11" i="36"/>
  <c r="S89" i="36" l="1"/>
  <c r="N76" i="32"/>
  <c r="P76" i="36"/>
  <c r="AA34" i="37"/>
  <c r="AB23" i="36"/>
  <c r="AB23" i="32"/>
  <c r="AE23" i="36" s="1"/>
  <c r="AB25" i="36"/>
  <c r="AB25" i="32"/>
  <c r="AE25" i="36" s="1"/>
  <c r="N81" i="32"/>
  <c r="P81" i="36"/>
  <c r="P58" i="36"/>
  <c r="N58" i="32"/>
  <c r="P77" i="36"/>
  <c r="N77" i="32"/>
  <c r="P78" i="36"/>
  <c r="N78" i="32"/>
  <c r="N34" i="32"/>
  <c r="P34" i="36"/>
  <c r="AA37" i="37"/>
  <c r="AA58" i="37"/>
  <c r="AB51" i="32"/>
  <c r="AE51" i="36" s="1"/>
  <c r="AB51" i="36"/>
  <c r="N63" i="32"/>
  <c r="P63" i="36"/>
  <c r="AB82" i="32"/>
  <c r="AE82" i="36" s="1"/>
  <c r="AB82" i="36"/>
  <c r="N27" i="32"/>
  <c r="P27" i="36"/>
  <c r="AB22" i="36"/>
  <c r="AB22" i="32"/>
  <c r="AE22" i="36" s="1"/>
  <c r="P75" i="36"/>
  <c r="N75" i="32"/>
  <c r="N55" i="32"/>
  <c r="P55" i="36"/>
  <c r="V89" i="36"/>
  <c r="AB34" i="32"/>
  <c r="AE34" i="36" s="1"/>
  <c r="AB34" i="36"/>
  <c r="AA84" i="37"/>
  <c r="AB53" i="32"/>
  <c r="AE53" i="36" s="1"/>
  <c r="AB53" i="36"/>
  <c r="Y26" i="36"/>
  <c r="P74" i="36"/>
  <c r="N74" i="32"/>
  <c r="AB59" i="32"/>
  <c r="AE59" i="36" s="1"/>
  <c r="AB59" i="36"/>
  <c r="AB13" i="32"/>
  <c r="AB13" i="36"/>
  <c r="N21" i="32"/>
  <c r="P21" i="36"/>
  <c r="AB19" i="36"/>
  <c r="AB19" i="32"/>
  <c r="AE19" i="36" s="1"/>
  <c r="N12" i="32"/>
  <c r="P12" i="36"/>
  <c r="AB62" i="36"/>
  <c r="AB62" i="32"/>
  <c r="AE62" i="36" s="1"/>
  <c r="N52" i="32"/>
  <c r="P52" i="36"/>
  <c r="P91" i="32"/>
  <c r="S9" i="36"/>
  <c r="P18" i="36"/>
  <c r="N18" i="32"/>
  <c r="AA38" i="37"/>
  <c r="N83" i="32"/>
  <c r="P83" i="36"/>
  <c r="AB26" i="36"/>
  <c r="AB26" i="32"/>
  <c r="AE26" i="36" s="1"/>
  <c r="AA26" i="37"/>
  <c r="AB16" i="36"/>
  <c r="AB16" i="32"/>
  <c r="N26" i="32"/>
  <c r="P26" i="36"/>
  <c r="AB57" i="36"/>
  <c r="AB57" i="32"/>
  <c r="AE57" i="36" s="1"/>
  <c r="N49" i="32"/>
  <c r="P49" i="36"/>
  <c r="N84" i="32"/>
  <c r="P84" i="36"/>
  <c r="S37" i="36"/>
  <c r="P92" i="32"/>
  <c r="AB58" i="32"/>
  <c r="AE58" i="36" s="1"/>
  <c r="AB58" i="36"/>
  <c r="N45" i="32"/>
  <c r="P45" i="36"/>
  <c r="N19" i="32"/>
  <c r="P19" i="36"/>
  <c r="AB10" i="36"/>
  <c r="AB10" i="32"/>
  <c r="N43" i="32"/>
  <c r="P43" i="36"/>
  <c r="AA16" i="37"/>
  <c r="AB76" i="36"/>
  <c r="AB76" i="32"/>
  <c r="AE76" i="36" s="1"/>
  <c r="N15" i="32"/>
  <c r="P15" i="36"/>
  <c r="AB50" i="32"/>
  <c r="AE50" i="36" s="1"/>
  <c r="AB50" i="36"/>
  <c r="N57" i="32"/>
  <c r="P57" i="36"/>
  <c r="AB12" i="32"/>
  <c r="AB12" i="36"/>
  <c r="N32" i="32"/>
  <c r="P32" i="36"/>
  <c r="N23" i="32"/>
  <c r="P23" i="36"/>
  <c r="AB54" i="32"/>
  <c r="AE54" i="36" s="1"/>
  <c r="AB54" i="36"/>
  <c r="AB30" i="36"/>
  <c r="AB30" i="32"/>
  <c r="AE30" i="36" s="1"/>
  <c r="N30" i="32"/>
  <c r="P30" i="36"/>
  <c r="AB55" i="32"/>
  <c r="AE55" i="36" s="1"/>
  <c r="AB55" i="36"/>
  <c r="Y92" i="32"/>
  <c r="AB37" i="36"/>
  <c r="AB37" i="32"/>
  <c r="AB75" i="32"/>
  <c r="AE75" i="36" s="1"/>
  <c r="AB75" i="36"/>
  <c r="AB49" i="36"/>
  <c r="AB49" i="32"/>
  <c r="AE49" i="36" s="1"/>
  <c r="AA48" i="37"/>
  <c r="N33" i="32"/>
  <c r="P33" i="36"/>
  <c r="AB20" i="36"/>
  <c r="AB20" i="32"/>
  <c r="AE20" i="36" s="1"/>
  <c r="AB77" i="32"/>
  <c r="AE77" i="36" s="1"/>
  <c r="AB77" i="36"/>
  <c r="AB47" i="36"/>
  <c r="AB47" i="32"/>
  <c r="N56" i="32"/>
  <c r="P56" i="36"/>
  <c r="AB9" i="36"/>
  <c r="AB9" i="32"/>
  <c r="Y91" i="32"/>
  <c r="P25" i="36"/>
  <c r="N25" i="32"/>
  <c r="N20" i="32"/>
  <c r="P20" i="36"/>
  <c r="AB48" i="32"/>
  <c r="AE48" i="36" s="1"/>
  <c r="AB48" i="36"/>
  <c r="AB27" i="32"/>
  <c r="AE27" i="36" s="1"/>
  <c r="AB27" i="36"/>
  <c r="N24" i="32"/>
  <c r="P24" i="36"/>
  <c r="AB52" i="36"/>
  <c r="AB52" i="32"/>
  <c r="AE52" i="36" s="1"/>
  <c r="AB33" i="32"/>
  <c r="AE33" i="36" s="1"/>
  <c r="AB33" i="36"/>
  <c r="AB74" i="32"/>
  <c r="AE74" i="36" s="1"/>
  <c r="AB74" i="36"/>
  <c r="P59" i="36"/>
  <c r="N59" i="32"/>
  <c r="Y75" i="36"/>
  <c r="AA75" i="37"/>
  <c r="P11" i="36"/>
  <c r="N11" i="32"/>
  <c r="AB42" i="36"/>
  <c r="AB42" i="32"/>
  <c r="N53" i="32"/>
  <c r="P53" i="36"/>
  <c r="P22" i="36"/>
  <c r="N22" i="32"/>
  <c r="N17" i="32"/>
  <c r="P17" i="36"/>
  <c r="P13" i="36"/>
  <c r="N13" i="32"/>
  <c r="AB43" i="32"/>
  <c r="AB43" i="36"/>
  <c r="AB24" i="36"/>
  <c r="AB24" i="32"/>
  <c r="AE24" i="36" s="1"/>
  <c r="AB45" i="36"/>
  <c r="AB45" i="32"/>
  <c r="AE45" i="36" s="1"/>
  <c r="AB21" i="32"/>
  <c r="AE21" i="36" s="1"/>
  <c r="AB21" i="36"/>
  <c r="AA76" i="37"/>
  <c r="AB73" i="32"/>
  <c r="AE73" i="36" s="1"/>
  <c r="AB73" i="36"/>
  <c r="AA10" i="37"/>
  <c r="N62" i="32"/>
  <c r="P62" i="36"/>
  <c r="N50" i="32"/>
  <c r="P50" i="36"/>
  <c r="N10" i="32"/>
  <c r="P10" i="36"/>
  <c r="AB18" i="36"/>
  <c r="AB18" i="32"/>
  <c r="AE18" i="36" s="1"/>
  <c r="V37" i="36"/>
  <c r="S92" i="32"/>
  <c r="AA24" i="37"/>
  <c r="AA51" i="37"/>
  <c r="AB80" i="32"/>
  <c r="AE80" i="36" s="1"/>
  <c r="AB80" i="36"/>
  <c r="AB79" i="32"/>
  <c r="AE79" i="36" s="1"/>
  <c r="AB79" i="36"/>
  <c r="V9" i="36"/>
  <c r="S91" i="32"/>
  <c r="N47" i="32"/>
  <c r="P47" i="36"/>
  <c r="N54" i="32"/>
  <c r="P54" i="36"/>
  <c r="AB15" i="36"/>
  <c r="AB15" i="32"/>
  <c r="AB81" i="32"/>
  <c r="AE81" i="36" s="1"/>
  <c r="AB81" i="36"/>
  <c r="AA53" i="37"/>
  <c r="Y79" i="36"/>
  <c r="AA79" i="37"/>
  <c r="AA25" i="37"/>
  <c r="AA45" i="37"/>
  <c r="AB83" i="32"/>
  <c r="AE83" i="36" s="1"/>
  <c r="AB83" i="36"/>
  <c r="AB78" i="32"/>
  <c r="AE78" i="36" s="1"/>
  <c r="AB78" i="36"/>
  <c r="AB17" i="36"/>
  <c r="AB17" i="32"/>
  <c r="AE17" i="36" s="1"/>
  <c r="N82" i="32"/>
  <c r="P82" i="36"/>
  <c r="N42" i="32"/>
  <c r="P42" i="36"/>
  <c r="N51" i="32"/>
  <c r="P51" i="36"/>
  <c r="N16" i="32"/>
  <c r="P16" i="36"/>
  <c r="AB11" i="36"/>
  <c r="AB11" i="32"/>
  <c r="P37" i="36"/>
  <c r="N37" i="32"/>
  <c r="M92" i="32"/>
  <c r="AB38" i="32"/>
  <c r="AE38" i="36" s="1"/>
  <c r="AB38" i="36"/>
  <c r="AB63" i="32"/>
  <c r="AE63" i="36" s="1"/>
  <c r="AB63" i="36"/>
  <c r="AA54" i="37"/>
  <c r="AA12" i="37"/>
  <c r="N73" i="32"/>
  <c r="P73" i="36"/>
  <c r="AB56" i="32"/>
  <c r="AE56" i="36" s="1"/>
  <c r="AB56" i="36"/>
  <c r="N80" i="32"/>
  <c r="P80" i="36"/>
  <c r="P79" i="36"/>
  <c r="N79" i="32"/>
  <c r="AB32" i="32"/>
  <c r="AE32" i="36" s="1"/>
  <c r="AB32" i="36"/>
  <c r="N48" i="32"/>
  <c r="P48" i="36"/>
  <c r="P9" i="36"/>
  <c r="M91" i="32"/>
  <c r="N9" i="32"/>
  <c r="N38" i="32"/>
  <c r="P38" i="36"/>
  <c r="AB84" i="32"/>
  <c r="AE84" i="36" s="1"/>
  <c r="AB84" i="36"/>
  <c r="AA81" i="37"/>
  <c r="AA15" i="37"/>
  <c r="AB36" i="36"/>
  <c r="Y85" i="32"/>
  <c r="AB36" i="32"/>
  <c r="V36" i="36"/>
  <c r="S85" i="32"/>
  <c r="AA36" i="37"/>
  <c r="N36" i="32"/>
  <c r="P36" i="36"/>
  <c r="M85" i="32"/>
  <c r="S36" i="36"/>
  <c r="P85" i="32"/>
  <c r="Y33" i="36"/>
  <c r="Y38" i="36"/>
  <c r="Y25" i="36"/>
  <c r="Y81" i="36"/>
  <c r="Y54" i="36"/>
  <c r="Y84" i="36"/>
  <c r="Y76" i="36"/>
  <c r="Y58" i="36"/>
  <c r="Y34" i="36"/>
  <c r="Y10" i="36"/>
  <c r="Y15" i="36"/>
  <c r="Y83" i="36"/>
  <c r="Y48" i="36"/>
  <c r="Y24" i="36"/>
  <c r="Y53" i="36"/>
  <c r="AA17" i="37"/>
  <c r="Y51" i="36"/>
  <c r="Y16" i="36"/>
  <c r="P93" i="32" l="1"/>
  <c r="S93" i="32"/>
  <c r="S94" i="32" s="1"/>
  <c r="P94" i="32"/>
  <c r="Y93" i="32"/>
  <c r="O58" i="32"/>
  <c r="Q58" i="36"/>
  <c r="AA33" i="37"/>
  <c r="Y27" i="36"/>
  <c r="O37" i="32"/>
  <c r="Q37" i="36"/>
  <c r="N92" i="32"/>
  <c r="Y78" i="36"/>
  <c r="AA78" i="37"/>
  <c r="Y50" i="36"/>
  <c r="AA50" i="37"/>
  <c r="AE9" i="36"/>
  <c r="AF9" i="32"/>
  <c r="AB91" i="32"/>
  <c r="AF37" i="32"/>
  <c r="AE37" i="36"/>
  <c r="AB92" i="32"/>
  <c r="O23" i="32"/>
  <c r="Q23" i="36"/>
  <c r="O15" i="32"/>
  <c r="Q15" i="36"/>
  <c r="Q19" i="36"/>
  <c r="O19" i="32"/>
  <c r="O18" i="32"/>
  <c r="Q18" i="36"/>
  <c r="O75" i="32"/>
  <c r="Q75" i="36"/>
  <c r="AA83" i="37"/>
  <c r="Q79" i="36"/>
  <c r="O79" i="32"/>
  <c r="O47" i="32"/>
  <c r="Q47" i="36"/>
  <c r="Q62" i="36"/>
  <c r="O62" i="32"/>
  <c r="O33" i="32"/>
  <c r="Q33" i="36"/>
  <c r="O84" i="32"/>
  <c r="Q84" i="36"/>
  <c r="O21" i="32"/>
  <c r="Q21" i="36"/>
  <c r="Y19" i="36"/>
  <c r="AA19" i="37"/>
  <c r="Y37" i="36"/>
  <c r="V92" i="32"/>
  <c r="O13" i="32"/>
  <c r="Q13" i="36"/>
  <c r="Y20" i="36"/>
  <c r="AA20" i="37"/>
  <c r="Y94" i="32"/>
  <c r="AE11" i="36"/>
  <c r="AA82" i="37"/>
  <c r="Y63" i="36"/>
  <c r="AA63" i="37"/>
  <c r="Q17" i="36"/>
  <c r="O17" i="32"/>
  <c r="Q59" i="36"/>
  <c r="O59" i="32"/>
  <c r="O24" i="32"/>
  <c r="Q24" i="36"/>
  <c r="O32" i="32"/>
  <c r="Q32" i="36"/>
  <c r="Y73" i="36"/>
  <c r="AA73" i="37"/>
  <c r="O81" i="32"/>
  <c r="Q81" i="36"/>
  <c r="O54" i="32"/>
  <c r="Q54" i="36"/>
  <c r="AA13" i="37"/>
  <c r="Y82" i="36"/>
  <c r="Q22" i="36"/>
  <c r="O22" i="32"/>
  <c r="Q56" i="36"/>
  <c r="O56" i="32"/>
  <c r="Y74" i="36"/>
  <c r="AA74" i="37"/>
  <c r="Q49" i="36"/>
  <c r="O49" i="32"/>
  <c r="Q83" i="36"/>
  <c r="O83" i="32"/>
  <c r="AE13" i="36"/>
  <c r="AA18" i="37"/>
  <c r="AE47" i="36"/>
  <c r="AF47" i="32"/>
  <c r="AE12" i="36"/>
  <c r="AF12" i="32"/>
  <c r="O82" i="32"/>
  <c r="Q82" i="36"/>
  <c r="O55" i="32"/>
  <c r="Q55" i="36"/>
  <c r="Y43" i="36"/>
  <c r="Y55" i="36"/>
  <c r="Y77" i="36"/>
  <c r="AA77" i="37"/>
  <c r="Y52" i="36"/>
  <c r="AA52" i="37"/>
  <c r="O38" i="32"/>
  <c r="Q38" i="36"/>
  <c r="Q16" i="36"/>
  <c r="O16" i="32"/>
  <c r="Y18" i="36"/>
  <c r="Y49" i="36"/>
  <c r="AA49" i="37"/>
  <c r="Y57" i="36"/>
  <c r="AA57" i="37"/>
  <c r="O52" i="32"/>
  <c r="Q52" i="36"/>
  <c r="Y59" i="36"/>
  <c r="AA59" i="37"/>
  <c r="Q27" i="36"/>
  <c r="O27" i="32"/>
  <c r="O9" i="32"/>
  <c r="Q9" i="36"/>
  <c r="N91" i="32"/>
  <c r="O80" i="32"/>
  <c r="Q80" i="36"/>
  <c r="AA56" i="37"/>
  <c r="AA23" i="37"/>
  <c r="Q53" i="36"/>
  <c r="O53" i="32"/>
  <c r="Q30" i="36"/>
  <c r="O30" i="32"/>
  <c r="Q57" i="36"/>
  <c r="O57" i="32"/>
  <c r="Q43" i="36"/>
  <c r="O43" i="32"/>
  <c r="Q74" i="36"/>
  <c r="O74" i="32"/>
  <c r="Q34" i="36"/>
  <c r="O34" i="32"/>
  <c r="Y47" i="36"/>
  <c r="AA47" i="37"/>
  <c r="M93" i="32"/>
  <c r="M94" i="32" s="1"/>
  <c r="Q51" i="36"/>
  <c r="O51" i="32"/>
  <c r="Y56" i="36"/>
  <c r="Y23" i="36"/>
  <c r="AE42" i="36"/>
  <c r="AF42" i="32"/>
  <c r="AF10" i="32"/>
  <c r="AE10" i="36"/>
  <c r="O45" i="32"/>
  <c r="Q45" i="36"/>
  <c r="Q26" i="36"/>
  <c r="O26" i="32"/>
  <c r="Q78" i="36"/>
  <c r="O78" i="32"/>
  <c r="Y30" i="36"/>
  <c r="AA30" i="37"/>
  <c r="Y12" i="36"/>
  <c r="P89" i="36"/>
  <c r="AF15" i="32"/>
  <c r="AE15" i="36"/>
  <c r="AA9" i="37"/>
  <c r="AB89" i="36"/>
  <c r="O20" i="32"/>
  <c r="Q20" i="36"/>
  <c r="AF16" i="32"/>
  <c r="AE16" i="36"/>
  <c r="Y62" i="36"/>
  <c r="AA62" i="37"/>
  <c r="Y22" i="36"/>
  <c r="Y11" i="36"/>
  <c r="O42" i="32"/>
  <c r="Q42" i="36"/>
  <c r="O10" i="32"/>
  <c r="Q10" i="36"/>
  <c r="Q11" i="36"/>
  <c r="O11" i="32"/>
  <c r="Q25" i="36"/>
  <c r="O25" i="32"/>
  <c r="AA32" i="37"/>
  <c r="AA21" i="37"/>
  <c r="AA42" i="37"/>
  <c r="Q12" i="36"/>
  <c r="O12" i="32"/>
  <c r="O63" i="32"/>
  <c r="Q63" i="36"/>
  <c r="O77" i="32"/>
  <c r="Q77" i="36"/>
  <c r="AA27" i="37"/>
  <c r="O50" i="32"/>
  <c r="Q50" i="36"/>
  <c r="Y13" i="36"/>
  <c r="Y80" i="36"/>
  <c r="AA80" i="37"/>
  <c r="Y9" i="36"/>
  <c r="AA55" i="37"/>
  <c r="O48" i="32"/>
  <c r="Q48" i="36"/>
  <c r="Q73" i="36"/>
  <c r="O73" i="32"/>
  <c r="AA11" i="37"/>
  <c r="AE43" i="36"/>
  <c r="AF43" i="32"/>
  <c r="AA22" i="37"/>
  <c r="AA43" i="37"/>
  <c r="Y32" i="36"/>
  <c r="Y21" i="36"/>
  <c r="Y42" i="36"/>
  <c r="Q76" i="36"/>
  <c r="O76" i="32"/>
  <c r="S88" i="36"/>
  <c r="S90" i="36" s="1"/>
  <c r="S85" i="36"/>
  <c r="P85" i="36"/>
  <c r="P88" i="36"/>
  <c r="O36" i="32"/>
  <c r="Q36" i="36"/>
  <c r="N85" i="32"/>
  <c r="V85" i="36"/>
  <c r="V88" i="36"/>
  <c r="V90" i="36" s="1"/>
  <c r="V91" i="36" s="1"/>
  <c r="AE36" i="36"/>
  <c r="AB85" i="32"/>
  <c r="Y36" i="36"/>
  <c r="AB88" i="36"/>
  <c r="AB90" i="36" s="1"/>
  <c r="AB85" i="36"/>
  <c r="N93" i="32" l="1"/>
  <c r="AE89" i="36"/>
  <c r="P90" i="36"/>
  <c r="P91" i="36" s="1"/>
  <c r="Y89" i="36"/>
  <c r="Q52" i="32"/>
  <c r="R52" i="36"/>
  <c r="R52" i="32"/>
  <c r="R54" i="36"/>
  <c r="Q54" i="32"/>
  <c r="R54" i="32" s="1"/>
  <c r="R81" i="36"/>
  <c r="Q81" i="32"/>
  <c r="Q49" i="32"/>
  <c r="R49" i="32" s="1"/>
  <c r="R49" i="36"/>
  <c r="R47" i="36"/>
  <c r="Q47" i="32"/>
  <c r="Q15" i="32"/>
  <c r="R15" i="36"/>
  <c r="R62" i="36"/>
  <c r="Q62" i="32"/>
  <c r="Q74" i="32"/>
  <c r="R74" i="36"/>
  <c r="Q79" i="32"/>
  <c r="R79" i="36"/>
  <c r="R17" i="36"/>
  <c r="Q17" i="32"/>
  <c r="R17" i="32" s="1"/>
  <c r="R21" i="36"/>
  <c r="Q21" i="32"/>
  <c r="R21" i="32" s="1"/>
  <c r="Q23" i="32"/>
  <c r="R23" i="36"/>
  <c r="R23" i="32"/>
  <c r="R34" i="36"/>
  <c r="Q34" i="32"/>
  <c r="V85" i="32"/>
  <c r="Q80" i="32"/>
  <c r="R80" i="36"/>
  <c r="Q57" i="32"/>
  <c r="R57" i="36"/>
  <c r="R9" i="36"/>
  <c r="Q9" i="32"/>
  <c r="O91" i="32"/>
  <c r="Q22" i="32"/>
  <c r="R22" i="36"/>
  <c r="R22" i="32"/>
  <c r="Q32" i="32"/>
  <c r="R32" i="36"/>
  <c r="AF11" i="32"/>
  <c r="O92" i="32"/>
  <c r="R37" i="36"/>
  <c r="Q37" i="32"/>
  <c r="R37" i="32" s="1"/>
  <c r="R19" i="36"/>
  <c r="Q19" i="32"/>
  <c r="R19" i="32" s="1"/>
  <c r="Q78" i="32"/>
  <c r="R78" i="36"/>
  <c r="R20" i="36"/>
  <c r="Q20" i="32"/>
  <c r="R20" i="32"/>
  <c r="R55" i="36"/>
  <c r="Q55" i="32"/>
  <c r="R84" i="36"/>
  <c r="Q84" i="32"/>
  <c r="R84" i="32" s="1"/>
  <c r="Q76" i="32"/>
  <c r="R76" i="36"/>
  <c r="R43" i="36"/>
  <c r="Q43" i="32"/>
  <c r="R43" i="32" s="1"/>
  <c r="Q56" i="32"/>
  <c r="R56" i="36"/>
  <c r="R73" i="36"/>
  <c r="Q73" i="32"/>
  <c r="R11" i="36"/>
  <c r="Q11" i="32"/>
  <c r="R11" i="32" s="1"/>
  <c r="Q48" i="32"/>
  <c r="R48" i="36"/>
  <c r="Q10" i="32"/>
  <c r="R10" i="36"/>
  <c r="Q30" i="32"/>
  <c r="R30" i="36"/>
  <c r="R30" i="32"/>
  <c r="R27" i="36"/>
  <c r="Q27" i="32"/>
  <c r="Q16" i="32"/>
  <c r="R16" i="32" s="1"/>
  <c r="R16" i="36"/>
  <c r="AF13" i="32"/>
  <c r="R75" i="36"/>
  <c r="Q75" i="32"/>
  <c r="R75" i="32" s="1"/>
  <c r="R50" i="36"/>
  <c r="Q50" i="32"/>
  <c r="R50" i="32" s="1"/>
  <c r="Q51" i="32"/>
  <c r="R51" i="36"/>
  <c r="Q63" i="32"/>
  <c r="R63" i="36"/>
  <c r="Q89" i="36"/>
  <c r="R82" i="36"/>
  <c r="Q82" i="32"/>
  <c r="R82" i="32" s="1"/>
  <c r="R24" i="36"/>
  <c r="Q24" i="32"/>
  <c r="R24" i="32" s="1"/>
  <c r="AB93" i="32"/>
  <c r="AB94" i="32" s="1"/>
  <c r="R25" i="36"/>
  <c r="Q25" i="32"/>
  <c r="Q12" i="32"/>
  <c r="R12" i="32" s="1"/>
  <c r="R12" i="36"/>
  <c r="R42" i="36"/>
  <c r="Q42" i="32"/>
  <c r="R42" i="32"/>
  <c r="R45" i="36"/>
  <c r="Q45" i="32"/>
  <c r="R53" i="36"/>
  <c r="Q53" i="32"/>
  <c r="R53" i="32" s="1"/>
  <c r="Q83" i="32"/>
  <c r="R83" i="36"/>
  <c r="Q59" i="32"/>
  <c r="R59" i="36"/>
  <c r="R33" i="36"/>
  <c r="Q33" i="32"/>
  <c r="AB91" i="36"/>
  <c r="R77" i="36"/>
  <c r="Q77" i="32"/>
  <c r="R77" i="32" s="1"/>
  <c r="Q26" i="32"/>
  <c r="R26" i="32" s="1"/>
  <c r="R26" i="36"/>
  <c r="N94" i="32"/>
  <c r="Y17" i="36"/>
  <c r="Y85" i="36" s="1"/>
  <c r="V91" i="32"/>
  <c r="V93" i="32" s="1"/>
  <c r="Q38" i="32"/>
  <c r="R38" i="32" s="1"/>
  <c r="R38" i="36"/>
  <c r="R13" i="36"/>
  <c r="Q13" i="32"/>
  <c r="R18" i="36"/>
  <c r="Q18" i="32"/>
  <c r="Q58" i="32"/>
  <c r="R58" i="36"/>
  <c r="AE88" i="36"/>
  <c r="AE90" i="36" s="1"/>
  <c r="AE85" i="36"/>
  <c r="Q85" i="36"/>
  <c r="Q88" i="36"/>
  <c r="R36" i="36"/>
  <c r="Q36" i="32"/>
  <c r="O85" i="32"/>
  <c r="R36" i="32"/>
  <c r="S91" i="36"/>
  <c r="V94" i="32" l="1"/>
  <c r="Q90" i="36"/>
  <c r="Q91" i="36" s="1"/>
  <c r="Y88" i="36"/>
  <c r="Y90" i="36" s="1"/>
  <c r="T54" i="32"/>
  <c r="U54" i="36"/>
  <c r="U54" i="32"/>
  <c r="J13" i="37"/>
  <c r="T13" i="36"/>
  <c r="AJ13" i="36" s="1"/>
  <c r="AP13" i="36" s="1"/>
  <c r="J13" i="39"/>
  <c r="AG13" i="32"/>
  <c r="AM13" i="32" s="1"/>
  <c r="R79" i="32"/>
  <c r="J79" i="39"/>
  <c r="J79" i="37"/>
  <c r="T79" i="36"/>
  <c r="J51" i="37"/>
  <c r="J51" i="39"/>
  <c r="T51" i="36"/>
  <c r="T45" i="36"/>
  <c r="J45" i="39"/>
  <c r="J45" i="37"/>
  <c r="T20" i="32"/>
  <c r="U20" i="32" s="1"/>
  <c r="U20" i="36"/>
  <c r="AE91" i="36"/>
  <c r="T30" i="36"/>
  <c r="J30" i="37"/>
  <c r="J30" i="39"/>
  <c r="U42" i="36"/>
  <c r="T42" i="32"/>
  <c r="U42" i="32" s="1"/>
  <c r="U22" i="36"/>
  <c r="T22" i="32"/>
  <c r="U22" i="32" s="1"/>
  <c r="T50" i="32"/>
  <c r="U50" i="32" s="1"/>
  <c r="U50" i="36"/>
  <c r="J17" i="37"/>
  <c r="J17" i="39"/>
  <c r="T17" i="36"/>
  <c r="T38" i="32"/>
  <c r="U38" i="32" s="1"/>
  <c r="U38" i="36"/>
  <c r="R80" i="32"/>
  <c r="J80" i="39"/>
  <c r="J80" i="37"/>
  <c r="T80" i="36"/>
  <c r="T49" i="36"/>
  <c r="J49" i="37"/>
  <c r="J49" i="39"/>
  <c r="R78" i="32"/>
  <c r="T78" i="36"/>
  <c r="J78" i="37"/>
  <c r="J78" i="39"/>
  <c r="T23" i="32"/>
  <c r="U23" i="36"/>
  <c r="U23" i="32"/>
  <c r="R74" i="32"/>
  <c r="T74" i="36"/>
  <c r="J74" i="37"/>
  <c r="J74" i="39"/>
  <c r="U77" i="36"/>
  <c r="T77" i="32"/>
  <c r="J77" i="39"/>
  <c r="J77" i="37"/>
  <c r="T77" i="36"/>
  <c r="T24" i="36"/>
  <c r="J24" i="37"/>
  <c r="J24" i="39"/>
  <c r="T43" i="32"/>
  <c r="U43" i="36"/>
  <c r="R76" i="32"/>
  <c r="J76" i="39"/>
  <c r="T76" i="36"/>
  <c r="J76" i="37"/>
  <c r="T54" i="36"/>
  <c r="J54" i="37"/>
  <c r="J54" i="39"/>
  <c r="R56" i="32"/>
  <c r="J56" i="37"/>
  <c r="J56" i="39"/>
  <c r="T56" i="36"/>
  <c r="T82" i="32"/>
  <c r="U82" i="36"/>
  <c r="R34" i="32"/>
  <c r="T34" i="36"/>
  <c r="J34" i="39"/>
  <c r="J34" i="37"/>
  <c r="R58" i="32"/>
  <c r="T58" i="36"/>
  <c r="J58" i="37"/>
  <c r="J58" i="39"/>
  <c r="R59" i="32"/>
  <c r="J59" i="37"/>
  <c r="J59" i="39"/>
  <c r="T59" i="36"/>
  <c r="T12" i="32"/>
  <c r="U12" i="36"/>
  <c r="R48" i="32"/>
  <c r="J48" i="37"/>
  <c r="T48" i="36"/>
  <c r="J48" i="39"/>
  <c r="U19" i="36"/>
  <c r="T19" i="32"/>
  <c r="U19" i="32" s="1"/>
  <c r="J22" i="39"/>
  <c r="T22" i="36"/>
  <c r="J22" i="37"/>
  <c r="T16" i="32"/>
  <c r="U16" i="32" s="1"/>
  <c r="U16" i="36"/>
  <c r="U84" i="36"/>
  <c r="T84" i="32"/>
  <c r="J19" i="37"/>
  <c r="J19" i="39"/>
  <c r="T19" i="36"/>
  <c r="O93" i="32"/>
  <c r="O94" i="32" s="1"/>
  <c r="T23" i="36"/>
  <c r="J23" i="39"/>
  <c r="J23" i="37"/>
  <c r="U30" i="36"/>
  <c r="T30" i="32"/>
  <c r="U49" i="36"/>
  <c r="T49" i="32"/>
  <c r="J50" i="39"/>
  <c r="J50" i="37"/>
  <c r="T50" i="36"/>
  <c r="T38" i="36"/>
  <c r="J38" i="39"/>
  <c r="J38" i="37"/>
  <c r="J43" i="37"/>
  <c r="J43" i="39"/>
  <c r="AG43" i="32"/>
  <c r="AM43" i="32" s="1"/>
  <c r="T43" i="36"/>
  <c r="J75" i="39"/>
  <c r="T75" i="36"/>
  <c r="J75" i="37"/>
  <c r="T11" i="32"/>
  <c r="U11" i="32" s="1"/>
  <c r="U11" i="36"/>
  <c r="J12" i="39"/>
  <c r="T12" i="36"/>
  <c r="AJ12" i="36" s="1"/>
  <c r="AP12" i="36" s="1"/>
  <c r="J12" i="37"/>
  <c r="AG12" i="32"/>
  <c r="AM12" i="32" s="1"/>
  <c r="T84" i="36"/>
  <c r="J84" i="37"/>
  <c r="J84" i="39"/>
  <c r="R9" i="32"/>
  <c r="J9" i="39"/>
  <c r="T9" i="36"/>
  <c r="AJ9" i="36" s="1"/>
  <c r="AG9" i="32"/>
  <c r="J9" i="37"/>
  <c r="Q91" i="32"/>
  <c r="T21" i="32"/>
  <c r="U21" i="32" s="1"/>
  <c r="U21" i="36"/>
  <c r="T52" i="32"/>
  <c r="U52" i="36"/>
  <c r="R57" i="32"/>
  <c r="T57" i="36"/>
  <c r="J57" i="37"/>
  <c r="J57" i="39"/>
  <c r="R45" i="32"/>
  <c r="T20" i="36"/>
  <c r="J20" i="39"/>
  <c r="J20" i="37"/>
  <c r="Y91" i="36"/>
  <c r="U75" i="36"/>
  <c r="T75" i="32"/>
  <c r="R32" i="32"/>
  <c r="J32" i="37"/>
  <c r="J32" i="39"/>
  <c r="T32" i="36"/>
  <c r="J82" i="39"/>
  <c r="T82" i="36"/>
  <c r="J82" i="37"/>
  <c r="T26" i="32"/>
  <c r="U26" i="32" s="1"/>
  <c r="U26" i="36"/>
  <c r="J16" i="37"/>
  <c r="AG16" i="32"/>
  <c r="AM16" i="32" s="1"/>
  <c r="J16" i="39"/>
  <c r="T16" i="36"/>
  <c r="T37" i="32"/>
  <c r="U37" i="32" s="1"/>
  <c r="U37" i="36"/>
  <c r="J21" i="39"/>
  <c r="T21" i="36"/>
  <c r="J21" i="37"/>
  <c r="R15" i="32"/>
  <c r="AG15" i="32"/>
  <c r="AM15" i="32" s="1"/>
  <c r="J15" i="39"/>
  <c r="J15" i="37"/>
  <c r="T15" i="36"/>
  <c r="AJ15" i="36" s="1"/>
  <c r="AP15" i="36" s="1"/>
  <c r="T17" i="32"/>
  <c r="U17" i="32" s="1"/>
  <c r="U17" i="36"/>
  <c r="U24" i="36"/>
  <c r="T24" i="32"/>
  <c r="U24" i="32" s="1"/>
  <c r="R33" i="32"/>
  <c r="J33" i="39"/>
  <c r="J33" i="37"/>
  <c r="T33" i="36"/>
  <c r="R81" i="32"/>
  <c r="J81" i="37"/>
  <c r="T81" i="36"/>
  <c r="J81" i="39"/>
  <c r="J42" i="37"/>
  <c r="T42" i="36"/>
  <c r="J42" i="39"/>
  <c r="AG42" i="32"/>
  <c r="AM42" i="32" s="1"/>
  <c r="R10" i="32"/>
  <c r="J10" i="37"/>
  <c r="T10" i="36"/>
  <c r="AJ10" i="36" s="1"/>
  <c r="AP10" i="36" s="1"/>
  <c r="AG10" i="32"/>
  <c r="AM10" i="32" s="1"/>
  <c r="J10" i="39"/>
  <c r="R89" i="36"/>
  <c r="R62" i="32"/>
  <c r="J62" i="39"/>
  <c r="J62" i="37"/>
  <c r="T62" i="36"/>
  <c r="T18" i="36"/>
  <c r="J18" i="37"/>
  <c r="J18" i="39"/>
  <c r="R83" i="32"/>
  <c r="J83" i="39"/>
  <c r="T83" i="36"/>
  <c r="J83" i="37"/>
  <c r="R63" i="32"/>
  <c r="T63" i="36"/>
  <c r="J63" i="39"/>
  <c r="J63" i="37"/>
  <c r="T11" i="36"/>
  <c r="AJ11" i="36" s="1"/>
  <c r="AP11" i="36" s="1"/>
  <c r="AG11" i="32"/>
  <c r="AM11" i="32" s="1"/>
  <c r="J11" i="39"/>
  <c r="J11" i="37"/>
  <c r="R18" i="32"/>
  <c r="T53" i="32"/>
  <c r="U53" i="32" s="1"/>
  <c r="U53" i="36"/>
  <c r="R25" i="32"/>
  <c r="J25" i="39"/>
  <c r="J25" i="37"/>
  <c r="T25" i="36"/>
  <c r="R51" i="32"/>
  <c r="R13" i="32"/>
  <c r="J26" i="39"/>
  <c r="J26" i="37"/>
  <c r="T26" i="36"/>
  <c r="T53" i="36"/>
  <c r="J53" i="37"/>
  <c r="J53" i="39"/>
  <c r="R27" i="32"/>
  <c r="J27" i="39"/>
  <c r="J27" i="37"/>
  <c r="T27" i="36"/>
  <c r="R73" i="32"/>
  <c r="T73" i="36"/>
  <c r="J73" i="37"/>
  <c r="J73" i="39"/>
  <c r="R55" i="32"/>
  <c r="J55" i="37"/>
  <c r="J55" i="39"/>
  <c r="T55" i="36"/>
  <c r="AG37" i="32"/>
  <c r="AM37" i="32" s="1"/>
  <c r="Q92" i="32"/>
  <c r="J37" i="37"/>
  <c r="J37" i="39"/>
  <c r="T37" i="36"/>
  <c r="R47" i="32"/>
  <c r="J47" i="39"/>
  <c r="J47" i="37"/>
  <c r="AG47" i="32"/>
  <c r="AM47" i="32" s="1"/>
  <c r="T47" i="36"/>
  <c r="T52" i="36"/>
  <c r="J52" i="37"/>
  <c r="J52" i="39"/>
  <c r="R85" i="36"/>
  <c r="R88" i="36"/>
  <c r="T36" i="32"/>
  <c r="U36" i="36"/>
  <c r="J36" i="39"/>
  <c r="J36" i="37"/>
  <c r="T36" i="36"/>
  <c r="Q85" i="32"/>
  <c r="Q93" i="32" l="1"/>
  <c r="R85" i="32"/>
  <c r="Q94" i="32"/>
  <c r="W22" i="32"/>
  <c r="X22" i="32" s="1"/>
  <c r="X22" i="36"/>
  <c r="X16" i="36"/>
  <c r="W16" i="32"/>
  <c r="W24" i="32"/>
  <c r="X24" i="32" s="1"/>
  <c r="X24" i="36"/>
  <c r="K48" i="37"/>
  <c r="D48" i="39"/>
  <c r="F48" i="39"/>
  <c r="E48" i="39"/>
  <c r="G48" i="39"/>
  <c r="E53" i="39"/>
  <c r="D53" i="39"/>
  <c r="F53" i="39"/>
  <c r="K53" i="37"/>
  <c r="G53" i="39"/>
  <c r="T81" i="32"/>
  <c r="U81" i="32" s="1"/>
  <c r="U81" i="36"/>
  <c r="D15" i="39"/>
  <c r="F15" i="39"/>
  <c r="G15" i="39"/>
  <c r="E15" i="39"/>
  <c r="K15" i="37"/>
  <c r="U32" i="36"/>
  <c r="T32" i="32"/>
  <c r="E84" i="39"/>
  <c r="F84" i="39"/>
  <c r="D84" i="39"/>
  <c r="G84" i="39"/>
  <c r="K84" i="37"/>
  <c r="T48" i="32"/>
  <c r="U48" i="36"/>
  <c r="F76" i="39"/>
  <c r="D76" i="39"/>
  <c r="K76" i="37"/>
  <c r="G76" i="39"/>
  <c r="E76" i="39"/>
  <c r="U77" i="32"/>
  <c r="S77" i="37"/>
  <c r="S77" i="39"/>
  <c r="W77" i="36"/>
  <c r="U78" i="36"/>
  <c r="T78" i="32"/>
  <c r="U78" i="32" s="1"/>
  <c r="D30" i="39"/>
  <c r="G30" i="39"/>
  <c r="F30" i="39"/>
  <c r="K30" i="37"/>
  <c r="E30" i="39"/>
  <c r="K32" i="37"/>
  <c r="F32" i="39"/>
  <c r="D32" i="39"/>
  <c r="G32" i="39"/>
  <c r="E32" i="39"/>
  <c r="U30" i="32"/>
  <c r="S30" i="37"/>
  <c r="S30" i="39"/>
  <c r="W30" i="36"/>
  <c r="F17" i="39"/>
  <c r="G17" i="39"/>
  <c r="D17" i="39"/>
  <c r="E17" i="39"/>
  <c r="K17" i="37"/>
  <c r="E79" i="39"/>
  <c r="F79" i="39"/>
  <c r="K79" i="37"/>
  <c r="G79" i="39"/>
  <c r="D79" i="39"/>
  <c r="E81" i="39"/>
  <c r="D81" i="39"/>
  <c r="G81" i="39"/>
  <c r="K81" i="37"/>
  <c r="F81" i="39"/>
  <c r="U83" i="36"/>
  <c r="T83" i="32"/>
  <c r="S16" i="39"/>
  <c r="AH16" i="32"/>
  <c r="AN16" i="32" s="1"/>
  <c r="W16" i="36"/>
  <c r="S16" i="37"/>
  <c r="E49" i="39"/>
  <c r="G49" i="39"/>
  <c r="D49" i="39"/>
  <c r="F49" i="39"/>
  <c r="K49" i="37"/>
  <c r="X50" i="36"/>
  <c r="W50" i="32"/>
  <c r="X50" i="32" s="1"/>
  <c r="E12" i="39"/>
  <c r="G12" i="39"/>
  <c r="K12" i="37"/>
  <c r="F12" i="39"/>
  <c r="D12" i="39"/>
  <c r="K43" i="37"/>
  <c r="D43" i="39"/>
  <c r="G43" i="39"/>
  <c r="F43" i="39"/>
  <c r="E43" i="39"/>
  <c r="G23" i="39"/>
  <c r="F23" i="39"/>
  <c r="E23" i="39"/>
  <c r="D23" i="39"/>
  <c r="K23" i="37"/>
  <c r="E22" i="39"/>
  <c r="D22" i="39"/>
  <c r="F22" i="39"/>
  <c r="G22" i="39"/>
  <c r="K22" i="37"/>
  <c r="T76" i="32"/>
  <c r="U76" i="36"/>
  <c r="G74" i="39"/>
  <c r="K74" i="37"/>
  <c r="F74" i="39"/>
  <c r="D74" i="39"/>
  <c r="E74" i="39"/>
  <c r="X20" i="36"/>
  <c r="W20" i="32"/>
  <c r="U79" i="36"/>
  <c r="T79" i="32"/>
  <c r="U79" i="32" s="1"/>
  <c r="D52" i="39"/>
  <c r="G52" i="39"/>
  <c r="E52" i="39"/>
  <c r="F52" i="39"/>
  <c r="K52" i="37"/>
  <c r="E55" i="39"/>
  <c r="D55" i="39"/>
  <c r="G55" i="39"/>
  <c r="F55" i="39"/>
  <c r="K55" i="37"/>
  <c r="K16" i="37"/>
  <c r="G16" i="39"/>
  <c r="D16" i="39"/>
  <c r="F16" i="39"/>
  <c r="E16" i="39"/>
  <c r="T34" i="32"/>
  <c r="U34" i="36"/>
  <c r="D26" i="39"/>
  <c r="E26" i="39"/>
  <c r="K26" i="37"/>
  <c r="G26" i="39"/>
  <c r="F26" i="39"/>
  <c r="T33" i="32"/>
  <c r="U33" i="32" s="1"/>
  <c r="U33" i="36"/>
  <c r="D20" i="39"/>
  <c r="K20" i="37"/>
  <c r="G20" i="39"/>
  <c r="F20" i="39"/>
  <c r="E20" i="39"/>
  <c r="S21" i="37"/>
  <c r="S21" i="39"/>
  <c r="W21" i="36"/>
  <c r="F38" i="39"/>
  <c r="G38" i="39"/>
  <c r="E38" i="39"/>
  <c r="D38" i="39"/>
  <c r="K38" i="37"/>
  <c r="U82" i="32"/>
  <c r="S82" i="37"/>
  <c r="S82" i="39"/>
  <c r="W82" i="36"/>
  <c r="W50" i="36"/>
  <c r="S50" i="37"/>
  <c r="S50" i="39"/>
  <c r="W53" i="36"/>
  <c r="S53" i="37"/>
  <c r="S53" i="39"/>
  <c r="U75" i="32"/>
  <c r="S75" i="39"/>
  <c r="S75" i="37"/>
  <c r="W75" i="36"/>
  <c r="U12" i="32"/>
  <c r="W12" i="36"/>
  <c r="AK12" i="36" s="1"/>
  <c r="AQ12" i="36" s="1"/>
  <c r="AH12" i="32"/>
  <c r="AN12" i="32" s="1"/>
  <c r="S12" i="37"/>
  <c r="S12" i="39"/>
  <c r="T47" i="32"/>
  <c r="U47" i="32" s="1"/>
  <c r="U47" i="36"/>
  <c r="T13" i="32"/>
  <c r="U13" i="36"/>
  <c r="D18" i="39"/>
  <c r="K18" i="37"/>
  <c r="G18" i="39"/>
  <c r="E18" i="39"/>
  <c r="F18" i="39"/>
  <c r="S26" i="37"/>
  <c r="W26" i="36"/>
  <c r="S26" i="39"/>
  <c r="G59" i="39"/>
  <c r="F59" i="39"/>
  <c r="E59" i="39"/>
  <c r="K59" i="37"/>
  <c r="D59" i="39"/>
  <c r="U43" i="32"/>
  <c r="S43" i="37"/>
  <c r="W43" i="36"/>
  <c r="AH43" i="32"/>
  <c r="AN43" i="32" s="1"/>
  <c r="S43" i="39"/>
  <c r="U74" i="36"/>
  <c r="T74" i="32"/>
  <c r="E80" i="39"/>
  <c r="K80" i="37"/>
  <c r="D80" i="39"/>
  <c r="F80" i="39"/>
  <c r="G80" i="39"/>
  <c r="W20" i="36"/>
  <c r="S20" i="37"/>
  <c r="S20" i="39"/>
  <c r="U55" i="36"/>
  <c r="T55" i="32"/>
  <c r="D33" i="39"/>
  <c r="E33" i="39"/>
  <c r="F33" i="39"/>
  <c r="G33" i="39"/>
  <c r="K33" i="37"/>
  <c r="W26" i="32"/>
  <c r="X26" i="32" s="1"/>
  <c r="X26" i="36"/>
  <c r="T73" i="32"/>
  <c r="U73" i="36"/>
  <c r="T59" i="32"/>
  <c r="U59" i="36"/>
  <c r="J87" i="39"/>
  <c r="X23" i="36"/>
  <c r="W23" i="32"/>
  <c r="X23" i="32" s="1"/>
  <c r="S22" i="37"/>
  <c r="S22" i="39"/>
  <c r="W22" i="36"/>
  <c r="E45" i="39"/>
  <c r="K45" i="37"/>
  <c r="F45" i="39"/>
  <c r="D45" i="39"/>
  <c r="G45" i="39"/>
  <c r="T57" i="32"/>
  <c r="U57" i="32" s="1"/>
  <c r="U57" i="36"/>
  <c r="E10" i="39"/>
  <c r="F10" i="39"/>
  <c r="K10" i="37"/>
  <c r="D10" i="39"/>
  <c r="G10" i="39"/>
  <c r="F73" i="39"/>
  <c r="E73" i="39"/>
  <c r="K73" i="37"/>
  <c r="D73" i="39"/>
  <c r="G73" i="39"/>
  <c r="U51" i="36"/>
  <c r="T51" i="32"/>
  <c r="F63" i="39"/>
  <c r="K63" i="37"/>
  <c r="E63" i="39"/>
  <c r="D63" i="39"/>
  <c r="G63" i="39"/>
  <c r="T89" i="36"/>
  <c r="W37" i="32"/>
  <c r="X37" i="36"/>
  <c r="U45" i="36"/>
  <c r="T45" i="32"/>
  <c r="AG85" i="32"/>
  <c r="AG86" i="32" s="1"/>
  <c r="AM9" i="32"/>
  <c r="W19" i="36"/>
  <c r="S19" i="37"/>
  <c r="S19" i="39"/>
  <c r="G56" i="39"/>
  <c r="F56" i="39"/>
  <c r="E56" i="39"/>
  <c r="K56" i="37"/>
  <c r="D56" i="39"/>
  <c r="K24" i="37"/>
  <c r="D24" i="39"/>
  <c r="G24" i="39"/>
  <c r="F24" i="39"/>
  <c r="E24" i="39"/>
  <c r="U80" i="36"/>
  <c r="T80" i="32"/>
  <c r="U80" i="32" s="1"/>
  <c r="E13" i="39"/>
  <c r="G13" i="39"/>
  <c r="D13" i="39"/>
  <c r="F13" i="39"/>
  <c r="K13" i="37"/>
  <c r="E34" i="39"/>
  <c r="F34" i="39"/>
  <c r="K34" i="37"/>
  <c r="D34" i="39"/>
  <c r="G34" i="39"/>
  <c r="K47" i="37"/>
  <c r="G47" i="39"/>
  <c r="D47" i="39"/>
  <c r="F47" i="39"/>
  <c r="E47" i="39"/>
  <c r="T15" i="32"/>
  <c r="U15" i="36"/>
  <c r="T10" i="32"/>
  <c r="U10" i="32" s="1"/>
  <c r="U10" i="36"/>
  <c r="D9" i="39"/>
  <c r="G9" i="39"/>
  <c r="F9" i="39"/>
  <c r="K9" i="37"/>
  <c r="E9" i="39"/>
  <c r="R90" i="36"/>
  <c r="R91" i="36" s="1"/>
  <c r="K37" i="37"/>
  <c r="F37" i="39"/>
  <c r="G37" i="39"/>
  <c r="E37" i="39"/>
  <c r="D37" i="39"/>
  <c r="K27" i="37"/>
  <c r="G27" i="39"/>
  <c r="E27" i="39"/>
  <c r="D27" i="39"/>
  <c r="F27" i="39"/>
  <c r="E25" i="39"/>
  <c r="K25" i="37"/>
  <c r="D25" i="39"/>
  <c r="G25" i="39"/>
  <c r="F25" i="39"/>
  <c r="F62" i="39"/>
  <c r="K62" i="37"/>
  <c r="E62" i="39"/>
  <c r="D62" i="39"/>
  <c r="G62" i="39"/>
  <c r="F42" i="39"/>
  <c r="E42" i="39"/>
  <c r="G42" i="39"/>
  <c r="K42" i="37"/>
  <c r="D42" i="39"/>
  <c r="W17" i="32"/>
  <c r="X17" i="32" s="1"/>
  <c r="X17" i="36"/>
  <c r="R92" i="32"/>
  <c r="AJ85" i="36"/>
  <c r="AJ86" i="36" s="1"/>
  <c r="AP9" i="36"/>
  <c r="S11" i="39"/>
  <c r="AH11" i="32"/>
  <c r="AN11" i="32" s="1"/>
  <c r="S11" i="37"/>
  <c r="W11" i="36"/>
  <c r="AK11" i="36" s="1"/>
  <c r="AQ11" i="36" s="1"/>
  <c r="K50" i="37"/>
  <c r="F50" i="39"/>
  <c r="G50" i="39"/>
  <c r="E50" i="39"/>
  <c r="D50" i="39"/>
  <c r="D58" i="39"/>
  <c r="K58" i="37"/>
  <c r="F58" i="39"/>
  <c r="G58" i="39"/>
  <c r="E58" i="39"/>
  <c r="U56" i="36"/>
  <c r="T56" i="32"/>
  <c r="U56" i="32" s="1"/>
  <c r="S23" i="39"/>
  <c r="S23" i="37"/>
  <c r="W23" i="36"/>
  <c r="W38" i="32"/>
  <c r="X38" i="32" s="1"/>
  <c r="X38" i="36"/>
  <c r="X42" i="36"/>
  <c r="W42" i="32"/>
  <c r="X42" i="32" s="1"/>
  <c r="X54" i="36"/>
  <c r="W54" i="32"/>
  <c r="X54" i="32" s="1"/>
  <c r="W53" i="32"/>
  <c r="X53" i="32" s="1"/>
  <c r="X53" i="36"/>
  <c r="E51" i="39"/>
  <c r="G51" i="39"/>
  <c r="K51" i="37"/>
  <c r="D51" i="39"/>
  <c r="F51" i="39"/>
  <c r="U52" i="32"/>
  <c r="S52" i="39"/>
  <c r="S52" i="37"/>
  <c r="W52" i="36"/>
  <c r="F11" i="39"/>
  <c r="G11" i="39"/>
  <c r="D11" i="39"/>
  <c r="K11" i="37"/>
  <c r="E11" i="39"/>
  <c r="W24" i="36"/>
  <c r="S24" i="39"/>
  <c r="S24" i="37"/>
  <c r="D82" i="39"/>
  <c r="G82" i="39"/>
  <c r="K82" i="37"/>
  <c r="F82" i="39"/>
  <c r="E82" i="39"/>
  <c r="X11" i="36"/>
  <c r="W11" i="32"/>
  <c r="X11" i="32" s="1"/>
  <c r="K57" i="37"/>
  <c r="F57" i="39"/>
  <c r="E57" i="39"/>
  <c r="D57" i="39"/>
  <c r="G57" i="39"/>
  <c r="E75" i="39"/>
  <c r="K75" i="37"/>
  <c r="G75" i="39"/>
  <c r="F75" i="39"/>
  <c r="D75" i="39"/>
  <c r="D19" i="39"/>
  <c r="G19" i="39"/>
  <c r="K19" i="37"/>
  <c r="F19" i="39"/>
  <c r="E19" i="39"/>
  <c r="S42" i="39"/>
  <c r="S42" i="37"/>
  <c r="W42" i="36"/>
  <c r="AH42" i="32"/>
  <c r="AN42" i="32" s="1"/>
  <c r="E83" i="39"/>
  <c r="D83" i="39"/>
  <c r="K83" i="37"/>
  <c r="G83" i="39"/>
  <c r="F83" i="39"/>
  <c r="S49" i="39"/>
  <c r="S49" i="37"/>
  <c r="W49" i="36"/>
  <c r="T18" i="32"/>
  <c r="U18" i="32" s="1"/>
  <c r="U18" i="36"/>
  <c r="X21" i="36"/>
  <c r="W21" i="32"/>
  <c r="X21" i="32" s="1"/>
  <c r="D21" i="39"/>
  <c r="K21" i="37"/>
  <c r="F21" i="39"/>
  <c r="E21" i="39"/>
  <c r="G21" i="39"/>
  <c r="W19" i="32"/>
  <c r="X19" i="32" s="1"/>
  <c r="X19" i="36"/>
  <c r="T27" i="32"/>
  <c r="U27" i="36"/>
  <c r="T25" i="32"/>
  <c r="U25" i="32" s="1"/>
  <c r="U25" i="36"/>
  <c r="U63" i="36"/>
  <c r="T63" i="32"/>
  <c r="U62" i="36"/>
  <c r="T62" i="32"/>
  <c r="S17" i="37"/>
  <c r="S17" i="39"/>
  <c r="W17" i="36"/>
  <c r="W37" i="36"/>
  <c r="S37" i="39"/>
  <c r="AH37" i="32"/>
  <c r="AN37" i="32" s="1"/>
  <c r="S37" i="37"/>
  <c r="T9" i="32"/>
  <c r="U9" i="36"/>
  <c r="R91" i="32"/>
  <c r="U49" i="32"/>
  <c r="U84" i="32"/>
  <c r="S84" i="39"/>
  <c r="S84" i="37"/>
  <c r="W84" i="36"/>
  <c r="T58" i="32"/>
  <c r="U58" i="36"/>
  <c r="E54" i="39"/>
  <c r="D54" i="39"/>
  <c r="F54" i="39"/>
  <c r="G54" i="39"/>
  <c r="K54" i="37"/>
  <c r="E77" i="39"/>
  <c r="F77" i="39"/>
  <c r="K77" i="37"/>
  <c r="D77" i="39"/>
  <c r="G77" i="39"/>
  <c r="D78" i="39"/>
  <c r="G78" i="39"/>
  <c r="F78" i="39"/>
  <c r="E78" i="39"/>
  <c r="K78" i="37"/>
  <c r="S38" i="37"/>
  <c r="W38" i="36"/>
  <c r="S38" i="39"/>
  <c r="W54" i="36"/>
  <c r="S54" i="39"/>
  <c r="S54" i="37"/>
  <c r="T88" i="36"/>
  <c r="T85" i="36"/>
  <c r="U36" i="32"/>
  <c r="S36" i="39"/>
  <c r="W36" i="36"/>
  <c r="S36" i="37"/>
  <c r="J85" i="39"/>
  <c r="J86" i="39"/>
  <c r="F36" i="39"/>
  <c r="G36" i="39"/>
  <c r="E36" i="39"/>
  <c r="D36" i="39"/>
  <c r="K36" i="37"/>
  <c r="T92" i="32" l="1"/>
  <c r="I38" i="39"/>
  <c r="K38" i="39" s="1"/>
  <c r="I26" i="39"/>
  <c r="K26" i="39" s="1"/>
  <c r="I45" i="39"/>
  <c r="K45" i="39" s="1"/>
  <c r="I63" i="39"/>
  <c r="K63" i="39" s="1"/>
  <c r="I50" i="39"/>
  <c r="K50" i="39" s="1"/>
  <c r="E87" i="39"/>
  <c r="I80" i="39"/>
  <c r="K80" i="39" s="1"/>
  <c r="U88" i="36"/>
  <c r="I79" i="39"/>
  <c r="K79" i="39" s="1"/>
  <c r="I37" i="39"/>
  <c r="K37" i="39" s="1"/>
  <c r="U89" i="36"/>
  <c r="X18" i="36"/>
  <c r="W18" i="32"/>
  <c r="X57" i="36"/>
  <c r="W57" i="32"/>
  <c r="X57" i="32" s="1"/>
  <c r="Z38" i="32"/>
  <c r="AA38" i="32" s="1"/>
  <c r="AA38" i="36"/>
  <c r="AA42" i="36"/>
  <c r="Z42" i="32"/>
  <c r="AA42" i="32" s="1"/>
  <c r="AA21" i="36"/>
  <c r="Z21" i="32"/>
  <c r="AA21" i="32" s="1"/>
  <c r="X47" i="36"/>
  <c r="W47" i="32"/>
  <c r="X47" i="32" s="1"/>
  <c r="P54" i="39"/>
  <c r="N54" i="39"/>
  <c r="Q54" i="39"/>
  <c r="T54" i="37"/>
  <c r="O54" i="39"/>
  <c r="M54" i="39"/>
  <c r="U55" i="32"/>
  <c r="S55" i="37"/>
  <c r="S55" i="39"/>
  <c r="W55" i="36"/>
  <c r="T50" i="37"/>
  <c r="P50" i="39"/>
  <c r="Q50" i="39"/>
  <c r="N50" i="39"/>
  <c r="M50" i="39"/>
  <c r="O50" i="39"/>
  <c r="U85" i="36"/>
  <c r="I77" i="39"/>
  <c r="K77" i="39" s="1"/>
  <c r="U27" i="32"/>
  <c r="W27" i="36"/>
  <c r="S27" i="39"/>
  <c r="S27" i="37"/>
  <c r="Q52" i="39"/>
  <c r="M52" i="39"/>
  <c r="O52" i="39"/>
  <c r="N52" i="39"/>
  <c r="P52" i="39"/>
  <c r="T52" i="37"/>
  <c r="AB54" i="37"/>
  <c r="Z54" i="36"/>
  <c r="AB54" i="39"/>
  <c r="S56" i="39"/>
  <c r="S56" i="37"/>
  <c r="W56" i="36"/>
  <c r="I47" i="39"/>
  <c r="K47" i="39" s="1"/>
  <c r="F87" i="39"/>
  <c r="AI37" i="32"/>
  <c r="AO37" i="32" s="1"/>
  <c r="AB37" i="39"/>
  <c r="AB37" i="37"/>
  <c r="Z37" i="36"/>
  <c r="U59" i="32"/>
  <c r="S59" i="37"/>
  <c r="W59" i="36"/>
  <c r="S59" i="39"/>
  <c r="O21" i="39"/>
  <c r="Q21" i="39"/>
  <c r="P21" i="39"/>
  <c r="N21" i="39"/>
  <c r="M21" i="39"/>
  <c r="T21" i="37"/>
  <c r="I55" i="39"/>
  <c r="K55" i="39" s="1"/>
  <c r="M16" i="39"/>
  <c r="Q16" i="39"/>
  <c r="O16" i="39"/>
  <c r="T16" i="37"/>
  <c r="P16" i="39"/>
  <c r="N16" i="39"/>
  <c r="X30" i="36"/>
  <c r="W30" i="32"/>
  <c r="X30" i="32" s="1"/>
  <c r="W78" i="36"/>
  <c r="S78" i="39"/>
  <c r="S78" i="37"/>
  <c r="U48" i="32"/>
  <c r="S48" i="37"/>
  <c r="W48" i="36"/>
  <c r="S48" i="39"/>
  <c r="I15" i="39"/>
  <c r="K15" i="39" s="1"/>
  <c r="AW15" i="39"/>
  <c r="I48" i="39"/>
  <c r="K48" i="39" s="1"/>
  <c r="S58" i="39"/>
  <c r="S58" i="37"/>
  <c r="W58" i="36"/>
  <c r="M12" i="39"/>
  <c r="P12" i="39"/>
  <c r="N12" i="39"/>
  <c r="O12" i="39"/>
  <c r="T12" i="37"/>
  <c r="Q12" i="39"/>
  <c r="AW22" i="39"/>
  <c r="I22" i="39"/>
  <c r="K22" i="39" s="1"/>
  <c r="Q84" i="39"/>
  <c r="N84" i="39"/>
  <c r="P84" i="39"/>
  <c r="M84" i="39"/>
  <c r="T84" i="37"/>
  <c r="O84" i="39"/>
  <c r="O11" i="39"/>
  <c r="T11" i="37"/>
  <c r="N11" i="39"/>
  <c r="M11" i="39"/>
  <c r="P11" i="39"/>
  <c r="Q11" i="39"/>
  <c r="W80" i="32"/>
  <c r="X80" i="36"/>
  <c r="G87" i="39"/>
  <c r="X81" i="36"/>
  <c r="W81" i="32"/>
  <c r="I82" i="39"/>
  <c r="K82" i="39" s="1"/>
  <c r="W52" i="32"/>
  <c r="X52" i="36"/>
  <c r="I27" i="39"/>
  <c r="K27" i="39" s="1"/>
  <c r="S80" i="37"/>
  <c r="S80" i="39"/>
  <c r="W80" i="36"/>
  <c r="U73" i="32"/>
  <c r="S73" i="39"/>
  <c r="S73" i="37"/>
  <c r="W73" i="36"/>
  <c r="Q20" i="39"/>
  <c r="P20" i="39"/>
  <c r="O20" i="39"/>
  <c r="N20" i="39"/>
  <c r="M20" i="39"/>
  <c r="T20" i="37"/>
  <c r="Q43" i="39"/>
  <c r="P43" i="39"/>
  <c r="N43" i="39"/>
  <c r="M43" i="39"/>
  <c r="O43" i="39"/>
  <c r="T43" i="37"/>
  <c r="W12" i="32"/>
  <c r="X12" i="36"/>
  <c r="I74" i="39"/>
  <c r="K74" i="39" s="1"/>
  <c r="I23" i="39"/>
  <c r="K23" i="39" s="1"/>
  <c r="AW23" i="39"/>
  <c r="AA24" i="36"/>
  <c r="Z24" i="32"/>
  <c r="AA24" i="32" s="1"/>
  <c r="AA54" i="36"/>
  <c r="Z54" i="32"/>
  <c r="AA54" i="32" s="1"/>
  <c r="AB20" i="39"/>
  <c r="Z20" i="36"/>
  <c r="AB20" i="37"/>
  <c r="N19" i="39"/>
  <c r="O19" i="39"/>
  <c r="Q19" i="39"/>
  <c r="P19" i="39"/>
  <c r="M19" i="39"/>
  <c r="T19" i="37"/>
  <c r="AW10" i="39"/>
  <c r="I10" i="39"/>
  <c r="K10" i="39" s="1"/>
  <c r="AA26" i="36"/>
  <c r="Z26" i="32"/>
  <c r="X43" i="36"/>
  <c r="W43" i="32"/>
  <c r="O82" i="39"/>
  <c r="N82" i="39"/>
  <c r="P82" i="39"/>
  <c r="M82" i="39"/>
  <c r="Q82" i="39"/>
  <c r="T82" i="37"/>
  <c r="U34" i="32"/>
  <c r="S34" i="37"/>
  <c r="S34" i="39"/>
  <c r="W34" i="36"/>
  <c r="I32" i="39"/>
  <c r="K32" i="39" s="1"/>
  <c r="I84" i="39"/>
  <c r="K84" i="39" s="1"/>
  <c r="S81" i="37"/>
  <c r="S81" i="39"/>
  <c r="W81" i="36"/>
  <c r="X56" i="36"/>
  <c r="W56" i="32"/>
  <c r="I57" i="39"/>
  <c r="K57" i="39" s="1"/>
  <c r="AB42" i="39"/>
  <c r="AI42" i="32"/>
  <c r="AO42" i="32" s="1"/>
  <c r="AB42" i="37"/>
  <c r="Z42" i="36"/>
  <c r="X49" i="36"/>
  <c r="W49" i="32"/>
  <c r="X49" i="32" s="1"/>
  <c r="U62" i="32"/>
  <c r="S62" i="37"/>
  <c r="W62" i="36"/>
  <c r="S62" i="39"/>
  <c r="N49" i="39"/>
  <c r="T49" i="37"/>
  <c r="Q49" i="39"/>
  <c r="P49" i="39"/>
  <c r="M49" i="39"/>
  <c r="O49" i="39"/>
  <c r="I51" i="39"/>
  <c r="K51" i="39" s="1"/>
  <c r="I62" i="39"/>
  <c r="K62" i="39" s="1"/>
  <c r="AW9" i="39"/>
  <c r="I9" i="39"/>
  <c r="K9" i="39" s="1"/>
  <c r="I34" i="39"/>
  <c r="K34" i="39" s="1"/>
  <c r="I59" i="39"/>
  <c r="K59" i="39" s="1"/>
  <c r="AW18" i="39"/>
  <c r="I18" i="39"/>
  <c r="K18" i="39" s="1"/>
  <c r="Q75" i="39"/>
  <c r="M75" i="39"/>
  <c r="O75" i="39"/>
  <c r="T75" i="37"/>
  <c r="P75" i="39"/>
  <c r="N75" i="39"/>
  <c r="X82" i="36"/>
  <c r="W82" i="32"/>
  <c r="X82" i="32" s="1"/>
  <c r="AA50" i="36"/>
  <c r="Z50" i="32"/>
  <c r="AA50" i="32" s="1"/>
  <c r="U83" i="32"/>
  <c r="W83" i="36"/>
  <c r="S83" i="39"/>
  <c r="S83" i="37"/>
  <c r="M77" i="39"/>
  <c r="Q77" i="39"/>
  <c r="P77" i="39"/>
  <c r="O77" i="39"/>
  <c r="N77" i="39"/>
  <c r="T77" i="37"/>
  <c r="Z24" i="36"/>
  <c r="AB24" i="39"/>
  <c r="AB24" i="37"/>
  <c r="W84" i="32"/>
  <c r="X84" i="36"/>
  <c r="Q24" i="39"/>
  <c r="N24" i="39"/>
  <c r="O24" i="39"/>
  <c r="P24" i="39"/>
  <c r="T24" i="37"/>
  <c r="M24" i="39"/>
  <c r="N38" i="39"/>
  <c r="O38" i="39"/>
  <c r="M38" i="39"/>
  <c r="T38" i="37"/>
  <c r="Q38" i="39"/>
  <c r="P38" i="39"/>
  <c r="R93" i="32"/>
  <c r="R94" i="32" s="1"/>
  <c r="X10" i="36"/>
  <c r="W10" i="32"/>
  <c r="X10" i="32" s="1"/>
  <c r="P22" i="39"/>
  <c r="M22" i="39"/>
  <c r="Q22" i="39"/>
  <c r="O22" i="39"/>
  <c r="T22" i="37"/>
  <c r="N22" i="39"/>
  <c r="Z26" i="36"/>
  <c r="AB26" i="39"/>
  <c r="AB26" i="37"/>
  <c r="AW20" i="39"/>
  <c r="I20" i="39"/>
  <c r="K20" i="39" s="1"/>
  <c r="Z50" i="36"/>
  <c r="AB50" i="37"/>
  <c r="AB50" i="39"/>
  <c r="W77" i="32"/>
  <c r="X77" i="36"/>
  <c r="X16" i="32"/>
  <c r="AI16" i="32"/>
  <c r="AO16" i="32" s="1"/>
  <c r="Z16" i="36"/>
  <c r="AB16" i="39"/>
  <c r="AB16" i="37"/>
  <c r="X78" i="36"/>
  <c r="W78" i="32"/>
  <c r="U63" i="32"/>
  <c r="S63" i="37"/>
  <c r="W63" i="36"/>
  <c r="S63" i="39"/>
  <c r="I58" i="39"/>
  <c r="K58" i="39" s="1"/>
  <c r="Z23" i="32"/>
  <c r="AA23" i="32" s="1"/>
  <c r="AA23" i="36"/>
  <c r="U13" i="32"/>
  <c r="W13" i="36"/>
  <c r="AK13" i="36" s="1"/>
  <c r="AQ13" i="36" s="1"/>
  <c r="AH13" i="32"/>
  <c r="AN13" i="32" s="1"/>
  <c r="S13" i="37"/>
  <c r="S13" i="39"/>
  <c r="X75" i="36"/>
  <c r="W75" i="32"/>
  <c r="W33" i="32"/>
  <c r="X33" i="36"/>
  <c r="I16" i="39"/>
  <c r="K16" i="39" s="1"/>
  <c r="AW16" i="39"/>
  <c r="I52" i="39"/>
  <c r="K52" i="39" s="1"/>
  <c r="AW17" i="39"/>
  <c r="I17" i="39"/>
  <c r="K17" i="39" s="1"/>
  <c r="U32" i="32"/>
  <c r="S32" i="39"/>
  <c r="W32" i="36"/>
  <c r="S32" i="37"/>
  <c r="I54" i="39"/>
  <c r="K54" i="39" s="1"/>
  <c r="U9" i="32"/>
  <c r="S9" i="39"/>
  <c r="S9" i="37"/>
  <c r="W9" i="36"/>
  <c r="AK9" i="36" s="1"/>
  <c r="AH9" i="32"/>
  <c r="T91" i="32"/>
  <c r="T93" i="32" s="1"/>
  <c r="I19" i="39"/>
  <c r="K19" i="39" s="1"/>
  <c r="AW19" i="39"/>
  <c r="AA11" i="36"/>
  <c r="Z11" i="32"/>
  <c r="AA11" i="32" s="1"/>
  <c r="AB38" i="37"/>
  <c r="AB38" i="39"/>
  <c r="Z38" i="36"/>
  <c r="AA17" i="36"/>
  <c r="Z17" i="32"/>
  <c r="S10" i="39"/>
  <c r="W10" i="36"/>
  <c r="AK10" i="36" s="1"/>
  <c r="AQ10" i="36" s="1"/>
  <c r="S10" i="37"/>
  <c r="AH10" i="32"/>
  <c r="AN10" i="32" s="1"/>
  <c r="I24" i="39"/>
  <c r="K24" i="39" s="1"/>
  <c r="AW24" i="39"/>
  <c r="U45" i="32"/>
  <c r="U92" i="32" s="1"/>
  <c r="S45" i="37"/>
  <c r="S45" i="39"/>
  <c r="W45" i="36"/>
  <c r="U51" i="32"/>
  <c r="S51" i="39"/>
  <c r="W51" i="36"/>
  <c r="S51" i="37"/>
  <c r="AB23" i="39"/>
  <c r="Z23" i="36"/>
  <c r="AB23" i="37"/>
  <c r="W79" i="32"/>
  <c r="X79" i="32" s="1"/>
  <c r="X79" i="36"/>
  <c r="U76" i="32"/>
  <c r="S76" i="39"/>
  <c r="S76" i="37"/>
  <c r="W76" i="36"/>
  <c r="I53" i="39"/>
  <c r="K53" i="39" s="1"/>
  <c r="AA19" i="36"/>
  <c r="Z19" i="32"/>
  <c r="W18" i="36"/>
  <c r="S18" i="39"/>
  <c r="S18" i="37"/>
  <c r="O17" i="39"/>
  <c r="T17" i="37"/>
  <c r="Q17" i="39"/>
  <c r="P17" i="39"/>
  <c r="N17" i="39"/>
  <c r="M17" i="39"/>
  <c r="T85" i="32"/>
  <c r="P37" i="39"/>
  <c r="T37" i="37"/>
  <c r="M37" i="39"/>
  <c r="O37" i="39"/>
  <c r="N37" i="39"/>
  <c r="Q37" i="39"/>
  <c r="W25" i="32"/>
  <c r="X25" i="32" s="1"/>
  <c r="X25" i="36"/>
  <c r="I21" i="39"/>
  <c r="K21" i="39" s="1"/>
  <c r="AW21" i="39"/>
  <c r="I75" i="39"/>
  <c r="K75" i="39" s="1"/>
  <c r="AB11" i="39"/>
  <c r="AI11" i="32"/>
  <c r="AO11" i="32" s="1"/>
  <c r="Z11" i="36"/>
  <c r="AL11" i="36" s="1"/>
  <c r="AR11" i="36" s="1"/>
  <c r="AB11" i="37"/>
  <c r="I11" i="39"/>
  <c r="K11" i="39" s="1"/>
  <c r="AW11" i="39"/>
  <c r="Z53" i="32"/>
  <c r="AA53" i="36"/>
  <c r="O53" i="39"/>
  <c r="M53" i="39"/>
  <c r="N53" i="39"/>
  <c r="T53" i="37"/>
  <c r="Q53" i="39"/>
  <c r="P53" i="39"/>
  <c r="S33" i="37"/>
  <c r="S33" i="39"/>
  <c r="W33" i="36"/>
  <c r="S79" i="39"/>
  <c r="S79" i="37"/>
  <c r="W79" i="36"/>
  <c r="Z22" i="32"/>
  <c r="AA22" i="32" s="1"/>
  <c r="AA22" i="36"/>
  <c r="AW12" i="39"/>
  <c r="I12" i="39"/>
  <c r="K12" i="39" s="1"/>
  <c r="AB19" i="37"/>
  <c r="AB19" i="39"/>
  <c r="Z19" i="36"/>
  <c r="U58" i="32"/>
  <c r="I83" i="39"/>
  <c r="K83" i="39" s="1"/>
  <c r="O23" i="39"/>
  <c r="N23" i="39"/>
  <c r="P23" i="39"/>
  <c r="Q23" i="39"/>
  <c r="M23" i="39"/>
  <c r="T23" i="37"/>
  <c r="AB17" i="39"/>
  <c r="AB17" i="37"/>
  <c r="Z17" i="36"/>
  <c r="U15" i="32"/>
  <c r="S15" i="37"/>
  <c r="W15" i="36"/>
  <c r="AK15" i="36" s="1"/>
  <c r="AQ15" i="36" s="1"/>
  <c r="AH15" i="32"/>
  <c r="AN15" i="32" s="1"/>
  <c r="S15" i="39"/>
  <c r="I56" i="39"/>
  <c r="D87" i="39"/>
  <c r="X37" i="32"/>
  <c r="S57" i="39"/>
  <c r="S57" i="37"/>
  <c r="W57" i="36"/>
  <c r="U74" i="32"/>
  <c r="W74" i="36"/>
  <c r="S74" i="37"/>
  <c r="S74" i="39"/>
  <c r="S47" i="37"/>
  <c r="S47" i="39"/>
  <c r="AH47" i="32"/>
  <c r="AN47" i="32" s="1"/>
  <c r="W47" i="36"/>
  <c r="I43" i="39"/>
  <c r="K43" i="39" s="1"/>
  <c r="I49" i="39"/>
  <c r="K49" i="39" s="1"/>
  <c r="I81" i="39"/>
  <c r="K81" i="39" s="1"/>
  <c r="I76" i="39"/>
  <c r="K76" i="39" s="1"/>
  <c r="N26" i="39"/>
  <c r="T26" i="37"/>
  <c r="O26" i="39"/>
  <c r="Q26" i="39"/>
  <c r="M26" i="39"/>
  <c r="P26" i="39"/>
  <c r="N30" i="39"/>
  <c r="Q30" i="39"/>
  <c r="O30" i="39"/>
  <c r="T30" i="37"/>
  <c r="M30" i="39"/>
  <c r="P30" i="39"/>
  <c r="P42" i="39"/>
  <c r="Q42" i="39"/>
  <c r="M42" i="39"/>
  <c r="O42" i="39"/>
  <c r="T42" i="37"/>
  <c r="N42" i="39"/>
  <c r="T90" i="36"/>
  <c r="T91" i="36" s="1"/>
  <c r="I78" i="39"/>
  <c r="K78" i="39" s="1"/>
  <c r="S25" i="39"/>
  <c r="W25" i="36"/>
  <c r="S25" i="37"/>
  <c r="AB21" i="39"/>
  <c r="AB21" i="37"/>
  <c r="Z21" i="36"/>
  <c r="AB53" i="39"/>
  <c r="AB53" i="37"/>
  <c r="Z53" i="36"/>
  <c r="I42" i="39"/>
  <c r="K42" i="39" s="1"/>
  <c r="AW25" i="39"/>
  <c r="I25" i="39"/>
  <c r="K25" i="39" s="1"/>
  <c r="I13" i="39"/>
  <c r="K13" i="39" s="1"/>
  <c r="AW13" i="39"/>
  <c r="I73" i="39"/>
  <c r="K73" i="39" s="1"/>
  <c r="I33" i="39"/>
  <c r="K33" i="39" s="1"/>
  <c r="X20" i="32"/>
  <c r="I30" i="39"/>
  <c r="K30" i="39" s="1"/>
  <c r="Z22" i="36"/>
  <c r="AB22" i="39"/>
  <c r="AB22" i="37"/>
  <c r="F85" i="39"/>
  <c r="F86" i="39"/>
  <c r="Q36" i="39"/>
  <c r="M36" i="39"/>
  <c r="T36" i="37"/>
  <c r="O36" i="39"/>
  <c r="P36" i="39"/>
  <c r="N36" i="39"/>
  <c r="D86" i="39"/>
  <c r="I36" i="39"/>
  <c r="D85" i="39"/>
  <c r="W36" i="32"/>
  <c r="X36" i="32" s="1"/>
  <c r="X36" i="36"/>
  <c r="E86" i="39"/>
  <c r="E85" i="39"/>
  <c r="G86" i="39"/>
  <c r="G85" i="39"/>
  <c r="U90" i="36" l="1"/>
  <c r="S85" i="39"/>
  <c r="R53" i="39"/>
  <c r="T53" i="39" s="1"/>
  <c r="R82" i="39"/>
  <c r="T82" i="39" s="1"/>
  <c r="W89" i="36"/>
  <c r="U91" i="36"/>
  <c r="R84" i="39"/>
  <c r="T84" i="39" s="1"/>
  <c r="W88" i="36"/>
  <c r="W90" i="36" s="1"/>
  <c r="W85" i="36"/>
  <c r="AA82" i="36"/>
  <c r="Z82" i="32"/>
  <c r="AA82" i="32" s="1"/>
  <c r="AC42" i="32"/>
  <c r="AD42" i="32" s="1"/>
  <c r="AD42" i="36"/>
  <c r="AD11" i="36"/>
  <c r="AC11" i="32"/>
  <c r="AD11" i="32" s="1"/>
  <c r="AC22" i="32"/>
  <c r="AD22" i="36"/>
  <c r="AD23" i="36"/>
  <c r="AC23" i="32"/>
  <c r="X13" i="36"/>
  <c r="W13" i="32"/>
  <c r="X13" i="32" s="1"/>
  <c r="AA37" i="36"/>
  <c r="Z37" i="32"/>
  <c r="AA37" i="32" s="1"/>
  <c r="AX23" i="39"/>
  <c r="R23" i="39"/>
  <c r="T23" i="39" s="1"/>
  <c r="AX17" i="39"/>
  <c r="R17" i="39"/>
  <c r="T17" i="39" s="1"/>
  <c r="AA17" i="32"/>
  <c r="AK17" i="39"/>
  <c r="AC17" i="36"/>
  <c r="AK17" i="37"/>
  <c r="AN9" i="32"/>
  <c r="AH85" i="32"/>
  <c r="AH86" i="32" s="1"/>
  <c r="X84" i="32"/>
  <c r="AB84" i="37"/>
  <c r="AB84" i="39"/>
  <c r="Z84" i="36"/>
  <c r="R75" i="39"/>
  <c r="T75" i="39" s="1"/>
  <c r="R49" i="39"/>
  <c r="T49" i="39" s="1"/>
  <c r="AA26" i="32"/>
  <c r="AK26" i="37"/>
  <c r="AC26" i="36"/>
  <c r="AK26" i="39"/>
  <c r="Z12" i="36"/>
  <c r="AL12" i="36" s="1"/>
  <c r="AR12" i="36" s="1"/>
  <c r="AB12" i="37"/>
  <c r="AB12" i="39"/>
  <c r="AI12" i="32"/>
  <c r="AO12" i="32" s="1"/>
  <c r="Q78" i="39"/>
  <c r="T78" i="37"/>
  <c r="P78" i="39"/>
  <c r="N78" i="39"/>
  <c r="M78" i="39"/>
  <c r="O78" i="39"/>
  <c r="R54" i="39"/>
  <c r="T54" i="39" s="1"/>
  <c r="Q76" i="39"/>
  <c r="O76" i="39"/>
  <c r="N76" i="39"/>
  <c r="P76" i="39"/>
  <c r="T76" i="37"/>
  <c r="M76" i="39"/>
  <c r="W51" i="32"/>
  <c r="X51" i="32" s="1"/>
  <c r="X51" i="36"/>
  <c r="AK85" i="36"/>
  <c r="AK86" i="36" s="1"/>
  <c r="AQ9" i="36"/>
  <c r="X24" i="39"/>
  <c r="W24" i="39"/>
  <c r="Y24" i="39"/>
  <c r="V24" i="39"/>
  <c r="AC24" i="37"/>
  <c r="Z24" i="39"/>
  <c r="X83" i="36"/>
  <c r="W83" i="32"/>
  <c r="X83" i="32" s="1"/>
  <c r="AC42" i="37"/>
  <c r="X42" i="39"/>
  <c r="V42" i="39"/>
  <c r="Y42" i="39"/>
  <c r="W42" i="39"/>
  <c r="Z42" i="39"/>
  <c r="AD54" i="36"/>
  <c r="AC54" i="32"/>
  <c r="AD54" i="32" s="1"/>
  <c r="X81" i="32"/>
  <c r="Z81" i="36"/>
  <c r="AB81" i="39"/>
  <c r="AB81" i="37"/>
  <c r="AX12" i="39"/>
  <c r="R12" i="39"/>
  <c r="T12" i="39" s="1"/>
  <c r="Z37" i="39"/>
  <c r="V37" i="39"/>
  <c r="AC37" i="37"/>
  <c r="Y37" i="39"/>
  <c r="W37" i="39"/>
  <c r="X37" i="39"/>
  <c r="AK42" i="39"/>
  <c r="AC42" i="36"/>
  <c r="AK42" i="37"/>
  <c r="AJ42" i="32"/>
  <c r="AP42" i="32" s="1"/>
  <c r="T94" i="32"/>
  <c r="AX16" i="39"/>
  <c r="R16" i="39"/>
  <c r="T16" i="39" s="1"/>
  <c r="P9" i="39"/>
  <c r="O9" i="39"/>
  <c r="T9" i="37"/>
  <c r="Q9" i="39"/>
  <c r="M9" i="39"/>
  <c r="N9" i="39"/>
  <c r="AK23" i="39"/>
  <c r="AK23" i="37"/>
  <c r="AC23" i="36"/>
  <c r="Z16" i="32"/>
  <c r="AA16" i="32" s="1"/>
  <c r="AA16" i="36"/>
  <c r="R38" i="39"/>
  <c r="T38" i="39" s="1"/>
  <c r="AC50" i="32"/>
  <c r="AD50" i="36"/>
  <c r="Q34" i="39"/>
  <c r="P34" i="39"/>
  <c r="T34" i="37"/>
  <c r="M34" i="39"/>
  <c r="N34" i="39"/>
  <c r="O34" i="39"/>
  <c r="AC54" i="36"/>
  <c r="AK54" i="37"/>
  <c r="AK54" i="39"/>
  <c r="O73" i="39"/>
  <c r="P73" i="39"/>
  <c r="N73" i="39"/>
  <c r="M73" i="39"/>
  <c r="Q73" i="39"/>
  <c r="T73" i="37"/>
  <c r="R21" i="39"/>
  <c r="T21" i="39" s="1"/>
  <c r="AX21" i="39"/>
  <c r="X76" i="36"/>
  <c r="W76" i="32"/>
  <c r="AK50" i="37"/>
  <c r="AC50" i="36"/>
  <c r="AK50" i="39"/>
  <c r="X34" i="36"/>
  <c r="W34" i="32"/>
  <c r="R43" i="39"/>
  <c r="T43" i="39" s="1"/>
  <c r="O58" i="39"/>
  <c r="Q58" i="39"/>
  <c r="N58" i="39"/>
  <c r="M58" i="39"/>
  <c r="P58" i="39"/>
  <c r="T58" i="37"/>
  <c r="AA30" i="36"/>
  <c r="Z30" i="32"/>
  <c r="AA30" i="32" s="1"/>
  <c r="R50" i="39"/>
  <c r="T50" i="39" s="1"/>
  <c r="AC38" i="32"/>
  <c r="AD38" i="36"/>
  <c r="R26" i="39"/>
  <c r="T26" i="39" s="1"/>
  <c r="Q79" i="39"/>
  <c r="N79" i="39"/>
  <c r="P79" i="39"/>
  <c r="M79" i="39"/>
  <c r="T79" i="37"/>
  <c r="O79" i="39"/>
  <c r="AA53" i="32"/>
  <c r="AC53" i="36"/>
  <c r="AK53" i="39"/>
  <c r="AK53" i="37"/>
  <c r="AB25" i="37"/>
  <c r="Z25" i="36"/>
  <c r="AB25" i="39"/>
  <c r="Z79" i="32"/>
  <c r="AA79" i="36"/>
  <c r="Q45" i="39"/>
  <c r="T45" i="37"/>
  <c r="M45" i="39"/>
  <c r="O45" i="39"/>
  <c r="P45" i="39"/>
  <c r="N45" i="39"/>
  <c r="Z38" i="39"/>
  <c r="X38" i="39"/>
  <c r="AC38" i="37"/>
  <c r="W38" i="39"/>
  <c r="V38" i="39"/>
  <c r="Y38" i="39"/>
  <c r="W9" i="32"/>
  <c r="X9" i="36"/>
  <c r="U91" i="32"/>
  <c r="U93" i="32" s="1"/>
  <c r="X33" i="32"/>
  <c r="AB33" i="37"/>
  <c r="AB33" i="39"/>
  <c r="Z33" i="36"/>
  <c r="X77" i="32"/>
  <c r="Z77" i="36"/>
  <c r="AB77" i="37"/>
  <c r="AB77" i="39"/>
  <c r="AC24" i="32"/>
  <c r="AD24" i="32" s="1"/>
  <c r="AD24" i="36"/>
  <c r="X73" i="36"/>
  <c r="W73" i="32"/>
  <c r="Z30" i="36"/>
  <c r="AB30" i="37"/>
  <c r="AB30" i="39"/>
  <c r="R52" i="39"/>
  <c r="T52" i="39" s="1"/>
  <c r="Z25" i="32"/>
  <c r="AA25" i="32" s="1"/>
  <c r="AA25" i="36"/>
  <c r="S86" i="39"/>
  <c r="P47" i="39"/>
  <c r="O47" i="39"/>
  <c r="Q47" i="39"/>
  <c r="T47" i="37"/>
  <c r="M47" i="39"/>
  <c r="N47" i="39"/>
  <c r="X53" i="39"/>
  <c r="W53" i="39"/>
  <c r="Y53" i="39"/>
  <c r="Z53" i="39"/>
  <c r="V53" i="39"/>
  <c r="AC53" i="37"/>
  <c r="W45" i="32"/>
  <c r="X45" i="32" s="1"/>
  <c r="X45" i="36"/>
  <c r="X75" i="32"/>
  <c r="Z75" i="36"/>
  <c r="AB75" i="37"/>
  <c r="AB75" i="39"/>
  <c r="AX22" i="39"/>
  <c r="R22" i="39"/>
  <c r="T22" i="39" s="1"/>
  <c r="R24" i="39"/>
  <c r="T24" i="39" s="1"/>
  <c r="AX24" i="39"/>
  <c r="X56" i="32"/>
  <c r="Z56" i="36"/>
  <c r="AB56" i="37"/>
  <c r="AB56" i="39"/>
  <c r="R19" i="39"/>
  <c r="T19" i="39" s="1"/>
  <c r="AX19" i="39"/>
  <c r="AK24" i="39"/>
  <c r="AK24" i="37"/>
  <c r="AC24" i="36"/>
  <c r="X80" i="32"/>
  <c r="Z80" i="36"/>
  <c r="AB80" i="39"/>
  <c r="AB80" i="37"/>
  <c r="AC38" i="36"/>
  <c r="AK38" i="37"/>
  <c r="AK38" i="39"/>
  <c r="AB52" i="37"/>
  <c r="Z52" i="36"/>
  <c r="AB52" i="39"/>
  <c r="P15" i="39"/>
  <c r="T15" i="37"/>
  <c r="N15" i="39"/>
  <c r="O15" i="39"/>
  <c r="M15" i="39"/>
  <c r="Q15" i="39"/>
  <c r="Q18" i="39"/>
  <c r="N18" i="39"/>
  <c r="T18" i="37"/>
  <c r="O18" i="39"/>
  <c r="M18" i="39"/>
  <c r="P18" i="39"/>
  <c r="AB79" i="37"/>
  <c r="AB79" i="39"/>
  <c r="Z79" i="36"/>
  <c r="AC11" i="36"/>
  <c r="AM11" i="36" s="1"/>
  <c r="AS11" i="36" s="1"/>
  <c r="AK11" i="39"/>
  <c r="AJ11" i="32"/>
  <c r="AP11" i="32" s="1"/>
  <c r="AK11" i="37"/>
  <c r="M32" i="39"/>
  <c r="T32" i="37"/>
  <c r="O32" i="39"/>
  <c r="N32" i="39"/>
  <c r="P32" i="39"/>
  <c r="Q32" i="39"/>
  <c r="N63" i="39"/>
  <c r="M63" i="39"/>
  <c r="T63" i="37"/>
  <c r="Q63" i="39"/>
  <c r="P63" i="39"/>
  <c r="O63" i="39"/>
  <c r="Z50" i="39"/>
  <c r="V50" i="39"/>
  <c r="Y50" i="39"/>
  <c r="X50" i="39"/>
  <c r="W50" i="39"/>
  <c r="AC50" i="37"/>
  <c r="AB82" i="37"/>
  <c r="Z82" i="36"/>
  <c r="AB82" i="39"/>
  <c r="AA47" i="36"/>
  <c r="Z47" i="32"/>
  <c r="AA47" i="32" s="1"/>
  <c r="AA57" i="36"/>
  <c r="Z57" i="32"/>
  <c r="AA57" i="32" s="1"/>
  <c r="V54" i="39"/>
  <c r="W54" i="39"/>
  <c r="Y54" i="39"/>
  <c r="X54" i="39"/>
  <c r="Z54" i="39"/>
  <c r="AC54" i="37"/>
  <c r="AK22" i="39"/>
  <c r="AC22" i="36"/>
  <c r="AK22" i="37"/>
  <c r="P74" i="39"/>
  <c r="T74" i="37"/>
  <c r="M74" i="39"/>
  <c r="N74" i="39"/>
  <c r="Q74" i="39"/>
  <c r="O74" i="39"/>
  <c r="Z20" i="32"/>
  <c r="AA20" i="36"/>
  <c r="X15" i="36"/>
  <c r="W15" i="32"/>
  <c r="X15" i="32" s="1"/>
  <c r="X11" i="39"/>
  <c r="Z11" i="39"/>
  <c r="V11" i="39"/>
  <c r="Y11" i="39"/>
  <c r="AC11" i="37"/>
  <c r="W11" i="39"/>
  <c r="Z23" i="39"/>
  <c r="AC23" i="37"/>
  <c r="Y23" i="39"/>
  <c r="W23" i="39"/>
  <c r="V23" i="39"/>
  <c r="X23" i="39"/>
  <c r="X63" i="36"/>
  <c r="W63" i="32"/>
  <c r="Z10" i="32"/>
  <c r="AA10" i="32" s="1"/>
  <c r="AA10" i="36"/>
  <c r="M62" i="39"/>
  <c r="T62" i="37"/>
  <c r="Q62" i="39"/>
  <c r="O62" i="39"/>
  <c r="P62" i="39"/>
  <c r="N62" i="39"/>
  <c r="M80" i="39"/>
  <c r="N80" i="39"/>
  <c r="T80" i="37"/>
  <c r="P80" i="39"/>
  <c r="O80" i="39"/>
  <c r="Q80" i="39"/>
  <c r="O56" i="39"/>
  <c r="N56" i="39"/>
  <c r="M56" i="39"/>
  <c r="T56" i="37"/>
  <c r="Q56" i="39"/>
  <c r="P56" i="39"/>
  <c r="P27" i="39"/>
  <c r="M27" i="39"/>
  <c r="Q27" i="39"/>
  <c r="O27" i="39"/>
  <c r="T27" i="37"/>
  <c r="N27" i="39"/>
  <c r="AI47" i="32"/>
  <c r="AO47" i="32" s="1"/>
  <c r="Z47" i="36"/>
  <c r="AB47" i="39"/>
  <c r="AB47" i="37"/>
  <c r="AB57" i="37"/>
  <c r="AB57" i="39"/>
  <c r="Z57" i="36"/>
  <c r="V21" i="39"/>
  <c r="AC21" i="37"/>
  <c r="Y21" i="39"/>
  <c r="W21" i="39"/>
  <c r="X21" i="39"/>
  <c r="Z21" i="39"/>
  <c r="X74" i="36"/>
  <c r="W74" i="32"/>
  <c r="N33" i="39"/>
  <c r="Q33" i="39"/>
  <c r="M33" i="39"/>
  <c r="T33" i="37"/>
  <c r="O33" i="39"/>
  <c r="P33" i="39"/>
  <c r="R37" i="39"/>
  <c r="T37" i="39" s="1"/>
  <c r="O13" i="39"/>
  <c r="Q13" i="39"/>
  <c r="T13" i="37"/>
  <c r="N13" i="39"/>
  <c r="P13" i="39"/>
  <c r="M13" i="39"/>
  <c r="X78" i="32"/>
  <c r="AB78" i="37"/>
  <c r="AB78" i="39"/>
  <c r="Z78" i="36"/>
  <c r="AB10" i="39"/>
  <c r="Z10" i="36"/>
  <c r="AL10" i="36" s="1"/>
  <c r="AR10" i="36" s="1"/>
  <c r="AI10" i="32"/>
  <c r="AO10" i="32" s="1"/>
  <c r="AB10" i="37"/>
  <c r="X62" i="36"/>
  <c r="W62" i="32"/>
  <c r="AX20" i="39"/>
  <c r="R20" i="39"/>
  <c r="T20" i="39" s="1"/>
  <c r="AX11" i="39"/>
  <c r="R11" i="39"/>
  <c r="T11" i="39" s="1"/>
  <c r="S87" i="39"/>
  <c r="W55" i="32"/>
  <c r="X55" i="36"/>
  <c r="I87" i="39"/>
  <c r="K56" i="39"/>
  <c r="K87" i="39" s="1"/>
  <c r="R42" i="39"/>
  <c r="T42" i="39" s="1"/>
  <c r="X58" i="36"/>
  <c r="W58" i="32"/>
  <c r="U85" i="32"/>
  <c r="Y17" i="39"/>
  <c r="X17" i="39"/>
  <c r="W17" i="39"/>
  <c r="V17" i="39"/>
  <c r="AC17" i="37"/>
  <c r="Z17" i="39"/>
  <c r="X19" i="39"/>
  <c r="Y19" i="39"/>
  <c r="V19" i="39"/>
  <c r="AC19" i="37"/>
  <c r="Z19" i="39"/>
  <c r="W19" i="39"/>
  <c r="AA19" i="32"/>
  <c r="AK19" i="39"/>
  <c r="AK19" i="37"/>
  <c r="AC19" i="36"/>
  <c r="Q10" i="39"/>
  <c r="M10" i="39"/>
  <c r="P10" i="39"/>
  <c r="T10" i="37"/>
  <c r="O10" i="39"/>
  <c r="N10" i="39"/>
  <c r="X32" i="36"/>
  <c r="W32" i="32"/>
  <c r="X32" i="32" s="1"/>
  <c r="R77" i="39"/>
  <c r="T77" i="39" s="1"/>
  <c r="AA49" i="36"/>
  <c r="Z49" i="32"/>
  <c r="P81" i="39"/>
  <c r="O81" i="39"/>
  <c r="N81" i="39"/>
  <c r="Q81" i="39"/>
  <c r="T81" i="37"/>
  <c r="M81" i="39"/>
  <c r="X52" i="32"/>
  <c r="P59" i="39"/>
  <c r="Q59" i="39"/>
  <c r="T59" i="37"/>
  <c r="N59" i="39"/>
  <c r="M59" i="39"/>
  <c r="O59" i="39"/>
  <c r="AC21" i="32"/>
  <c r="AD21" i="32" s="1"/>
  <c r="AD21" i="36"/>
  <c r="X18" i="32"/>
  <c r="Z18" i="36"/>
  <c r="AB18" i="37"/>
  <c r="AB18" i="39"/>
  <c r="W48" i="32"/>
  <c r="X48" i="32" s="1"/>
  <c r="X48" i="36"/>
  <c r="Z22" i="39"/>
  <c r="V22" i="39"/>
  <c r="Y22" i="39"/>
  <c r="AC22" i="37"/>
  <c r="X22" i="39"/>
  <c r="W22" i="39"/>
  <c r="Q25" i="39"/>
  <c r="O25" i="39"/>
  <c r="T25" i="37"/>
  <c r="M25" i="39"/>
  <c r="N25" i="39"/>
  <c r="P25" i="39"/>
  <c r="R30" i="39"/>
  <c r="T30" i="39" s="1"/>
  <c r="Q57" i="39"/>
  <c r="N57" i="39"/>
  <c r="T57" i="37"/>
  <c r="M57" i="39"/>
  <c r="O57" i="39"/>
  <c r="P57" i="39"/>
  <c r="P51" i="39"/>
  <c r="O51" i="39"/>
  <c r="T51" i="37"/>
  <c r="N51" i="39"/>
  <c r="M51" i="39"/>
  <c r="Q51" i="39"/>
  <c r="W16" i="39"/>
  <c r="AC16" i="37"/>
  <c r="V16" i="39"/>
  <c r="X16" i="39"/>
  <c r="Z16" i="39"/>
  <c r="Y16" i="39"/>
  <c r="Y26" i="39"/>
  <c r="W26" i="39"/>
  <c r="AC26" i="37"/>
  <c r="Z26" i="39"/>
  <c r="X26" i="39"/>
  <c r="V26" i="39"/>
  <c r="O83" i="39"/>
  <c r="P83" i="39"/>
  <c r="N83" i="39"/>
  <c r="M83" i="39"/>
  <c r="T83" i="37"/>
  <c r="Q83" i="39"/>
  <c r="AB49" i="37"/>
  <c r="Z49" i="36"/>
  <c r="AB49" i="39"/>
  <c r="X43" i="32"/>
  <c r="AB43" i="39"/>
  <c r="AI43" i="32"/>
  <c r="AO43" i="32" s="1"/>
  <c r="Z43" i="36"/>
  <c r="AB43" i="37"/>
  <c r="V20" i="39"/>
  <c r="Y20" i="39"/>
  <c r="Z20" i="39"/>
  <c r="X20" i="39"/>
  <c r="W20" i="39"/>
  <c r="AC20" i="37"/>
  <c r="X12" i="32"/>
  <c r="Q48" i="39"/>
  <c r="T48" i="37"/>
  <c r="O48" i="39"/>
  <c r="P48" i="39"/>
  <c r="N48" i="39"/>
  <c r="M48" i="39"/>
  <c r="X59" i="36"/>
  <c r="W59" i="32"/>
  <c r="X27" i="36"/>
  <c r="W27" i="32"/>
  <c r="X27" i="32" s="1"/>
  <c r="Q55" i="39"/>
  <c r="T55" i="37"/>
  <c r="O55" i="39"/>
  <c r="M55" i="39"/>
  <c r="P55" i="39"/>
  <c r="N55" i="39"/>
  <c r="AC21" i="36"/>
  <c r="AK21" i="39"/>
  <c r="AK21" i="37"/>
  <c r="R36" i="39"/>
  <c r="AB36" i="37"/>
  <c r="AB36" i="39"/>
  <c r="Z36" i="36"/>
  <c r="Z36" i="32"/>
  <c r="AA36" i="32" s="1"/>
  <c r="AA36" i="36"/>
  <c r="K36" i="39"/>
  <c r="I85" i="39"/>
  <c r="I86" i="39"/>
  <c r="W91" i="36" l="1"/>
  <c r="U94" i="32"/>
  <c r="AA26" i="39"/>
  <c r="AC26" i="39" s="1"/>
  <c r="X92" i="32"/>
  <c r="R73" i="39"/>
  <c r="T73" i="39" s="1"/>
  <c r="O87" i="39"/>
  <c r="R62" i="39"/>
  <c r="T62" i="39" s="1"/>
  <c r="O85" i="39"/>
  <c r="X88" i="36"/>
  <c r="X90" i="36" s="1"/>
  <c r="X91" i="36" s="1"/>
  <c r="P85" i="39"/>
  <c r="R83" i="39"/>
  <c r="T83" i="39" s="1"/>
  <c r="M86" i="39"/>
  <c r="Q86" i="39"/>
  <c r="R76" i="39"/>
  <c r="T76" i="39" s="1"/>
  <c r="N87" i="39"/>
  <c r="N85" i="39"/>
  <c r="R48" i="39"/>
  <c r="T48" i="39" s="1"/>
  <c r="X85" i="36"/>
  <c r="X89" i="36"/>
  <c r="Z15" i="32"/>
  <c r="AA15" i="32" s="1"/>
  <c r="AA15" i="36"/>
  <c r="Z13" i="32"/>
  <c r="AA13" i="32" s="1"/>
  <c r="AA13" i="36"/>
  <c r="AD10" i="36"/>
  <c r="AC10" i="32"/>
  <c r="Z32" i="32"/>
  <c r="AA32" i="32" s="1"/>
  <c r="AA32" i="36"/>
  <c r="Z48" i="32"/>
  <c r="AA48" i="36"/>
  <c r="X59" i="32"/>
  <c r="Z59" i="36"/>
  <c r="AB59" i="39"/>
  <c r="AB59" i="37"/>
  <c r="Z18" i="32"/>
  <c r="AA18" i="32" s="1"/>
  <c r="AA18" i="36"/>
  <c r="R57" i="39"/>
  <c r="T57" i="39" s="1"/>
  <c r="Z10" i="39"/>
  <c r="V10" i="39"/>
  <c r="W10" i="39"/>
  <c r="Y10" i="39"/>
  <c r="AC10" i="37"/>
  <c r="X10" i="39"/>
  <c r="AA54" i="39"/>
  <c r="AC54" i="39" s="1"/>
  <c r="AE53" i="39"/>
  <c r="AH53" i="39"/>
  <c r="AF53" i="39"/>
  <c r="AL53" i="37"/>
  <c r="AG53" i="39"/>
  <c r="AD38" i="32"/>
  <c r="AF38" i="36"/>
  <c r="AG38" i="36" s="1"/>
  <c r="AT38" i="37"/>
  <c r="AU38" i="37" s="1"/>
  <c r="AT38" i="39"/>
  <c r="AU38" i="39" s="1"/>
  <c r="X34" i="32"/>
  <c r="Z34" i="36"/>
  <c r="AB34" i="39"/>
  <c r="AB34" i="37"/>
  <c r="R9" i="39"/>
  <c r="T9" i="39" s="1"/>
  <c r="AX9" i="39"/>
  <c r="AF22" i="36"/>
  <c r="AG22" i="36" s="1"/>
  <c r="AT22" i="37"/>
  <c r="AU22" i="37" s="1"/>
  <c r="AT22" i="39"/>
  <c r="AU22" i="39" s="1"/>
  <c r="Z25" i="39"/>
  <c r="AC25" i="37"/>
  <c r="W25" i="39"/>
  <c r="V25" i="39"/>
  <c r="X25" i="39"/>
  <c r="Y25" i="39"/>
  <c r="R74" i="39"/>
  <c r="T74" i="39" s="1"/>
  <c r="AD57" i="36"/>
  <c r="AC57" i="32"/>
  <c r="AX18" i="39"/>
  <c r="R18" i="39"/>
  <c r="T18" i="39" s="1"/>
  <c r="Y75" i="39"/>
  <c r="AC75" i="37"/>
  <c r="X75" i="39"/>
  <c r="Z75" i="39"/>
  <c r="V75" i="39"/>
  <c r="W75" i="39"/>
  <c r="X30" i="39"/>
  <c r="W30" i="39"/>
  <c r="V30" i="39"/>
  <c r="AC30" i="37"/>
  <c r="Y30" i="39"/>
  <c r="Z30" i="39"/>
  <c r="AT54" i="37"/>
  <c r="AU54" i="37" s="1"/>
  <c r="AT54" i="39"/>
  <c r="AU54" i="39" s="1"/>
  <c r="AF54" i="36"/>
  <c r="AG54" i="36" s="1"/>
  <c r="X84" i="39"/>
  <c r="AC84" i="37"/>
  <c r="Y84" i="39"/>
  <c r="W84" i="39"/>
  <c r="Z84" i="39"/>
  <c r="V84" i="39"/>
  <c r="AD37" i="36"/>
  <c r="AC37" i="32"/>
  <c r="Z43" i="39"/>
  <c r="X43" i="39"/>
  <c r="W43" i="39"/>
  <c r="V43" i="39"/>
  <c r="AC43" i="37"/>
  <c r="Y43" i="39"/>
  <c r="AK10" i="39"/>
  <c r="AJ10" i="32"/>
  <c r="AP10" i="32" s="1"/>
  <c r="AK10" i="37"/>
  <c r="AC10" i="36"/>
  <c r="AM10" i="36" s="1"/>
  <c r="AS10" i="36" s="1"/>
  <c r="AY11" i="39"/>
  <c r="AA11" i="39"/>
  <c r="AC11" i="39" s="1"/>
  <c r="AC57" i="36"/>
  <c r="AK57" i="37"/>
  <c r="AK57" i="39"/>
  <c r="Z52" i="39"/>
  <c r="AC52" i="37"/>
  <c r="X52" i="39"/>
  <c r="V52" i="39"/>
  <c r="Y52" i="39"/>
  <c r="W52" i="39"/>
  <c r="R47" i="39"/>
  <c r="T47" i="39" s="1"/>
  <c r="AC33" i="37"/>
  <c r="X33" i="39"/>
  <c r="Y33" i="39"/>
  <c r="Z33" i="39"/>
  <c r="W33" i="39"/>
  <c r="V33" i="39"/>
  <c r="AD30" i="36"/>
  <c r="AC30" i="32"/>
  <c r="AY24" i="39"/>
  <c r="AA24" i="39"/>
  <c r="AC24" i="39" s="1"/>
  <c r="V12" i="39"/>
  <c r="Z12" i="39"/>
  <c r="W12" i="39"/>
  <c r="AC12" i="37"/>
  <c r="X12" i="39"/>
  <c r="Y12" i="39"/>
  <c r="AA84" i="36"/>
  <c r="Z84" i="32"/>
  <c r="AK37" i="39"/>
  <c r="AC37" i="36"/>
  <c r="AK37" i="37"/>
  <c r="AJ37" i="32"/>
  <c r="AP37" i="32" s="1"/>
  <c r="AA20" i="39"/>
  <c r="AC20" i="39" s="1"/>
  <c r="AY20" i="39"/>
  <c r="X63" i="32"/>
  <c r="AB63" i="39"/>
  <c r="Z63" i="36"/>
  <c r="AB63" i="37"/>
  <c r="AA50" i="39"/>
  <c r="AC50" i="39" s="1"/>
  <c r="Z75" i="32"/>
  <c r="AA75" i="36"/>
  <c r="X73" i="32"/>
  <c r="AB73" i="39"/>
  <c r="AB73" i="37"/>
  <c r="Z73" i="36"/>
  <c r="Z33" i="32"/>
  <c r="AA33" i="36"/>
  <c r="AC53" i="32"/>
  <c r="AD53" i="32" s="1"/>
  <c r="AD53" i="36"/>
  <c r="AK30" i="37"/>
  <c r="AC30" i="36"/>
  <c r="AK30" i="39"/>
  <c r="AD50" i="32"/>
  <c r="AT50" i="39"/>
  <c r="AU50" i="39" s="1"/>
  <c r="AF50" i="36"/>
  <c r="AG50" i="36" s="1"/>
  <c r="AT50" i="37"/>
  <c r="AU50" i="37" s="1"/>
  <c r="AT11" i="37"/>
  <c r="AU11" i="37" s="1"/>
  <c r="AK11" i="32"/>
  <c r="AQ11" i="32" s="1"/>
  <c r="AF11" i="36"/>
  <c r="AN11" i="36" s="1"/>
  <c r="AT11" i="36" s="1"/>
  <c r="AT11" i="39"/>
  <c r="AU11" i="39" s="1"/>
  <c r="Z77" i="32"/>
  <c r="AA77" i="36"/>
  <c r="O86" i="39"/>
  <c r="AY22" i="39"/>
  <c r="AA22" i="39"/>
  <c r="AC22" i="39" s="1"/>
  <c r="AA49" i="32"/>
  <c r="AK49" i="39"/>
  <c r="AC49" i="36"/>
  <c r="AK49" i="37"/>
  <c r="AY17" i="39"/>
  <c r="AA17" i="39"/>
  <c r="AC17" i="39" s="1"/>
  <c r="AY21" i="39"/>
  <c r="AA21" i="39"/>
  <c r="AC21" i="39" s="1"/>
  <c r="R27" i="39"/>
  <c r="T27" i="39" s="1"/>
  <c r="AE22" i="39"/>
  <c r="AH22" i="39"/>
  <c r="AL22" i="37"/>
  <c r="AG22" i="39"/>
  <c r="AF22" i="39"/>
  <c r="AD47" i="36"/>
  <c r="AC47" i="32"/>
  <c r="AD47" i="32" s="1"/>
  <c r="R32" i="39"/>
  <c r="T32" i="39" s="1"/>
  <c r="AG38" i="39"/>
  <c r="AH38" i="39"/>
  <c r="AE38" i="39"/>
  <c r="AL38" i="37"/>
  <c r="AF38" i="39"/>
  <c r="AC56" i="37"/>
  <c r="V56" i="39"/>
  <c r="W56" i="39"/>
  <c r="X56" i="39"/>
  <c r="Z56" i="39"/>
  <c r="Y56" i="39"/>
  <c r="AA45" i="36"/>
  <c r="Z45" i="32"/>
  <c r="AA45" i="32" s="1"/>
  <c r="R45" i="39"/>
  <c r="T45" i="39" s="1"/>
  <c r="AH50" i="39"/>
  <c r="AG50" i="39"/>
  <c r="AL50" i="37"/>
  <c r="AE50" i="39"/>
  <c r="AF50" i="39"/>
  <c r="AA37" i="39"/>
  <c r="AC37" i="39" s="1"/>
  <c r="AY16" i="39"/>
  <c r="AA16" i="39"/>
  <c r="AC16" i="39" s="1"/>
  <c r="R59" i="39"/>
  <c r="T59" i="39" s="1"/>
  <c r="M85" i="39"/>
  <c r="R51" i="39"/>
  <c r="T51" i="39" s="1"/>
  <c r="AG19" i="39"/>
  <c r="AE19" i="39"/>
  <c r="AF19" i="39"/>
  <c r="AH19" i="39"/>
  <c r="AL19" i="37"/>
  <c r="R80" i="39"/>
  <c r="T80" i="39" s="1"/>
  <c r="AC47" i="36"/>
  <c r="AK47" i="37"/>
  <c r="AK47" i="39"/>
  <c r="AJ47" i="32"/>
  <c r="AP47" i="32" s="1"/>
  <c r="AG11" i="39"/>
  <c r="AL11" i="37"/>
  <c r="AE11" i="39"/>
  <c r="AF11" i="39"/>
  <c r="AH11" i="39"/>
  <c r="AD16" i="36"/>
  <c r="AC16" i="32"/>
  <c r="AL17" i="37"/>
  <c r="AF17" i="39"/>
  <c r="AG17" i="39"/>
  <c r="AH17" i="39"/>
  <c r="AE17" i="39"/>
  <c r="AF21" i="39"/>
  <c r="AG21" i="39"/>
  <c r="AH21" i="39"/>
  <c r="AL21" i="37"/>
  <c r="AE21" i="39"/>
  <c r="Z79" i="39"/>
  <c r="W79" i="39"/>
  <c r="Y79" i="39"/>
  <c r="V79" i="39"/>
  <c r="X79" i="39"/>
  <c r="AC79" i="37"/>
  <c r="W78" i="39"/>
  <c r="V78" i="39"/>
  <c r="AC78" i="37"/>
  <c r="Y78" i="39"/>
  <c r="X78" i="39"/>
  <c r="Z78" i="39"/>
  <c r="R33" i="39"/>
  <c r="T33" i="39" s="1"/>
  <c r="P87" i="39"/>
  <c r="AY23" i="39"/>
  <c r="AA23" i="39"/>
  <c r="AC23" i="39" s="1"/>
  <c r="Z15" i="36"/>
  <c r="AL15" i="36" s="1"/>
  <c r="AR15" i="36" s="1"/>
  <c r="AB15" i="37"/>
  <c r="AI15" i="32"/>
  <c r="AO15" i="32" s="1"/>
  <c r="AB15" i="39"/>
  <c r="Y80" i="39"/>
  <c r="X80" i="39"/>
  <c r="W80" i="39"/>
  <c r="V80" i="39"/>
  <c r="AC80" i="37"/>
  <c r="Z80" i="39"/>
  <c r="AA56" i="36"/>
  <c r="Z56" i="32"/>
  <c r="AB45" i="37"/>
  <c r="Z45" i="36"/>
  <c r="AB45" i="39"/>
  <c r="W92" i="32"/>
  <c r="X9" i="32"/>
  <c r="AB9" i="37"/>
  <c r="AB9" i="39"/>
  <c r="AI9" i="32"/>
  <c r="Z9" i="36"/>
  <c r="AL9" i="36" s="1"/>
  <c r="W91" i="32"/>
  <c r="R79" i="39"/>
  <c r="T79" i="39" s="1"/>
  <c r="X76" i="32"/>
  <c r="Z76" i="36"/>
  <c r="AB76" i="39"/>
  <c r="AB76" i="37"/>
  <c r="AE54" i="39"/>
  <c r="AL54" i="37"/>
  <c r="AG54" i="39"/>
  <c r="AH54" i="39"/>
  <c r="AF54" i="39"/>
  <c r="AA42" i="39"/>
  <c r="AC42" i="39" s="1"/>
  <c r="AH26" i="39"/>
  <c r="AF26" i="39"/>
  <c r="AE26" i="39"/>
  <c r="AL26" i="37"/>
  <c r="AG26" i="39"/>
  <c r="AI13" i="32"/>
  <c r="AO13" i="32" s="1"/>
  <c r="AB13" i="39"/>
  <c r="Z13" i="36"/>
  <c r="AL13" i="36" s="1"/>
  <c r="AR13" i="36" s="1"/>
  <c r="AB13" i="37"/>
  <c r="AT21" i="39"/>
  <c r="AU21" i="39" s="1"/>
  <c r="AT21" i="37"/>
  <c r="AU21" i="37" s="1"/>
  <c r="AF21" i="36"/>
  <c r="AG21" i="36" s="1"/>
  <c r="X55" i="32"/>
  <c r="AB55" i="39"/>
  <c r="AB55" i="37"/>
  <c r="Z55" i="36"/>
  <c r="R25" i="39"/>
  <c r="T25" i="39" s="1"/>
  <c r="AX25" i="39"/>
  <c r="Z48" i="36"/>
  <c r="AB48" i="39"/>
  <c r="AB48" i="37"/>
  <c r="AC19" i="32"/>
  <c r="AD19" i="36"/>
  <c r="AA78" i="36"/>
  <c r="Z78" i="32"/>
  <c r="AA78" i="32" s="1"/>
  <c r="X57" i="39"/>
  <c r="V57" i="39"/>
  <c r="W57" i="39"/>
  <c r="Y57" i="39"/>
  <c r="Z57" i="39"/>
  <c r="AC57" i="37"/>
  <c r="Q87" i="39"/>
  <c r="AX15" i="39"/>
  <c r="R15" i="39"/>
  <c r="T15" i="39" s="1"/>
  <c r="AF24" i="36"/>
  <c r="AG24" i="36" s="1"/>
  <c r="AT24" i="37"/>
  <c r="AU24" i="37" s="1"/>
  <c r="AT24" i="39"/>
  <c r="AU24" i="39" s="1"/>
  <c r="R58" i="39"/>
  <c r="T58" i="39" s="1"/>
  <c r="AJ16" i="32"/>
  <c r="AP16" i="32" s="1"/>
  <c r="AK16" i="39"/>
  <c r="AK16" i="37"/>
  <c r="AC16" i="36"/>
  <c r="R78" i="39"/>
  <c r="T78" i="39" s="1"/>
  <c r="AD26" i="36"/>
  <c r="AC26" i="32"/>
  <c r="AF42" i="36"/>
  <c r="AG42" i="36" s="1"/>
  <c r="AK42" i="32"/>
  <c r="AQ42" i="32" s="1"/>
  <c r="AT42" i="37"/>
  <c r="AU42" i="37" s="1"/>
  <c r="AT42" i="39"/>
  <c r="AU42" i="39" s="1"/>
  <c r="AA19" i="39"/>
  <c r="AC19" i="39" s="1"/>
  <c r="AY19" i="39"/>
  <c r="R55" i="39"/>
  <c r="T55" i="39" s="1"/>
  <c r="AB32" i="39"/>
  <c r="Z32" i="36"/>
  <c r="AB32" i="37"/>
  <c r="AX13" i="39"/>
  <c r="R13" i="39"/>
  <c r="T13" i="39" s="1"/>
  <c r="W47" i="39"/>
  <c r="X47" i="39"/>
  <c r="V47" i="39"/>
  <c r="AC47" i="37"/>
  <c r="Y47" i="39"/>
  <c r="Z47" i="39"/>
  <c r="AA53" i="39"/>
  <c r="AC53" i="39" s="1"/>
  <c r="AC25" i="32"/>
  <c r="AD25" i="32" s="1"/>
  <c r="AD25" i="36"/>
  <c r="AA38" i="39"/>
  <c r="AC38" i="39" s="1"/>
  <c r="AA79" i="32"/>
  <c r="AK79" i="37"/>
  <c r="AC79" i="36"/>
  <c r="AK79" i="39"/>
  <c r="Z81" i="39"/>
  <c r="W81" i="39"/>
  <c r="X81" i="39"/>
  <c r="AC81" i="37"/>
  <c r="V81" i="39"/>
  <c r="Y81" i="39"/>
  <c r="AA51" i="36"/>
  <c r="Z51" i="32"/>
  <c r="AC17" i="32"/>
  <c r="AD17" i="32" s="1"/>
  <c r="AD17" i="36"/>
  <c r="AD23" i="32"/>
  <c r="AT23" i="39"/>
  <c r="AU23" i="39" s="1"/>
  <c r="AF23" i="36"/>
  <c r="AG23" i="36" s="1"/>
  <c r="AT23" i="37"/>
  <c r="AU23" i="37" s="1"/>
  <c r="AC82" i="32"/>
  <c r="AD82" i="36"/>
  <c r="AL24" i="37"/>
  <c r="AF24" i="39"/>
  <c r="AE24" i="39"/>
  <c r="AH24" i="39"/>
  <c r="AG24" i="39"/>
  <c r="Z81" i="32"/>
  <c r="AA81" i="36"/>
  <c r="AX10" i="39"/>
  <c r="R10" i="39"/>
  <c r="T10" i="39" s="1"/>
  <c r="Z43" i="32"/>
  <c r="AA43" i="36"/>
  <c r="N86" i="39"/>
  <c r="Q85" i="39"/>
  <c r="P86" i="39"/>
  <c r="AB27" i="37"/>
  <c r="AB27" i="39"/>
  <c r="Z27" i="36"/>
  <c r="X49" i="39"/>
  <c r="W49" i="39"/>
  <c r="Y49" i="39"/>
  <c r="AC49" i="37"/>
  <c r="Z49" i="39"/>
  <c r="V49" i="39"/>
  <c r="X18" i="39"/>
  <c r="V18" i="39"/>
  <c r="W18" i="39"/>
  <c r="AC18" i="37"/>
  <c r="Z18" i="39"/>
  <c r="Y18" i="39"/>
  <c r="AA52" i="36"/>
  <c r="Z52" i="32"/>
  <c r="AA52" i="32" s="1"/>
  <c r="X58" i="32"/>
  <c r="AB58" i="39"/>
  <c r="AB58" i="37"/>
  <c r="Z58" i="36"/>
  <c r="X74" i="32"/>
  <c r="AB74" i="39"/>
  <c r="Z74" i="36"/>
  <c r="AB74" i="37"/>
  <c r="R56" i="39"/>
  <c r="M87" i="39"/>
  <c r="AA20" i="32"/>
  <c r="AK20" i="39"/>
  <c r="AC20" i="36"/>
  <c r="AK20" i="37"/>
  <c r="AC82" i="37"/>
  <c r="X82" i="39"/>
  <c r="Y82" i="39"/>
  <c r="Z82" i="39"/>
  <c r="V82" i="39"/>
  <c r="W82" i="39"/>
  <c r="R63" i="39"/>
  <c r="T63" i="39" s="1"/>
  <c r="Z80" i="32"/>
  <c r="AA80" i="32" s="1"/>
  <c r="AA80" i="36"/>
  <c r="X77" i="39"/>
  <c r="Z77" i="39"/>
  <c r="W77" i="39"/>
  <c r="Y77" i="39"/>
  <c r="AC77" i="37"/>
  <c r="V77" i="39"/>
  <c r="AG23" i="39"/>
  <c r="AF23" i="39"/>
  <c r="AH23" i="39"/>
  <c r="AE23" i="39"/>
  <c r="AL23" i="37"/>
  <c r="AG42" i="39"/>
  <c r="AH42" i="39"/>
  <c r="AE42" i="39"/>
  <c r="AL42" i="37"/>
  <c r="AF42" i="39"/>
  <c r="Z83" i="32"/>
  <c r="AA83" i="36"/>
  <c r="AK82" i="39"/>
  <c r="AC82" i="36"/>
  <c r="AK82" i="37"/>
  <c r="Z12" i="32"/>
  <c r="AA12" i="32" s="1"/>
  <c r="AA12" i="36"/>
  <c r="AA27" i="36"/>
  <c r="Z27" i="32"/>
  <c r="AA27" i="32" s="1"/>
  <c r="W85" i="32"/>
  <c r="R81" i="39"/>
  <c r="T81" i="39" s="1"/>
  <c r="X62" i="32"/>
  <c r="Z62" i="36"/>
  <c r="AB62" i="39"/>
  <c r="AB62" i="37"/>
  <c r="AK25" i="37"/>
  <c r="AK25" i="39"/>
  <c r="AC25" i="36"/>
  <c r="R34" i="39"/>
  <c r="T34" i="39" s="1"/>
  <c r="AB83" i="37"/>
  <c r="AB83" i="39"/>
  <c r="Z83" i="36"/>
  <c r="AB51" i="39"/>
  <c r="AB51" i="37"/>
  <c r="Z51" i="36"/>
  <c r="AD22" i="32"/>
  <c r="K86" i="39"/>
  <c r="K85" i="39"/>
  <c r="V36" i="39"/>
  <c r="Z36" i="39"/>
  <c r="W36" i="39"/>
  <c r="X36" i="39"/>
  <c r="AC36" i="37"/>
  <c r="Y36" i="39"/>
  <c r="AC36" i="32"/>
  <c r="AD36" i="32" s="1"/>
  <c r="AD36" i="36"/>
  <c r="T36" i="39"/>
  <c r="AC36" i="36"/>
  <c r="AK36" i="39"/>
  <c r="AK36" i="37"/>
  <c r="AA77" i="39" l="1"/>
  <c r="AC77" i="39" s="1"/>
  <c r="AA84" i="39"/>
  <c r="AC84" i="39" s="1"/>
  <c r="AA49" i="39"/>
  <c r="AC49" i="39" s="1"/>
  <c r="AB85" i="39"/>
  <c r="AB87" i="39"/>
  <c r="Z89" i="36"/>
  <c r="AG11" i="36"/>
  <c r="AC45" i="32"/>
  <c r="AD45" i="36"/>
  <c r="AD52" i="36"/>
  <c r="AC52" i="32"/>
  <c r="AD52" i="32" s="1"/>
  <c r="AA83" i="32"/>
  <c r="AK83" i="39"/>
  <c r="AC83" i="36"/>
  <c r="AK83" i="37"/>
  <c r="Z74" i="32"/>
  <c r="AA74" i="36"/>
  <c r="AY18" i="39"/>
  <c r="AA18" i="39"/>
  <c r="AC18" i="39" s="1"/>
  <c r="Z48" i="39"/>
  <c r="X48" i="39"/>
  <c r="W48" i="39"/>
  <c r="V48" i="39"/>
  <c r="AC48" i="37"/>
  <c r="Y48" i="39"/>
  <c r="AO9" i="32"/>
  <c r="AI85" i="32"/>
  <c r="AI86" i="32" s="1"/>
  <c r="AA80" i="39"/>
  <c r="AC80" i="39" s="1"/>
  <c r="AJ21" i="39"/>
  <c r="AL21" i="39" s="1"/>
  <c r="AZ21" i="39"/>
  <c r="AJ50" i="39"/>
  <c r="AL50" i="39" s="1"/>
  <c r="AA56" i="39"/>
  <c r="AC49" i="32"/>
  <c r="AD49" i="32" s="1"/>
  <c r="AD49" i="36"/>
  <c r="Z63" i="32"/>
  <c r="AA63" i="36"/>
  <c r="AD37" i="32"/>
  <c r="AK37" i="32"/>
  <c r="AQ37" i="32" s="1"/>
  <c r="AT37" i="37"/>
  <c r="AU37" i="37" s="1"/>
  <c r="AF37" i="36"/>
  <c r="AG37" i="36" s="1"/>
  <c r="AT37" i="39"/>
  <c r="AU37" i="39" s="1"/>
  <c r="AA62" i="36"/>
  <c r="Z62" i="32"/>
  <c r="R86" i="39"/>
  <c r="AA81" i="39"/>
  <c r="AC81" i="39" s="1"/>
  <c r="AT25" i="39"/>
  <c r="AU25" i="39" s="1"/>
  <c r="AT25" i="37"/>
  <c r="AU25" i="37" s="1"/>
  <c r="AF25" i="36"/>
  <c r="AG25" i="36" s="1"/>
  <c r="AC73" i="37"/>
  <c r="Z73" i="39"/>
  <c r="W73" i="39"/>
  <c r="V73" i="39"/>
  <c r="Y73" i="39"/>
  <c r="X73" i="39"/>
  <c r="AC18" i="32"/>
  <c r="AD18" i="36"/>
  <c r="AK32" i="37"/>
  <c r="AC32" i="36"/>
  <c r="AK32" i="39"/>
  <c r="W32" i="39"/>
  <c r="V32" i="39"/>
  <c r="X32" i="39"/>
  <c r="Z32" i="39"/>
  <c r="AC32" i="37"/>
  <c r="Y32" i="39"/>
  <c r="AT16" i="39"/>
  <c r="AU16" i="39" s="1"/>
  <c r="AK16" i="32"/>
  <c r="AQ16" i="32" s="1"/>
  <c r="AT16" i="37"/>
  <c r="AU16" i="37" s="1"/>
  <c r="AF16" i="36"/>
  <c r="AG16" i="36" s="1"/>
  <c r="R85" i="39"/>
  <c r="V58" i="39"/>
  <c r="W58" i="39"/>
  <c r="Z58" i="39"/>
  <c r="AC58" i="37"/>
  <c r="Y58" i="39"/>
  <c r="X58" i="39"/>
  <c r="AA89" i="36"/>
  <c r="AT82" i="37"/>
  <c r="AU82" i="37" s="1"/>
  <c r="AT82" i="39"/>
  <c r="AU82" i="39" s="1"/>
  <c r="AF82" i="36"/>
  <c r="AG82" i="36" s="1"/>
  <c r="Y13" i="39"/>
  <c r="X13" i="39"/>
  <c r="Z13" i="39"/>
  <c r="AC13" i="37"/>
  <c r="V13" i="39"/>
  <c r="W13" i="39"/>
  <c r="Y9" i="39"/>
  <c r="W9" i="39"/>
  <c r="X9" i="39"/>
  <c r="AC9" i="37"/>
  <c r="V9" i="39"/>
  <c r="Z9" i="39"/>
  <c r="AZ19" i="39"/>
  <c r="AJ19" i="39"/>
  <c r="AL19" i="39" s="1"/>
  <c r="AT57" i="37"/>
  <c r="AU57" i="37" s="1"/>
  <c r="AF57" i="36"/>
  <c r="AG57" i="36" s="1"/>
  <c r="AT57" i="39"/>
  <c r="AU57" i="39" s="1"/>
  <c r="AD10" i="32"/>
  <c r="AT10" i="37"/>
  <c r="AU10" i="37" s="1"/>
  <c r="AT10" i="39"/>
  <c r="AU10" i="39" s="1"/>
  <c r="AK10" i="32"/>
  <c r="AQ10" i="32" s="1"/>
  <c r="AF10" i="36"/>
  <c r="AN10" i="36" s="1"/>
  <c r="AT10" i="36" s="1"/>
  <c r="AD19" i="32"/>
  <c r="AT19" i="39"/>
  <c r="AU19" i="39" s="1"/>
  <c r="AT19" i="37"/>
  <c r="AU19" i="37" s="1"/>
  <c r="AF19" i="36"/>
  <c r="AG19" i="36" s="1"/>
  <c r="Z9" i="32"/>
  <c r="AA9" i="36"/>
  <c r="X91" i="32"/>
  <c r="X93" i="32" s="1"/>
  <c r="X85" i="32"/>
  <c r="AZ11" i="39"/>
  <c r="AJ11" i="39"/>
  <c r="AL11" i="39" s="1"/>
  <c r="AJ22" i="39"/>
  <c r="AL22" i="39" s="1"/>
  <c r="AZ22" i="39"/>
  <c r="Z73" i="32"/>
  <c r="AA73" i="36"/>
  <c r="AA12" i="39"/>
  <c r="AC12" i="39" s="1"/>
  <c r="AY12" i="39"/>
  <c r="AL10" i="37"/>
  <c r="AH10" i="39"/>
  <c r="AF10" i="39"/>
  <c r="AE10" i="39"/>
  <c r="AG10" i="39"/>
  <c r="AA30" i="39"/>
  <c r="AC30" i="39" s="1"/>
  <c r="AC18" i="36"/>
  <c r="AK18" i="39"/>
  <c r="AK18" i="37"/>
  <c r="AG10" i="36"/>
  <c r="Z85" i="36"/>
  <c r="AA58" i="36"/>
  <c r="Z58" i="32"/>
  <c r="AA58" i="32" s="1"/>
  <c r="AJ54" i="39"/>
  <c r="AL54" i="39" s="1"/>
  <c r="AA78" i="39"/>
  <c r="AC78" i="39" s="1"/>
  <c r="AJ38" i="39"/>
  <c r="AL38" i="39" s="1"/>
  <c r="AL37" i="37"/>
  <c r="AF37" i="39"/>
  <c r="AE37" i="39"/>
  <c r="AG37" i="39"/>
  <c r="AH37" i="39"/>
  <c r="Z34" i="39"/>
  <c r="Y34" i="39"/>
  <c r="AC34" i="37"/>
  <c r="V34" i="39"/>
  <c r="X34" i="39"/>
  <c r="W34" i="39"/>
  <c r="AJ53" i="39"/>
  <c r="AL53" i="39" s="1"/>
  <c r="V59" i="39"/>
  <c r="W59" i="39"/>
  <c r="X59" i="39"/>
  <c r="Z59" i="39"/>
  <c r="AC59" i="37"/>
  <c r="Y59" i="39"/>
  <c r="AD13" i="36"/>
  <c r="AC13" i="32"/>
  <c r="AT26" i="37"/>
  <c r="AU26" i="37" s="1"/>
  <c r="AF26" i="36"/>
  <c r="AG26" i="36" s="1"/>
  <c r="AT26" i="39"/>
  <c r="AU26" i="39" s="1"/>
  <c r="AK33" i="37"/>
  <c r="AK33" i="39"/>
  <c r="AC33" i="36"/>
  <c r="AD27" i="36"/>
  <c r="AC27" i="32"/>
  <c r="AD27" i="32" s="1"/>
  <c r="Z88" i="36"/>
  <c r="Z90" i="36" s="1"/>
  <c r="AC12" i="32"/>
  <c r="AD12" i="36"/>
  <c r="AD80" i="36"/>
  <c r="AC80" i="32"/>
  <c r="AA57" i="39"/>
  <c r="AC57" i="39" s="1"/>
  <c r="V76" i="39"/>
  <c r="W76" i="39"/>
  <c r="Z76" i="39"/>
  <c r="Y76" i="39"/>
  <c r="X76" i="39"/>
  <c r="AC76" i="37"/>
  <c r="AJ17" i="39"/>
  <c r="AL17" i="39" s="1"/>
  <c r="AZ17" i="39"/>
  <c r="AA77" i="32"/>
  <c r="AC77" i="36"/>
  <c r="AK77" i="37"/>
  <c r="AK77" i="39"/>
  <c r="AH30" i="39"/>
  <c r="AE30" i="39"/>
  <c r="AF30" i="39"/>
  <c r="AG30" i="39"/>
  <c r="AL30" i="37"/>
  <c r="AA75" i="32"/>
  <c r="AK75" i="39"/>
  <c r="AC75" i="36"/>
  <c r="AK75" i="37"/>
  <c r="AA52" i="39"/>
  <c r="AC52" i="39" s="1"/>
  <c r="AB86" i="39"/>
  <c r="AA43" i="32"/>
  <c r="AK43" i="39"/>
  <c r="AC43" i="36"/>
  <c r="AK43" i="37"/>
  <c r="AJ43" i="32"/>
  <c r="AP43" i="32" s="1"/>
  <c r="AD20" i="36"/>
  <c r="AC20" i="32"/>
  <c r="AD20" i="32" s="1"/>
  <c r="AK52" i="37"/>
  <c r="AC52" i="36"/>
  <c r="AK52" i="39"/>
  <c r="AA47" i="39"/>
  <c r="AC47" i="39" s="1"/>
  <c r="Y55" i="39"/>
  <c r="W55" i="39"/>
  <c r="X55" i="39"/>
  <c r="Z55" i="39"/>
  <c r="V55" i="39"/>
  <c r="AC55" i="37"/>
  <c r="AC15" i="37"/>
  <c r="X15" i="39"/>
  <c r="W15" i="39"/>
  <c r="Y15" i="39"/>
  <c r="V15" i="39"/>
  <c r="Z15" i="39"/>
  <c r="AC45" i="36"/>
  <c r="AK45" i="37"/>
  <c r="AK45" i="39"/>
  <c r="Z92" i="32"/>
  <c r="AD30" i="32"/>
  <c r="AT30" i="39"/>
  <c r="AU30" i="39" s="1"/>
  <c r="AF30" i="36"/>
  <c r="AG30" i="36" s="1"/>
  <c r="AT30" i="37"/>
  <c r="AU30" i="37" s="1"/>
  <c r="AK13" i="37"/>
  <c r="AC13" i="36"/>
  <c r="AM13" i="36" s="1"/>
  <c r="AS13" i="36" s="1"/>
  <c r="AJ13" i="32"/>
  <c r="AP13" i="32" s="1"/>
  <c r="AK13" i="39"/>
  <c r="AR9" i="36"/>
  <c r="AL85" i="36"/>
  <c r="AL86" i="36" s="1"/>
  <c r="AH25" i="39"/>
  <c r="AL25" i="37"/>
  <c r="AE25" i="39"/>
  <c r="AF25" i="39"/>
  <c r="AG25" i="39"/>
  <c r="AK12" i="39"/>
  <c r="AK12" i="37"/>
  <c r="AJ12" i="32"/>
  <c r="AP12" i="32" s="1"/>
  <c r="AC12" i="36"/>
  <c r="AM12" i="36" s="1"/>
  <c r="AS12" i="36" s="1"/>
  <c r="AZ23" i="39"/>
  <c r="AJ23" i="39"/>
  <c r="AL23" i="39" s="1"/>
  <c r="AC80" i="36"/>
  <c r="AK80" i="39"/>
  <c r="AK80" i="37"/>
  <c r="AA81" i="32"/>
  <c r="AK81" i="39"/>
  <c r="AC81" i="36"/>
  <c r="AK81" i="37"/>
  <c r="AD78" i="36"/>
  <c r="AC78" i="32"/>
  <c r="Z45" i="39"/>
  <c r="X45" i="39"/>
  <c r="AC45" i="37"/>
  <c r="Y45" i="39"/>
  <c r="V45" i="39"/>
  <c r="W45" i="39"/>
  <c r="AA75" i="39"/>
  <c r="AC75" i="39" s="1"/>
  <c r="AY25" i="39"/>
  <c r="AA25" i="39"/>
  <c r="AC25" i="39" s="1"/>
  <c r="AA34" i="36"/>
  <c r="Z34" i="32"/>
  <c r="AA59" i="36"/>
  <c r="Z59" i="32"/>
  <c r="Z83" i="39"/>
  <c r="V83" i="39"/>
  <c r="X83" i="39"/>
  <c r="W83" i="39"/>
  <c r="AC83" i="37"/>
  <c r="Y83" i="39"/>
  <c r="AJ42" i="39"/>
  <c r="AL42" i="39" s="1"/>
  <c r="AF20" i="39"/>
  <c r="AH20" i="39"/>
  <c r="AL20" i="37"/>
  <c r="AE20" i="39"/>
  <c r="AG20" i="39"/>
  <c r="AH16" i="39"/>
  <c r="AL16" i="37"/>
  <c r="AF16" i="39"/>
  <c r="AG16" i="39"/>
  <c r="AE16" i="39"/>
  <c r="X62" i="39"/>
  <c r="V62" i="39"/>
  <c r="Z62" i="39"/>
  <c r="AC62" i="37"/>
  <c r="W62" i="39"/>
  <c r="Y62" i="39"/>
  <c r="AG82" i="39"/>
  <c r="AE82" i="39"/>
  <c r="AL82" i="37"/>
  <c r="AH82" i="39"/>
  <c r="AF82" i="39"/>
  <c r="R87" i="39"/>
  <c r="T56" i="39"/>
  <c r="T87" i="39" s="1"/>
  <c r="AF79" i="39"/>
  <c r="AH79" i="39"/>
  <c r="AG79" i="39"/>
  <c r="AE79" i="39"/>
  <c r="AL79" i="37"/>
  <c r="AK78" i="39"/>
  <c r="AK78" i="37"/>
  <c r="AC78" i="36"/>
  <c r="Z55" i="32"/>
  <c r="AA55" i="36"/>
  <c r="AJ26" i="39"/>
  <c r="AL26" i="39" s="1"/>
  <c r="Z76" i="32"/>
  <c r="AA76" i="36"/>
  <c r="AA56" i="32"/>
  <c r="AK56" i="37"/>
  <c r="AC56" i="36"/>
  <c r="AK56" i="39"/>
  <c r="AA79" i="39"/>
  <c r="AC79" i="39" s="1"/>
  <c r="AL47" i="37"/>
  <c r="AG47" i="39"/>
  <c r="AH47" i="39"/>
  <c r="AF47" i="39"/>
  <c r="AE47" i="39"/>
  <c r="AT53" i="37"/>
  <c r="AU53" i="37" s="1"/>
  <c r="AT53" i="39"/>
  <c r="AU53" i="39" s="1"/>
  <c r="AF53" i="36"/>
  <c r="AG53" i="36" s="1"/>
  <c r="AA84" i="32"/>
  <c r="AC84" i="36"/>
  <c r="AK84" i="37"/>
  <c r="AK84" i="39"/>
  <c r="AA33" i="39"/>
  <c r="AC33" i="39" s="1"/>
  <c r="AA43" i="39"/>
  <c r="AC43" i="39" s="1"/>
  <c r="AC15" i="32"/>
  <c r="AD15" i="32" s="1"/>
  <c r="AD15" i="36"/>
  <c r="AD32" i="36"/>
  <c r="AC32" i="32"/>
  <c r="AD32" i="32" s="1"/>
  <c r="W74" i="39"/>
  <c r="X74" i="39"/>
  <c r="AC74" i="37"/>
  <c r="Z74" i="39"/>
  <c r="Y74" i="39"/>
  <c r="V74" i="39"/>
  <c r="AT17" i="37"/>
  <c r="AU17" i="37" s="1"/>
  <c r="AF17" i="36"/>
  <c r="AG17" i="36" s="1"/>
  <c r="AT17" i="39"/>
  <c r="AU17" i="39" s="1"/>
  <c r="AD79" i="36"/>
  <c r="AC79" i="32"/>
  <c r="AT47" i="37"/>
  <c r="AU47" i="37" s="1"/>
  <c r="AF47" i="36"/>
  <c r="AG47" i="36" s="1"/>
  <c r="AT47" i="39"/>
  <c r="AU47" i="39" s="1"/>
  <c r="AK47" i="32"/>
  <c r="AQ47" i="32" s="1"/>
  <c r="AG49" i="39"/>
  <c r="AH49" i="39"/>
  <c r="AF49" i="39"/>
  <c r="AE49" i="39"/>
  <c r="AL49" i="37"/>
  <c r="AA33" i="32"/>
  <c r="Z63" i="39"/>
  <c r="Y63" i="39"/>
  <c r="V63" i="39"/>
  <c r="W63" i="39"/>
  <c r="X63" i="39"/>
  <c r="AC63" i="37"/>
  <c r="AA48" i="32"/>
  <c r="AC48" i="36"/>
  <c r="AK48" i="37"/>
  <c r="AK48" i="39"/>
  <c r="AK27" i="37"/>
  <c r="AK27" i="39"/>
  <c r="AC27" i="36"/>
  <c r="AC51" i="37"/>
  <c r="Z51" i="39"/>
  <c r="X51" i="39"/>
  <c r="V51" i="39"/>
  <c r="Y51" i="39"/>
  <c r="W51" i="39"/>
  <c r="AA82" i="39"/>
  <c r="AC82" i="39" s="1"/>
  <c r="AC27" i="37"/>
  <c r="V27" i="39"/>
  <c r="W27" i="39"/>
  <c r="X27" i="39"/>
  <c r="Y27" i="39"/>
  <c r="Z27" i="39"/>
  <c r="AZ24" i="39"/>
  <c r="AJ24" i="39"/>
  <c r="AL24" i="39" s="1"/>
  <c r="AA51" i="32"/>
  <c r="AK51" i="37"/>
  <c r="AK51" i="39"/>
  <c r="AC51" i="36"/>
  <c r="AD26" i="32"/>
  <c r="W93" i="32"/>
  <c r="W94" i="32" s="1"/>
  <c r="AD16" i="32"/>
  <c r="AL57" i="37"/>
  <c r="AF57" i="39"/>
  <c r="AG57" i="39"/>
  <c r="AH57" i="39"/>
  <c r="AE57" i="39"/>
  <c r="AA10" i="39"/>
  <c r="AC10" i="39" s="1"/>
  <c r="AY10" i="39"/>
  <c r="AK15" i="37"/>
  <c r="AK15" i="39"/>
  <c r="AC15" i="36"/>
  <c r="AM15" i="36" s="1"/>
  <c r="AS15" i="36" s="1"/>
  <c r="AJ15" i="32"/>
  <c r="AP15" i="32" s="1"/>
  <c r="AA36" i="39"/>
  <c r="AG36" i="39"/>
  <c r="AE36" i="39"/>
  <c r="AH36" i="39"/>
  <c r="AL36" i="37"/>
  <c r="AF36" i="39"/>
  <c r="T86" i="39"/>
  <c r="AT36" i="37"/>
  <c r="AU36" i="37" s="1"/>
  <c r="AF36" i="36"/>
  <c r="AT36" i="39"/>
  <c r="AJ57" i="39" l="1"/>
  <c r="AL57" i="39" s="1"/>
  <c r="X87" i="39"/>
  <c r="Y87" i="39"/>
  <c r="Z91" i="36"/>
  <c r="Y85" i="39"/>
  <c r="X94" i="32"/>
  <c r="W86" i="39"/>
  <c r="Z87" i="39"/>
  <c r="W87" i="39"/>
  <c r="Z85" i="39"/>
  <c r="X86" i="39"/>
  <c r="Y86" i="39"/>
  <c r="AA62" i="39"/>
  <c r="AC62" i="39" s="1"/>
  <c r="AJ47" i="39"/>
  <c r="AL47" i="39" s="1"/>
  <c r="Z86" i="39"/>
  <c r="AJ49" i="39"/>
  <c r="AL49" i="39" s="1"/>
  <c r="AF81" i="39"/>
  <c r="AG81" i="39"/>
  <c r="AE81" i="39"/>
  <c r="AL81" i="37"/>
  <c r="AH81" i="39"/>
  <c r="AC33" i="32"/>
  <c r="AD33" i="36"/>
  <c r="AT79" i="37"/>
  <c r="AU79" i="37" s="1"/>
  <c r="AT79" i="39"/>
  <c r="AU79" i="39" s="1"/>
  <c r="AF79" i="36"/>
  <c r="AG79" i="36" s="1"/>
  <c r="AF32" i="36"/>
  <c r="AG32" i="36" s="1"/>
  <c r="AT32" i="39"/>
  <c r="AU32" i="39" s="1"/>
  <c r="AT32" i="37"/>
  <c r="AU32" i="37" s="1"/>
  <c r="AD56" i="36"/>
  <c r="AC56" i="32"/>
  <c r="AT20" i="37"/>
  <c r="AU20" i="37" s="1"/>
  <c r="AT20" i="39"/>
  <c r="AU20" i="39" s="1"/>
  <c r="AF20" i="36"/>
  <c r="AG20" i="36" s="1"/>
  <c r="AT12" i="37"/>
  <c r="AU12" i="37" s="1"/>
  <c r="AF12" i="36"/>
  <c r="AN12" i="36" s="1"/>
  <c r="AT12" i="36" s="1"/>
  <c r="AK12" i="32"/>
  <c r="AQ12" i="32" s="1"/>
  <c r="AT12" i="39"/>
  <c r="AU12" i="39" s="1"/>
  <c r="AY13" i="39"/>
  <c r="AA13" i="39"/>
  <c r="AC13" i="39" s="1"/>
  <c r="AA32" i="39"/>
  <c r="AC32" i="39" s="1"/>
  <c r="AL27" i="37"/>
  <c r="AE27" i="39"/>
  <c r="AH27" i="39"/>
  <c r="AF27" i="39"/>
  <c r="AG27" i="39"/>
  <c r="AD75" i="36"/>
  <c r="AC75" i="32"/>
  <c r="AA34" i="39"/>
  <c r="AC34" i="39" s="1"/>
  <c r="AC58" i="32"/>
  <c r="AD58" i="36"/>
  <c r="AA85" i="36"/>
  <c r="AA88" i="36"/>
  <c r="AA90" i="36" s="1"/>
  <c r="AA74" i="32"/>
  <c r="AK74" i="37"/>
  <c r="AK74" i="39"/>
  <c r="AC74" i="36"/>
  <c r="AA27" i="39"/>
  <c r="AC27" i="39" s="1"/>
  <c r="AA76" i="32"/>
  <c r="AK76" i="37"/>
  <c r="AK76" i="39"/>
  <c r="AC76" i="36"/>
  <c r="AC81" i="32"/>
  <c r="AD81" i="36"/>
  <c r="AZ25" i="39"/>
  <c r="AJ25" i="39"/>
  <c r="AL25" i="39" s="1"/>
  <c r="AA55" i="39"/>
  <c r="AC55" i="39" s="1"/>
  <c r="AD13" i="32"/>
  <c r="AK13" i="32"/>
  <c r="AQ13" i="32" s="1"/>
  <c r="AT13" i="39"/>
  <c r="AU13" i="39" s="1"/>
  <c r="AF13" i="36"/>
  <c r="AN13" i="36" s="1"/>
  <c r="AT13" i="36" s="1"/>
  <c r="AT13" i="37"/>
  <c r="AU13" i="37" s="1"/>
  <c r="AK58" i="39"/>
  <c r="AK58" i="37"/>
  <c r="AC58" i="36"/>
  <c r="AA9" i="32"/>
  <c r="AK9" i="39"/>
  <c r="AC9" i="36"/>
  <c r="AJ9" i="32"/>
  <c r="AK9" i="37"/>
  <c r="Z91" i="32"/>
  <c r="Z93" i="32" s="1"/>
  <c r="Z85" i="32"/>
  <c r="AA58" i="39"/>
  <c r="AC58" i="39" s="1"/>
  <c r="AH83" i="39"/>
  <c r="AE83" i="39"/>
  <c r="AF83" i="39"/>
  <c r="AG83" i="39"/>
  <c r="AL83" i="37"/>
  <c r="W85" i="39"/>
  <c r="AH80" i="39"/>
  <c r="AE80" i="39"/>
  <c r="AL80" i="37"/>
  <c r="AG80" i="39"/>
  <c r="AF80" i="39"/>
  <c r="AF43" i="39"/>
  <c r="AH43" i="39"/>
  <c r="AE43" i="39"/>
  <c r="AG43" i="39"/>
  <c r="AL43" i="37"/>
  <c r="X85" i="39"/>
  <c r="AF48" i="39"/>
  <c r="AH48" i="39"/>
  <c r="AE48" i="39"/>
  <c r="AL48" i="37"/>
  <c r="AG48" i="39"/>
  <c r="AT15" i="39"/>
  <c r="AU15" i="39" s="1"/>
  <c r="AF15" i="36"/>
  <c r="AN15" i="36" s="1"/>
  <c r="AT15" i="36" s="1"/>
  <c r="AT15" i="37"/>
  <c r="AU15" i="37" s="1"/>
  <c r="AK15" i="32"/>
  <c r="AQ15" i="32" s="1"/>
  <c r="AA45" i="39"/>
  <c r="AC45" i="39" s="1"/>
  <c r="AC89" i="36"/>
  <c r="AT27" i="37"/>
  <c r="AU27" i="37" s="1"/>
  <c r="AF27" i="36"/>
  <c r="AG27" i="36" s="1"/>
  <c r="AT27" i="39"/>
  <c r="AU27" i="39" s="1"/>
  <c r="AE32" i="39"/>
  <c r="AH32" i="39"/>
  <c r="AF32" i="39"/>
  <c r="AL32" i="37"/>
  <c r="AG32" i="39"/>
  <c r="AA63" i="32"/>
  <c r="AK63" i="39"/>
  <c r="AC63" i="36"/>
  <c r="AK63" i="37"/>
  <c r="T85" i="39"/>
  <c r="V86" i="39"/>
  <c r="AC48" i="32"/>
  <c r="AD48" i="32" s="1"/>
  <c r="AD48" i="36"/>
  <c r="AA74" i="39"/>
  <c r="AC74" i="39" s="1"/>
  <c r="AA55" i="32"/>
  <c r="AK55" i="39"/>
  <c r="AK55" i="37"/>
  <c r="AC55" i="36"/>
  <c r="AL45" i="37"/>
  <c r="AF45" i="39"/>
  <c r="AH45" i="39"/>
  <c r="AG45" i="39"/>
  <c r="AE45" i="39"/>
  <c r="AJ30" i="39"/>
  <c r="AL30" i="39" s="1"/>
  <c r="AD83" i="36"/>
  <c r="AC83" i="32"/>
  <c r="AL51" i="37"/>
  <c r="AE51" i="39"/>
  <c r="AF51" i="39"/>
  <c r="AG51" i="39"/>
  <c r="AH51" i="39"/>
  <c r="AA83" i="39"/>
  <c r="AC83" i="39" s="1"/>
  <c r="AC43" i="32"/>
  <c r="AD43" i="32" s="1"/>
  <c r="AD43" i="36"/>
  <c r="AA92" i="32"/>
  <c r="AA76" i="39"/>
  <c r="AC76" i="39" s="1"/>
  <c r="AG18" i="39"/>
  <c r="AE18" i="39"/>
  <c r="AF18" i="39"/>
  <c r="AH18" i="39"/>
  <c r="AL18" i="37"/>
  <c r="AA73" i="32"/>
  <c r="AK73" i="37"/>
  <c r="AK73" i="39"/>
  <c r="AC73" i="36"/>
  <c r="AY9" i="39"/>
  <c r="AA9" i="39"/>
  <c r="AC9" i="39" s="1"/>
  <c r="AD18" i="32"/>
  <c r="AT18" i="39"/>
  <c r="AU18" i="39" s="1"/>
  <c r="AT18" i="37"/>
  <c r="AU18" i="37" s="1"/>
  <c r="AF18" i="36"/>
  <c r="AG18" i="36" s="1"/>
  <c r="AA48" i="39"/>
  <c r="AC48" i="39" s="1"/>
  <c r="AG56" i="39"/>
  <c r="AE56" i="39"/>
  <c r="AF56" i="39"/>
  <c r="AL56" i="37"/>
  <c r="AH56" i="39"/>
  <c r="AD51" i="36"/>
  <c r="AC51" i="32"/>
  <c r="AD51" i="32" s="1"/>
  <c r="AA51" i="39"/>
  <c r="AC51" i="39" s="1"/>
  <c r="AE78" i="39"/>
  <c r="AL78" i="37"/>
  <c r="AG78" i="39"/>
  <c r="AH78" i="39"/>
  <c r="AF78" i="39"/>
  <c r="AJ82" i="39"/>
  <c r="AL82" i="39" s="1"/>
  <c r="AJ37" i="39"/>
  <c r="AL37" i="39" s="1"/>
  <c r="AA62" i="32"/>
  <c r="AC62" i="36"/>
  <c r="AK62" i="37"/>
  <c r="AK62" i="39"/>
  <c r="AF49" i="36"/>
  <c r="AG49" i="36" s="1"/>
  <c r="AT49" i="39"/>
  <c r="AU49" i="39" s="1"/>
  <c r="AT49" i="37"/>
  <c r="AU49" i="37" s="1"/>
  <c r="AT52" i="39"/>
  <c r="AU52" i="39" s="1"/>
  <c r="AT52" i="37"/>
  <c r="AU52" i="37" s="1"/>
  <c r="AF52" i="36"/>
  <c r="AG52" i="36" s="1"/>
  <c r="AZ10" i="39"/>
  <c r="AJ10" i="39"/>
  <c r="AL10" i="39" s="1"/>
  <c r="AZ16" i="39"/>
  <c r="AJ16" i="39"/>
  <c r="AL16" i="39" s="1"/>
  <c r="AG84" i="39"/>
  <c r="AL84" i="37"/>
  <c r="AF84" i="39"/>
  <c r="AE84" i="39"/>
  <c r="AH84" i="39"/>
  <c r="AA59" i="32"/>
  <c r="AK59" i="39"/>
  <c r="AC59" i="36"/>
  <c r="AK59" i="37"/>
  <c r="AY15" i="39"/>
  <c r="AA15" i="39"/>
  <c r="AC15" i="39" s="1"/>
  <c r="AG77" i="39"/>
  <c r="AH77" i="39"/>
  <c r="AL77" i="37"/>
  <c r="AE77" i="39"/>
  <c r="AF77" i="39"/>
  <c r="AT80" i="37"/>
  <c r="AU80" i="37" s="1"/>
  <c r="AF80" i="36"/>
  <c r="AG80" i="36" s="1"/>
  <c r="AT80" i="39"/>
  <c r="AU80" i="39" s="1"/>
  <c r="V87" i="39"/>
  <c r="V85" i="39"/>
  <c r="AA63" i="39"/>
  <c r="AC63" i="39" s="1"/>
  <c r="AZ20" i="39"/>
  <c r="AJ20" i="39"/>
  <c r="AL20" i="39" s="1"/>
  <c r="AT78" i="39"/>
  <c r="AU78" i="39" s="1"/>
  <c r="AF78" i="36"/>
  <c r="AG78" i="36" s="1"/>
  <c r="AT78" i="37"/>
  <c r="AU78" i="37" s="1"/>
  <c r="AG33" i="39"/>
  <c r="AF33" i="39"/>
  <c r="AE33" i="39"/>
  <c r="AL33" i="37"/>
  <c r="AH33" i="39"/>
  <c r="AA59" i="39"/>
  <c r="AC59" i="39" s="1"/>
  <c r="AA73" i="39"/>
  <c r="AC73" i="39" s="1"/>
  <c r="AC56" i="39"/>
  <c r="AH15" i="39"/>
  <c r="AG15" i="39"/>
  <c r="AF15" i="39"/>
  <c r="AE15" i="39"/>
  <c r="AL15" i="37"/>
  <c r="AD84" i="36"/>
  <c r="AC84" i="32"/>
  <c r="AJ79" i="39"/>
  <c r="AL79" i="39" s="1"/>
  <c r="AA34" i="32"/>
  <c r="AK34" i="37"/>
  <c r="AC34" i="36"/>
  <c r="AK34" i="39"/>
  <c r="AL12" i="37"/>
  <c r="AF12" i="39"/>
  <c r="AE12" i="39"/>
  <c r="AH12" i="39"/>
  <c r="AG12" i="39"/>
  <c r="AG13" i="39"/>
  <c r="AE13" i="39"/>
  <c r="AF13" i="39"/>
  <c r="AL13" i="37"/>
  <c r="AH13" i="39"/>
  <c r="AF52" i="39"/>
  <c r="AG52" i="39"/>
  <c r="AE52" i="39"/>
  <c r="AL52" i="37"/>
  <c r="AH52" i="39"/>
  <c r="AE75" i="39"/>
  <c r="AL75" i="37"/>
  <c r="AH75" i="39"/>
  <c r="AG75" i="39"/>
  <c r="AF75" i="39"/>
  <c r="AC77" i="32"/>
  <c r="AD77" i="36"/>
  <c r="AD12" i="32"/>
  <c r="AD45" i="32"/>
  <c r="AT45" i="37"/>
  <c r="AU45" i="37" s="1"/>
  <c r="AT45" i="39"/>
  <c r="AU45" i="39" s="1"/>
  <c r="AF45" i="36"/>
  <c r="AG45" i="36" s="1"/>
  <c r="AC36" i="39"/>
  <c r="AU36" i="39"/>
  <c r="AG36" i="36"/>
  <c r="AJ36" i="39"/>
  <c r="AA87" i="39" l="1"/>
  <c r="Z94" i="32"/>
  <c r="AJ43" i="39"/>
  <c r="AL43" i="39" s="1"/>
  <c r="AK87" i="39"/>
  <c r="AJ75" i="39"/>
  <c r="AL75" i="39" s="1"/>
  <c r="AC87" i="39"/>
  <c r="AG12" i="36"/>
  <c r="AA91" i="36"/>
  <c r="AC59" i="32"/>
  <c r="AD59" i="36"/>
  <c r="AL58" i="37"/>
  <c r="AH58" i="39"/>
  <c r="AE58" i="39"/>
  <c r="AF58" i="39"/>
  <c r="AG58" i="39"/>
  <c r="AT58" i="39"/>
  <c r="AU58" i="39" s="1"/>
  <c r="AT58" i="37"/>
  <c r="AU58" i="37" s="1"/>
  <c r="AF58" i="36"/>
  <c r="AG58" i="36" s="1"/>
  <c r="AJ51" i="39"/>
  <c r="AL51" i="39" s="1"/>
  <c r="AF55" i="39"/>
  <c r="AH55" i="39"/>
  <c r="AE55" i="39"/>
  <c r="AL55" i="37"/>
  <c r="AG55" i="39"/>
  <c r="AD63" i="36"/>
  <c r="AC63" i="32"/>
  <c r="AJ83" i="39"/>
  <c r="AL83" i="39" s="1"/>
  <c r="AJ12" i="39"/>
  <c r="AL12" i="39" s="1"/>
  <c r="AZ12" i="39"/>
  <c r="AG76" i="39"/>
  <c r="AE76" i="39"/>
  <c r="AH76" i="39"/>
  <c r="AF76" i="39"/>
  <c r="AL76" i="37"/>
  <c r="AT75" i="37"/>
  <c r="AU75" i="37" s="1"/>
  <c r="AT75" i="39"/>
  <c r="AU75" i="39" s="1"/>
  <c r="AF75" i="36"/>
  <c r="AG75" i="36" s="1"/>
  <c r="AJ15" i="39"/>
  <c r="AL15" i="39" s="1"/>
  <c r="AZ15" i="39"/>
  <c r="AC55" i="32"/>
  <c r="AD55" i="36"/>
  <c r="AD76" i="36"/>
  <c r="AC76" i="32"/>
  <c r="AT81" i="39"/>
  <c r="AU81" i="39" s="1"/>
  <c r="AT81" i="37"/>
  <c r="AU81" i="37" s="1"/>
  <c r="AF81" i="36"/>
  <c r="AG81" i="36" s="1"/>
  <c r="AJ78" i="39"/>
  <c r="AL78" i="39" s="1"/>
  <c r="AJ77" i="39"/>
  <c r="AL77" i="39" s="1"/>
  <c r="AT83" i="39"/>
  <c r="AU83" i="39" s="1"/>
  <c r="AF83" i="36"/>
  <c r="AG83" i="36" s="1"/>
  <c r="AT83" i="37"/>
  <c r="AU83" i="37" s="1"/>
  <c r="AA85" i="39"/>
  <c r="AG34" i="39"/>
  <c r="AE34" i="39"/>
  <c r="AL34" i="37"/>
  <c r="AH34" i="39"/>
  <c r="AF34" i="39"/>
  <c r="AH62" i="39"/>
  <c r="AL62" i="37"/>
  <c r="AG62" i="39"/>
  <c r="AE62" i="39"/>
  <c r="AF62" i="39"/>
  <c r="AT51" i="39"/>
  <c r="AU51" i="39" s="1"/>
  <c r="AF51" i="36"/>
  <c r="AG51" i="36" s="1"/>
  <c r="AT51" i="37"/>
  <c r="AU51" i="37" s="1"/>
  <c r="AD33" i="32"/>
  <c r="AT33" i="39"/>
  <c r="AU33" i="39" s="1"/>
  <c r="AT33" i="37"/>
  <c r="AU33" i="37" s="1"/>
  <c r="AF33" i="36"/>
  <c r="AG33" i="36" s="1"/>
  <c r="AC34" i="32"/>
  <c r="AD34" i="36"/>
  <c r="AJ32" i="39"/>
  <c r="AL32" i="39" s="1"/>
  <c r="AJ48" i="39"/>
  <c r="AL48" i="39" s="1"/>
  <c r="AL9" i="37"/>
  <c r="AH9" i="39"/>
  <c r="AE9" i="39"/>
  <c r="AF9" i="39"/>
  <c r="AG9" i="39"/>
  <c r="AJ52" i="39"/>
  <c r="AL52" i="39" s="1"/>
  <c r="AT77" i="39"/>
  <c r="AU77" i="39" s="1"/>
  <c r="AT77" i="37"/>
  <c r="AU77" i="37" s="1"/>
  <c r="AF77" i="36"/>
  <c r="AG77" i="36" s="1"/>
  <c r="AC62" i="32"/>
  <c r="AD62" i="36"/>
  <c r="AD89" i="36"/>
  <c r="AJ45" i="39"/>
  <c r="AL45" i="39" s="1"/>
  <c r="AT48" i="39"/>
  <c r="AU48" i="39" s="1"/>
  <c r="AF48" i="36"/>
  <c r="AG48" i="36" s="1"/>
  <c r="AT48" i="37"/>
  <c r="AU48" i="37" s="1"/>
  <c r="AJ80" i="39"/>
  <c r="AL80" i="39" s="1"/>
  <c r="AP9" i="32"/>
  <c r="AJ85" i="32"/>
  <c r="AJ86" i="32" s="1"/>
  <c r="AE74" i="39"/>
  <c r="AF74" i="39"/>
  <c r="AG74" i="39"/>
  <c r="AL74" i="37"/>
  <c r="AH74" i="39"/>
  <c r="AJ27" i="39"/>
  <c r="AL27" i="39" s="1"/>
  <c r="AA86" i="39"/>
  <c r="AJ13" i="39"/>
  <c r="AL13" i="39" s="1"/>
  <c r="AZ13" i="39"/>
  <c r="AF84" i="36"/>
  <c r="AG84" i="36" s="1"/>
  <c r="AT84" i="39"/>
  <c r="AU84" i="39" s="1"/>
  <c r="AT84" i="37"/>
  <c r="AU84" i="37" s="1"/>
  <c r="AT43" i="39"/>
  <c r="AU43" i="39" s="1"/>
  <c r="AK43" i="32"/>
  <c r="AQ43" i="32" s="1"/>
  <c r="AF43" i="36"/>
  <c r="AT43" i="37"/>
  <c r="AU43" i="37" s="1"/>
  <c r="AC92" i="32"/>
  <c r="AM9" i="36"/>
  <c r="AC88" i="36"/>
  <c r="AC90" i="36" s="1"/>
  <c r="AC85" i="36"/>
  <c r="AC74" i="32"/>
  <c r="AD74" i="36"/>
  <c r="AT56" i="37"/>
  <c r="AU56" i="37" s="1"/>
  <c r="AT56" i="39"/>
  <c r="AF56" i="36"/>
  <c r="AG56" i="36" s="1"/>
  <c r="AJ81" i="39"/>
  <c r="AL81" i="39" s="1"/>
  <c r="AJ18" i="39"/>
  <c r="AL18" i="39" s="1"/>
  <c r="AZ18" i="39"/>
  <c r="AJ33" i="39"/>
  <c r="AL33" i="39" s="1"/>
  <c r="AG15" i="36"/>
  <c r="AL59" i="37"/>
  <c r="AF59" i="39"/>
  <c r="AH59" i="39"/>
  <c r="AE59" i="39"/>
  <c r="AG59" i="39"/>
  <c r="AF73" i="39"/>
  <c r="AE73" i="39"/>
  <c r="AH73" i="39"/>
  <c r="AG73" i="39"/>
  <c r="AL73" i="37"/>
  <c r="AK85" i="39"/>
  <c r="AK86" i="39"/>
  <c r="AJ84" i="39"/>
  <c r="AL84" i="39" s="1"/>
  <c r="AJ56" i="39"/>
  <c r="AC73" i="32"/>
  <c r="AD73" i="36"/>
  <c r="AG63" i="39"/>
  <c r="AH63" i="39"/>
  <c r="AF63" i="39"/>
  <c r="AE63" i="39"/>
  <c r="AJ63" i="39" s="1"/>
  <c r="AL63" i="39" s="1"/>
  <c r="AL63" i="37"/>
  <c r="AG13" i="36"/>
  <c r="AD9" i="36"/>
  <c r="AC9" i="32"/>
  <c r="AA91" i="32"/>
  <c r="AA93" i="32" s="1"/>
  <c r="AA85" i="32"/>
  <c r="AL36" i="39"/>
  <c r="AC86" i="39"/>
  <c r="AC85" i="39"/>
  <c r="AA94" i="32" l="1"/>
  <c r="AF87" i="39"/>
  <c r="AJ76" i="39"/>
  <c r="AL76" i="39" s="1"/>
  <c r="AJ34" i="39"/>
  <c r="AL34" i="39" s="1"/>
  <c r="AH87" i="39"/>
  <c r="AG87" i="39"/>
  <c r="AG85" i="39"/>
  <c r="AG86" i="39"/>
  <c r="AH86" i="39"/>
  <c r="AH85" i="39"/>
  <c r="AT55" i="39"/>
  <c r="AU55" i="39" s="1"/>
  <c r="AF55" i="36"/>
  <c r="AG55" i="36" s="1"/>
  <c r="AT55" i="37"/>
  <c r="AU55" i="37" s="1"/>
  <c r="AS9" i="36"/>
  <c r="AM85" i="36"/>
  <c r="AM86" i="36" s="1"/>
  <c r="AG43" i="36"/>
  <c r="AF89" i="36"/>
  <c r="AJ62" i="39"/>
  <c r="AL62" i="39" s="1"/>
  <c r="AT63" i="37"/>
  <c r="AU63" i="37" s="1"/>
  <c r="AF63" i="36"/>
  <c r="AG63" i="36" s="1"/>
  <c r="AT63" i="39"/>
  <c r="AU63" i="39" s="1"/>
  <c r="AF86" i="39"/>
  <c r="AF85" i="39"/>
  <c r="AJ73" i="39"/>
  <c r="AL73" i="39" s="1"/>
  <c r="AJ58" i="39"/>
  <c r="AL58" i="39" s="1"/>
  <c r="AT76" i="37"/>
  <c r="AU76" i="37" s="1"/>
  <c r="AT76" i="39"/>
  <c r="AU76" i="39" s="1"/>
  <c r="AF76" i="36"/>
  <c r="AG76" i="36" s="1"/>
  <c r="AD88" i="36"/>
  <c r="AD90" i="36" s="1"/>
  <c r="AD85" i="36"/>
  <c r="AZ9" i="39"/>
  <c r="AJ9" i="39"/>
  <c r="AE86" i="39"/>
  <c r="AE85" i="39"/>
  <c r="AT62" i="37"/>
  <c r="AU62" i="37" s="1"/>
  <c r="AF62" i="36"/>
  <c r="AG62" i="36" s="1"/>
  <c r="AT62" i="39"/>
  <c r="AU62" i="39" s="1"/>
  <c r="AJ74" i="39"/>
  <c r="AL74" i="39" s="1"/>
  <c r="AD34" i="32"/>
  <c r="AF34" i="36"/>
  <c r="AG34" i="36" s="1"/>
  <c r="AT34" i="39"/>
  <c r="AU34" i="39" s="1"/>
  <c r="AT34" i="37"/>
  <c r="AU34" i="37" s="1"/>
  <c r="AT74" i="39"/>
  <c r="AU74" i="39" s="1"/>
  <c r="AT74" i="37"/>
  <c r="AU74" i="37" s="1"/>
  <c r="AF74" i="36"/>
  <c r="AG74" i="36" s="1"/>
  <c r="AF73" i="36"/>
  <c r="AG73" i="36" s="1"/>
  <c r="AT73" i="37"/>
  <c r="AU73" i="37" s="1"/>
  <c r="AT73" i="39"/>
  <c r="AU73" i="39" s="1"/>
  <c r="AU56" i="39"/>
  <c r="AD9" i="32"/>
  <c r="AF9" i="36"/>
  <c r="AT9" i="37"/>
  <c r="AU9" i="37" s="1"/>
  <c r="AT9" i="39"/>
  <c r="AK9" i="32"/>
  <c r="AC91" i="32"/>
  <c r="AC93" i="32" s="1"/>
  <c r="AC85" i="32"/>
  <c r="AE87" i="39"/>
  <c r="AJ55" i="39"/>
  <c r="AL55" i="39" s="1"/>
  <c r="AC91" i="36"/>
  <c r="AL56" i="39"/>
  <c r="AJ59" i="39"/>
  <c r="AL59" i="39" s="1"/>
  <c r="AT59" i="37"/>
  <c r="AU59" i="37" s="1"/>
  <c r="AF59" i="36"/>
  <c r="AG59" i="36" s="1"/>
  <c r="AT59" i="39"/>
  <c r="AU59" i="39" s="1"/>
  <c r="AD91" i="36" l="1"/>
  <c r="AD85" i="32"/>
  <c r="AT87" i="39"/>
  <c r="AC94" i="32"/>
  <c r="AJ85" i="39"/>
  <c r="AJ86" i="39"/>
  <c r="AL9" i="39"/>
  <c r="AG9" i="36"/>
  <c r="AG85" i="36" s="1"/>
  <c r="AN9" i="36"/>
  <c r="AF85" i="36"/>
  <c r="AF88" i="36"/>
  <c r="AF90" i="36" s="1"/>
  <c r="AU87" i="39"/>
  <c r="AQ9" i="32"/>
  <c r="AK85" i="32"/>
  <c r="AK86" i="32" s="1"/>
  <c r="AL87" i="39"/>
  <c r="AJ87" i="39"/>
  <c r="AU9" i="39"/>
  <c r="AT86" i="39"/>
  <c r="AT85" i="39"/>
  <c r="AF91" i="36" l="1"/>
  <c r="AT9" i="36"/>
  <c r="AN85" i="36"/>
  <c r="AN86" i="36" s="1"/>
  <c r="AL85" i="39"/>
  <c r="AL86" i="39"/>
  <c r="AU85" i="39"/>
  <c r="AU86" i="39"/>
</calcChain>
</file>

<file path=xl/comments1.xml><?xml version="1.0" encoding="utf-8"?>
<comments xmlns="http://schemas.openxmlformats.org/spreadsheetml/2006/main">
  <authors>
    <author>Ketang Puji Rahayu</author>
    <author>Evi Ainur R.</author>
  </authors>
  <commentList>
    <comment ref="G12" authorId="0" shapeId="0">
      <text>
        <r>
          <rPr>
            <b/>
            <sz val="9"/>
            <color indexed="81"/>
            <rFont val="Tahoma"/>
            <family val="2"/>
          </rPr>
          <t>Ketang Puji Rahayu:</t>
        </r>
        <r>
          <rPr>
            <sz val="9"/>
            <color indexed="81"/>
            <rFont val="Tahoma"/>
            <family val="2"/>
          </rPr>
          <t xml:space="preserve">
UMH FEB FINAL ADDT</t>
        </r>
      </text>
    </comment>
    <comment ref="G14" authorId="0" shapeId="0">
      <text>
        <r>
          <rPr>
            <b/>
            <sz val="9"/>
            <color indexed="81"/>
            <rFont val="Tahoma"/>
            <family val="2"/>
          </rPr>
          <t>manual karn new level</t>
        </r>
      </text>
    </comment>
    <comment ref="E32" authorId="1" shapeId="0">
      <text>
        <r>
          <rPr>
            <b/>
            <sz val="9"/>
            <color indexed="81"/>
            <rFont val="Tahoma"/>
            <family val="2"/>
          </rPr>
          <t>PINDAH KE SAI-B</t>
        </r>
      </text>
    </comment>
    <comment ref="E33" authorId="1" shapeId="0">
      <text>
        <r>
          <rPr>
            <b/>
            <sz val="9"/>
            <color indexed="81"/>
            <rFont val="Tahoma"/>
            <family val="2"/>
          </rPr>
          <t>PINDAH KE SAI-B</t>
        </r>
      </text>
    </comment>
    <comment ref="E34" authorId="1" shapeId="0">
      <text>
        <r>
          <rPr>
            <b/>
            <sz val="9"/>
            <color indexed="81"/>
            <rFont val="Tahoma"/>
            <family val="2"/>
          </rPr>
          <t>PINDAH KE SAI-B</t>
        </r>
      </text>
    </comment>
    <comment ref="E36" authorId="1" shapeId="0">
      <text>
        <r>
          <rPr>
            <b/>
            <sz val="9"/>
            <color indexed="81"/>
            <rFont val="Tahoma"/>
            <family val="2"/>
          </rPr>
          <t>PINDAH KE SAI-B</t>
        </r>
      </text>
    </comment>
    <comment ref="E37" authorId="1" shapeId="0">
      <text>
        <r>
          <rPr>
            <b/>
            <sz val="9"/>
            <color indexed="81"/>
            <rFont val="Tahoma"/>
            <family val="2"/>
          </rPr>
          <t>PINDAH KE SAI-B</t>
        </r>
      </text>
    </comment>
    <comment ref="E38" authorId="1" shapeId="0">
      <text>
        <r>
          <rPr>
            <b/>
            <sz val="9"/>
            <color indexed="81"/>
            <rFont val="Tahoma"/>
            <family val="2"/>
          </rPr>
          <t>PINDAH KE SAI-B</t>
        </r>
      </text>
    </comment>
    <comment ref="E46" authorId="1" shapeId="0">
      <text>
        <r>
          <rPr>
            <b/>
            <sz val="9"/>
            <color indexed="81"/>
            <rFont val="Tahoma"/>
            <family val="2"/>
          </rPr>
          <t>PINDAH KE SAI-B</t>
        </r>
      </text>
    </comment>
    <comment ref="E47" authorId="1" shapeId="0">
      <text>
        <r>
          <rPr>
            <b/>
            <sz val="9"/>
            <color indexed="81"/>
            <rFont val="Tahoma"/>
            <family val="2"/>
          </rPr>
          <t>PINDAH KE SAI-B</t>
        </r>
      </text>
    </comment>
    <comment ref="G55" authorId="1" shapeId="0">
      <text>
        <r>
          <rPr>
            <b/>
            <sz val="9"/>
            <color indexed="81"/>
            <rFont val="Tahoma"/>
            <family val="2"/>
          </rPr>
          <t>manual</t>
        </r>
      </text>
    </comment>
    <comment ref="G58" authorId="1" shapeId="0">
      <text>
        <r>
          <rPr>
            <b/>
            <sz val="9"/>
            <color indexed="81"/>
            <rFont val="Tahoma"/>
            <family val="2"/>
          </rPr>
          <t>manual
UMH JUN FINAL</t>
        </r>
      </text>
    </comment>
    <comment ref="G59" authorId="1" shapeId="0">
      <text>
        <r>
          <rPr>
            <b/>
            <sz val="9"/>
            <color indexed="81"/>
            <rFont val="Tahoma"/>
            <family val="2"/>
          </rPr>
          <t>manual UMH JUN FINAL</t>
        </r>
      </text>
    </comment>
    <comment ref="G64" authorId="1" shapeId="0">
      <text>
        <r>
          <rPr>
            <b/>
            <sz val="9"/>
            <color indexed="81"/>
            <rFont val="Tahoma"/>
            <family val="2"/>
          </rPr>
          <t>manual</t>
        </r>
      </text>
    </comment>
    <comment ref="G65" authorId="1" shapeId="0">
      <text>
        <r>
          <rPr>
            <b/>
            <sz val="9"/>
            <color indexed="81"/>
            <rFont val="Tahoma"/>
            <family val="2"/>
          </rPr>
          <t>manual</t>
        </r>
      </text>
    </comment>
    <comment ref="G66" authorId="1" shapeId="0">
      <text>
        <r>
          <rPr>
            <b/>
            <sz val="9"/>
            <color indexed="81"/>
            <rFont val="Tahoma"/>
            <family val="2"/>
          </rPr>
          <t>manual</t>
        </r>
      </text>
    </comment>
  </commentList>
</comments>
</file>

<file path=xl/sharedStrings.xml><?xml version="1.0" encoding="utf-8"?>
<sst xmlns="http://schemas.openxmlformats.org/spreadsheetml/2006/main" count="602" uniqueCount="299">
  <si>
    <t>BAL</t>
  </si>
  <si>
    <t>DEL</t>
  </si>
  <si>
    <t>PROD</t>
  </si>
  <si>
    <t>TYPE</t>
  </si>
  <si>
    <t>Overtime</t>
  </si>
  <si>
    <t>Working Days Normal</t>
  </si>
  <si>
    <t>SIX MONTH PRODUCTION PLAN ( QTY )</t>
  </si>
  <si>
    <t>HARNESS No.</t>
  </si>
  <si>
    <t>FAX NO   : EMAIL</t>
  </si>
  <si>
    <t>ASSY CODE</t>
  </si>
  <si>
    <t>CCT</t>
  </si>
  <si>
    <t>Daily</t>
  </si>
  <si>
    <t xml:space="preserve">Std </t>
  </si>
  <si>
    <t>Pack</t>
  </si>
  <si>
    <t>Normal</t>
  </si>
  <si>
    <t>OT</t>
  </si>
  <si>
    <t>MAZDA ATENZA ( J56SP )</t>
  </si>
  <si>
    <t>GR1A-67030 E1603</t>
  </si>
  <si>
    <t>Month</t>
  </si>
  <si>
    <t>STD PACK</t>
  </si>
  <si>
    <t>APPROVED</t>
  </si>
  <si>
    <t>PREPARED</t>
  </si>
  <si>
    <t>HAP</t>
  </si>
  <si>
    <t>EMU</t>
  </si>
  <si>
    <t>initial release: 18 Sep 2006</t>
  </si>
  <si>
    <t>OCT PRODUCTION</t>
  </si>
  <si>
    <t>BELUM UPDATE DELAY OVER DR SEP</t>
  </si>
  <si>
    <t xml:space="preserve">UMH          (Jul-Dec)2006   </t>
  </si>
  <si>
    <t>EC</t>
  </si>
  <si>
    <t>EC/UK</t>
  </si>
  <si>
    <t>UK</t>
  </si>
  <si>
    <t>JPN</t>
  </si>
  <si>
    <t>CHECKED</t>
  </si>
  <si>
    <t>AS400</t>
  </si>
  <si>
    <t>LEVEL</t>
  </si>
  <si>
    <t>GS1D-67030G 1703</t>
  </si>
  <si>
    <t>GS1E-67030G 1703</t>
  </si>
  <si>
    <t>GS1F-67030G 1703</t>
  </si>
  <si>
    <t>GS1G-67030G 1703</t>
  </si>
  <si>
    <t>GS1M-67030G 1703</t>
  </si>
  <si>
    <t>GS1N-67030G 1703</t>
  </si>
  <si>
    <t>GS1P-67030G 1703</t>
  </si>
  <si>
    <t>GAL1-67030G 1703</t>
  </si>
  <si>
    <t>GAL2-67030G 1703</t>
  </si>
  <si>
    <t>GAL3-67030F 1703</t>
  </si>
  <si>
    <t>GAL4-67030G 1703</t>
  </si>
  <si>
    <t>GAL5-67030G 1703</t>
  </si>
  <si>
    <t>GAL6-67030G 1703</t>
  </si>
  <si>
    <t>GAL7-67030G 1703</t>
  </si>
  <si>
    <t>GAL8-67030F 1703</t>
  </si>
  <si>
    <t>GAL9-67030G 1703</t>
  </si>
  <si>
    <t>GS8S-67030E 1704</t>
  </si>
  <si>
    <t>GS8T-67030E 1704</t>
  </si>
  <si>
    <t>GS9B-67030E 1704</t>
  </si>
  <si>
    <t>GS9D-67030E 1704</t>
  </si>
  <si>
    <t>GS9H-67030E 1704</t>
  </si>
  <si>
    <t>GAN7-67030E 1704</t>
  </si>
  <si>
    <t>GAN8-67030E 1704</t>
  </si>
  <si>
    <t>GAN9-67030E 1704</t>
  </si>
  <si>
    <t>GAP1-67030E 1704</t>
  </si>
  <si>
    <t>GAP2-67030E 1704</t>
  </si>
  <si>
    <t>GAP3-67030E 1704</t>
  </si>
  <si>
    <t>GAP6-67030E 1704</t>
  </si>
  <si>
    <t>GAP7-67030E 1704</t>
  </si>
  <si>
    <t>G33C-67030D 1304</t>
  </si>
  <si>
    <t>G33D-67030D 1304</t>
  </si>
  <si>
    <t>G33E-67030D 1304</t>
  </si>
  <si>
    <t>G33G-67030D 1304</t>
  </si>
  <si>
    <t>G33H-67030D 1304</t>
  </si>
  <si>
    <t>G33J-67030D 1304</t>
  </si>
  <si>
    <t>G33K-67030D 1304</t>
  </si>
  <si>
    <t>G35E-67030E 1304</t>
  </si>
  <si>
    <t>G35F-67030E 1304</t>
  </si>
  <si>
    <t>G35G-67030E 1304</t>
  </si>
  <si>
    <t>G35H-67030E 1304</t>
  </si>
  <si>
    <t>GBS1-67030E 0804</t>
  </si>
  <si>
    <t>GBS2-67030E 0804</t>
  </si>
  <si>
    <t>GBS3-67030E 0804</t>
  </si>
  <si>
    <t>GBS4-67030D 0804</t>
  </si>
  <si>
    <t>GBS5-67030D 0804</t>
  </si>
  <si>
    <t>GBS6-67030D 0804</t>
  </si>
  <si>
    <t>GBS7-67030E 0804</t>
  </si>
  <si>
    <t>GBS8-67030D 0804</t>
  </si>
  <si>
    <t xml:space="preserve">GBV1-67030D 0804 </t>
  </si>
  <si>
    <t>ADR/4AR</t>
  </si>
  <si>
    <t>4AL</t>
  </si>
  <si>
    <t>UMH    (Jul-Dec) 2010</t>
  </si>
  <si>
    <t>UMH (Jan-Jun) 2010</t>
  </si>
  <si>
    <t>UMH (Jul-Des) 2011</t>
  </si>
  <si>
    <t>UMH (Jan-Jun)2012</t>
  </si>
  <si>
    <t>S/R NO   :</t>
  </si>
  <si>
    <t>ADR</t>
  </si>
  <si>
    <t>EC/4AL</t>
  </si>
  <si>
    <t>UK/4AR</t>
  </si>
  <si>
    <t>SIX MONTH PRODUCTION PLAN ( UMH )</t>
  </si>
  <si>
    <t>APR</t>
  </si>
  <si>
    <t>JUN</t>
  </si>
  <si>
    <t xml:space="preserve">DATE       : </t>
  </si>
  <si>
    <t>JUL</t>
  </si>
  <si>
    <t>MAY</t>
  </si>
  <si>
    <t>AUG</t>
  </si>
  <si>
    <t>SEP</t>
  </si>
  <si>
    <t>OCT</t>
  </si>
  <si>
    <t>Printed :</t>
  </si>
  <si>
    <t>Q</t>
  </si>
  <si>
    <t>T</t>
  </si>
  <si>
    <t>W</t>
  </si>
  <si>
    <t>Z</t>
  </si>
  <si>
    <t>AC</t>
  </si>
  <si>
    <t>SR</t>
  </si>
  <si>
    <t>SPP</t>
  </si>
  <si>
    <t>VALUE</t>
  </si>
  <si>
    <t>JAN</t>
  </si>
  <si>
    <t>FEB</t>
  </si>
  <si>
    <t>MAR</t>
  </si>
  <si>
    <t>NOV</t>
  </si>
  <si>
    <t>DEC</t>
  </si>
  <si>
    <t>TOTAL</t>
  </si>
  <si>
    <t>GBEG67030</t>
  </si>
  <si>
    <t>GBER67030</t>
  </si>
  <si>
    <t>GNC967030</t>
  </si>
  <si>
    <t>GND267030</t>
  </si>
  <si>
    <t>GBEG-67030A</t>
  </si>
  <si>
    <t>GBER-67030A</t>
  </si>
  <si>
    <t>GNC9-67030A</t>
  </si>
  <si>
    <t>GND2-67030A</t>
  </si>
  <si>
    <t>ASE</t>
  </si>
  <si>
    <t xml:space="preserve">DATE       </t>
  </si>
  <si>
    <t>UMH</t>
  </si>
  <si>
    <t>TOTAL ALL</t>
  </si>
  <si>
    <t xml:space="preserve">TOTAL ALL </t>
  </si>
  <si>
    <t>LHD</t>
  </si>
  <si>
    <t>RHD</t>
  </si>
  <si>
    <t>67SJ0</t>
  </si>
  <si>
    <t>TOT</t>
  </si>
  <si>
    <t>67SJ0-KR9P</t>
  </si>
  <si>
    <t>SAI</t>
  </si>
  <si>
    <t>JAI/NIIM</t>
  </si>
  <si>
    <t>KET</t>
  </si>
  <si>
    <t>NIIMI</t>
  </si>
  <si>
    <t>BC121-6B370-1</t>
  </si>
  <si>
    <t>BC121-6B370-2</t>
  </si>
  <si>
    <t>BC121-6B220-1</t>
  </si>
  <si>
    <t>BC121-6B250-1</t>
  </si>
  <si>
    <t>BC121-6B260-1</t>
  </si>
  <si>
    <t>BC121-6B230-1</t>
  </si>
  <si>
    <t>BC121-6AM60-1</t>
  </si>
  <si>
    <t>BC121-6B370-1 B 0001</t>
  </si>
  <si>
    <t>BC121-6B370-2 B 0001</t>
  </si>
  <si>
    <t>BC121-6B220-1 B 0001</t>
  </si>
  <si>
    <t>BC121-6B250-1 B 0001</t>
  </si>
  <si>
    <t>BC121-6B260-1 B 0001</t>
  </si>
  <si>
    <t>BC121-6AM60-1 C 0001</t>
  </si>
  <si>
    <t>BC120D</t>
  </si>
  <si>
    <t>BC111-2FE72-1 F 0201</t>
  </si>
  <si>
    <t>BC111-2FE72-2 F 0201</t>
  </si>
  <si>
    <t>BC111-V3881-1 B 0201</t>
  </si>
  <si>
    <t>BC111-V3650-2 C 0201</t>
  </si>
  <si>
    <t>BC111-V3891-6 B 0201</t>
  </si>
  <si>
    <t>DC111-2FE72 F 0201</t>
  </si>
  <si>
    <t>DC111-2FK53 F 0201</t>
  </si>
  <si>
    <t>DC111-V3A41 B 0201</t>
  </si>
  <si>
    <t>DC111-V3881 B 0201</t>
  </si>
  <si>
    <t>DC111-V3650 C 0201</t>
  </si>
  <si>
    <t>DC111-V3891 B 0201</t>
  </si>
  <si>
    <t>BC111-11730-3 B 0001</t>
  </si>
  <si>
    <t>BC111-1HQ61-1 A 1001</t>
  </si>
  <si>
    <t>BC111-1HY10-1 A 1001</t>
  </si>
  <si>
    <t>BC111-1HY10-2 A 1001</t>
  </si>
  <si>
    <t>BC121-35G90-1</t>
  </si>
  <si>
    <t>BC121-35J20-1</t>
  </si>
  <si>
    <t>BC139-930B2-1</t>
  </si>
  <si>
    <t>BC111-2FE72-1</t>
  </si>
  <si>
    <t>BC111-2FE72-2</t>
  </si>
  <si>
    <t>BC111-V3881-1</t>
  </si>
  <si>
    <t>BC111-V3650-2</t>
  </si>
  <si>
    <t>BC111-V3891-6</t>
  </si>
  <si>
    <t>BC111-V3891-1</t>
  </si>
  <si>
    <t>BC111-V3891-2</t>
  </si>
  <si>
    <t>DC111-2FE72</t>
  </si>
  <si>
    <t>DC111-2FK53</t>
  </si>
  <si>
    <t>DC111-V3A41</t>
  </si>
  <si>
    <t>DC111-V3881</t>
  </si>
  <si>
    <t>DC111-V3650</t>
  </si>
  <si>
    <t>DC111-V3891</t>
  </si>
  <si>
    <t>BC111-11730-3</t>
  </si>
  <si>
    <t>BC111-11810-3</t>
  </si>
  <si>
    <t>BC111-5A851-2</t>
  </si>
  <si>
    <t>BC111-5A852-2</t>
  </si>
  <si>
    <t>BC111-5AA01-2</t>
  </si>
  <si>
    <t>BC111-5AE91-2</t>
  </si>
  <si>
    <t>BC111-5AA02-2</t>
  </si>
  <si>
    <t>BC111-5A841-2</t>
  </si>
  <si>
    <t>BC111-5A881-2</t>
  </si>
  <si>
    <t>BC111-1HQ61-1</t>
  </si>
  <si>
    <t>BC111-1HY10-1</t>
  </si>
  <si>
    <t>BC111-1HY10-2</t>
  </si>
  <si>
    <t>BC111-1HR01-1</t>
  </si>
  <si>
    <t>BC111-62092-2</t>
  </si>
  <si>
    <t>BC111-62062-2</t>
  </si>
  <si>
    <t>120D</t>
  </si>
  <si>
    <t>930B</t>
  </si>
  <si>
    <t>BC 602W</t>
  </si>
  <si>
    <t>BC 819W</t>
  </si>
  <si>
    <t>BC 891W</t>
  </si>
  <si>
    <t>BC 766W</t>
  </si>
  <si>
    <t>BC111-V3891-1 F 0001</t>
  </si>
  <si>
    <t>BC111-V3891-2 F 0001</t>
  </si>
  <si>
    <t>BC111-1HR01-1 0002</t>
  </si>
  <si>
    <t>BC111-11810-3 2001</t>
  </si>
  <si>
    <t>BC111-5A843-2 0001</t>
  </si>
  <si>
    <t>BC111-5A883-2 0001</t>
  </si>
  <si>
    <t>BC111-5AC33-2 0001</t>
  </si>
  <si>
    <t>BC111-5AA03-2 0001</t>
  </si>
  <si>
    <t>BC111-5AA03-2</t>
  </si>
  <si>
    <t>BC111-5AA02-2 A 0002</t>
  </si>
  <si>
    <t>BC111-5A841-2 A 0002</t>
  </si>
  <si>
    <t>BC111-5A881-2 A 0002</t>
  </si>
  <si>
    <t>BC111-5A852-2 A 0002</t>
  </si>
  <si>
    <t>BC111-62092-2 B 1001</t>
  </si>
  <si>
    <t>BC111-62062-2 B 1001</t>
  </si>
  <si>
    <t>BC121-35G70-1 D 0001</t>
  </si>
  <si>
    <t>BC121-35G90-1 D 0001</t>
  </si>
  <si>
    <t>BC121-35K80-1 C 0001</t>
  </si>
  <si>
    <t>BC111-16P60-1   0001</t>
  </si>
  <si>
    <t>BC111-16J40-1   0001</t>
  </si>
  <si>
    <t>BC111-16R30-1   0001</t>
  </si>
  <si>
    <t>BC111-16R90-1   0001</t>
  </si>
  <si>
    <t>BC 059J</t>
  </si>
  <si>
    <t>BC121-6B230-1 B 0001</t>
  </si>
  <si>
    <t>BC111-16P60-1 0001</t>
  </si>
  <si>
    <t>BC111-16J40-1 0001</t>
  </si>
  <si>
    <t>BC111-16R30-1 0001</t>
  </si>
  <si>
    <t>BC111-16R90-1 0001</t>
  </si>
  <si>
    <t>DC111-V3G90 B 0101</t>
  </si>
  <si>
    <t>DC111-V3C10 B 0101</t>
  </si>
  <si>
    <t>DC111-V3C50 B 0101</t>
  </si>
  <si>
    <t>559D</t>
  </si>
  <si>
    <t>BC111-1KU50-2   0001</t>
  </si>
  <si>
    <t>JN111-62063-3</t>
  </si>
  <si>
    <t>JN111-62063-3   0002</t>
  </si>
  <si>
    <t>JN111-62063-4</t>
  </si>
  <si>
    <t>JN111-62063-4   0002</t>
  </si>
  <si>
    <t>JN111-62093-3</t>
  </si>
  <si>
    <t>JN111-62093-3   0002</t>
  </si>
  <si>
    <t>JN111-62093-4</t>
  </si>
  <si>
    <t>JN111-62093-4   0002</t>
  </si>
  <si>
    <t>BC111-5DR50-1</t>
  </si>
  <si>
    <t>BC111-5DR50-1 B 0001</t>
  </si>
  <si>
    <t>BC111-5DR50-2</t>
  </si>
  <si>
    <t>BC111-5DR50-2 B 0001</t>
  </si>
  <si>
    <t>BC111-V1020-1</t>
  </si>
  <si>
    <t>BC111-V1020-1 D 0101</t>
  </si>
  <si>
    <t>BC111-V1100-1</t>
  </si>
  <si>
    <t>BC111-V1100-1 G 0201</t>
  </si>
  <si>
    <t>BC111-1S130-1</t>
  </si>
  <si>
    <t>BC111-1S130-1 D 0001</t>
  </si>
  <si>
    <t>BC111-1S130-2</t>
  </si>
  <si>
    <t>BC111-1S130-2 D 0001</t>
  </si>
  <si>
    <t>BC111-16N10-1</t>
  </si>
  <si>
    <t>BC111-16N10-1   1001</t>
  </si>
  <si>
    <t>BC111-16F01-1</t>
  </si>
  <si>
    <t>BC111-16F01-1 A 0002</t>
  </si>
  <si>
    <t>BC111-16M20-1</t>
  </si>
  <si>
    <t>BC111-16M20-1   1001</t>
  </si>
  <si>
    <t>BC111-16B41-1</t>
  </si>
  <si>
    <t>BC111-16B41-1 A 0002</t>
  </si>
  <si>
    <t>BC111-16A40-1</t>
  </si>
  <si>
    <t>BC111-16A40-1   1001</t>
  </si>
  <si>
    <t>BC111-16A40-2</t>
  </si>
  <si>
    <t>BC111-16A40-2   1001</t>
  </si>
  <si>
    <t>BC111-16D11-1</t>
  </si>
  <si>
    <t>BC111-16D11-1 A 0002</t>
  </si>
  <si>
    <t>BC111-4EW40-1</t>
  </si>
  <si>
    <t>BC111-4EW40-1 C 0002</t>
  </si>
  <si>
    <t>BC111-4EB50-1</t>
  </si>
  <si>
    <t>BC111-4EB50-1 C 0002</t>
  </si>
  <si>
    <t>BC111-4EE80-1</t>
  </si>
  <si>
    <t>BC111-4EE80-1 C 0002</t>
  </si>
  <si>
    <t>BC111-47V60-1</t>
  </si>
  <si>
    <t>BC111-47V60-1 C 0002</t>
  </si>
  <si>
    <t>JN111-62064-1</t>
  </si>
  <si>
    <t>JN111-62064-1   0001</t>
  </si>
  <si>
    <t>JN111-62064-3</t>
  </si>
  <si>
    <t>JN111-62064-3   0001</t>
  </si>
  <si>
    <t>JN111-62215-1</t>
  </si>
  <si>
    <t>JN111-62215-1   0001</t>
  </si>
  <si>
    <t>JN111-62215-3</t>
  </si>
  <si>
    <t>JN111-62215-3   0001</t>
  </si>
  <si>
    <t>BC111-62064-2</t>
  </si>
  <si>
    <t>BC111-62064-2   0001</t>
  </si>
  <si>
    <t>BC111-62215-2</t>
  </si>
  <si>
    <t>BC111-62215-2   0001</t>
  </si>
  <si>
    <t>BC115-5CC80-1</t>
  </si>
  <si>
    <t>BC115-5CC80-1   0001</t>
  </si>
  <si>
    <t>BC115-5CC80-2</t>
  </si>
  <si>
    <t>BC115-5CC80-2   0001</t>
  </si>
  <si>
    <t>245D</t>
  </si>
  <si>
    <t>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</si>
</sst>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General_)"/>
    <numFmt numFmtId="165" formatCode="\$#,##0.00;[Red]\-\$#,##0.00"/>
    <numFmt numFmtId="166" formatCode="0.00_)"/>
    <numFmt numFmtId="167" formatCode="mmm\.\ d\ \'yy\ \a\t\ h:mm"/>
    <numFmt numFmtId="168" formatCode="0.0000"/>
    <numFmt numFmtId="169" formatCode="0_);[Red]\(0\)"/>
    <numFmt numFmtId="170" formatCode="m/d/yy;@"/>
    <numFmt numFmtId="171" formatCode="0_);\(0\)"/>
    <numFmt numFmtId="172" formatCode="####0000"/>
    <numFmt numFmtId="173" formatCode="[$-409]d\-mmm\-yy;@"/>
    <numFmt numFmtId="174" formatCode="[$-409]mmmm\-yy;@"/>
  </numFmts>
  <fonts count="40"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0"/>
      <name val="Helv"/>
      <family val="2"/>
    </font>
    <font>
      <sz val="8"/>
      <name val="Arial"/>
      <family val="2"/>
    </font>
    <font>
      <sz val="9"/>
      <name val="Arial"/>
      <family val="2"/>
    </font>
    <font>
      <sz val="10"/>
      <color indexed="10"/>
      <name val="Arial"/>
      <family val="2"/>
    </font>
    <font>
      <sz val="11"/>
      <name val="Helv"/>
      <family val="2"/>
    </font>
    <font>
      <b/>
      <sz val="11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b/>
      <sz val="12"/>
      <name val="Helv"/>
      <family val="2"/>
    </font>
    <font>
      <b/>
      <sz val="11"/>
      <name val="Helv"/>
      <family val="2"/>
    </font>
    <font>
      <b/>
      <i/>
      <sz val="16"/>
      <name val="Helv"/>
      <family val="2"/>
    </font>
    <font>
      <sz val="7"/>
      <name val="Arial"/>
      <family val="2"/>
    </font>
    <font>
      <i/>
      <sz val="8"/>
      <color indexed="9"/>
      <name val="Comic Sans MS"/>
      <family val="4"/>
    </font>
    <font>
      <b/>
      <sz val="14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2"/>
      <color indexed="10"/>
      <name val="Arial"/>
      <family val="2"/>
    </font>
    <font>
      <sz val="10"/>
      <color indexed="8"/>
      <name val="Arial"/>
      <family val="2"/>
    </font>
    <font>
      <b/>
      <sz val="28"/>
      <name val="Arial"/>
      <family val="2"/>
    </font>
    <font>
      <sz val="10"/>
      <color indexed="10"/>
      <name val="Arial"/>
      <family val="2"/>
    </font>
    <font>
      <sz val="8"/>
      <color indexed="10"/>
      <name val="Arial"/>
      <family val="2"/>
    </font>
    <font>
      <sz val="12"/>
      <color indexed="10"/>
      <name val="Arial"/>
      <family val="2"/>
    </font>
    <font>
      <sz val="9"/>
      <color indexed="10"/>
      <name val="Arial"/>
      <family val="2"/>
    </font>
    <font>
      <sz val="16"/>
      <color indexed="10"/>
      <name val="Arial"/>
      <family val="2"/>
    </font>
    <font>
      <sz val="14"/>
      <color indexed="10"/>
      <name val="Arial"/>
      <family val="2"/>
    </font>
    <font>
      <sz val="6"/>
      <name val="ＭＳ Ｐゴシック"/>
      <family val="3"/>
      <charset val="128"/>
    </font>
    <font>
      <i/>
      <sz val="12"/>
      <name val="Comic Sans MS"/>
      <family val="4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36"/>
      <name val="Arial"/>
      <family val="2"/>
    </font>
    <font>
      <b/>
      <i/>
      <sz val="14"/>
      <name val="Arial"/>
      <family val="2"/>
    </font>
    <font>
      <sz val="16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4" fillId="0" borderId="0"/>
    <xf numFmtId="165" fontId="10" fillId="0" borderId="0">
      <alignment horizontal="center"/>
    </xf>
    <xf numFmtId="38" fontId="11" fillId="2" borderId="0" applyNumberFormat="0" applyBorder="0" applyAlignment="0" applyProtection="0"/>
    <xf numFmtId="0" fontId="12" fillId="0" borderId="0">
      <alignment horizontal="left"/>
    </xf>
    <xf numFmtId="10" fontId="11" fillId="2" borderId="1" applyNumberFormat="0" applyBorder="0" applyAlignment="0" applyProtection="0"/>
    <xf numFmtId="0" fontId="13" fillId="0" borderId="2"/>
    <xf numFmtId="166" fontId="14" fillId="0" borderId="0"/>
    <xf numFmtId="0" fontId="23" fillId="0" borderId="0"/>
    <xf numFmtId="0" fontId="3" fillId="0" borderId="0"/>
    <xf numFmtId="10" fontId="3" fillId="0" borderId="0" applyFont="0" applyFill="0" applyBorder="0" applyAlignment="0" applyProtection="0"/>
    <xf numFmtId="0" fontId="13" fillId="0" borderId="0"/>
  </cellStyleXfs>
  <cellXfs count="391">
    <xf numFmtId="0" fontId="0" fillId="0" borderId="0" xfId="0"/>
    <xf numFmtId="0" fontId="6" fillId="2" borderId="0" xfId="0" applyFont="1" applyFill="1" applyBorder="1"/>
    <xf numFmtId="0" fontId="0" fillId="0" borderId="0" xfId="0" applyFill="1" applyBorder="1"/>
    <xf numFmtId="164" fontId="7" fillId="0" borderId="0" xfId="0" applyNumberFormat="1" applyFont="1" applyFill="1" applyBorder="1" applyAlignment="1" applyProtection="1">
      <alignment horizontal="center" vertical="center"/>
    </xf>
    <xf numFmtId="0" fontId="16" fillId="0" borderId="0" xfId="0" applyFont="1" applyFill="1" applyAlignment="1">
      <alignment horizontal="right" vertical="center"/>
    </xf>
    <xf numFmtId="167" fontId="16" fillId="0" borderId="0" xfId="0" applyNumberFormat="1" applyFont="1" applyFill="1" applyBorder="1" applyAlignment="1" applyProtection="1">
      <alignment horizontal="center" vertical="center"/>
    </xf>
    <xf numFmtId="167" fontId="16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164" fontId="0" fillId="0" borderId="0" xfId="0" applyNumberFormat="1" applyFill="1" applyAlignment="1">
      <alignment vertical="center"/>
    </xf>
    <xf numFmtId="15" fontId="5" fillId="0" borderId="0" xfId="0" applyNumberFormat="1" applyFont="1" applyFill="1" applyAlignment="1">
      <alignment horizontal="left" vertical="center"/>
    </xf>
    <xf numFmtId="15" fontId="5" fillId="0" borderId="0" xfId="0" applyNumberFormat="1" applyFont="1" applyFill="1" applyAlignment="1">
      <alignment horizontal="center" vertical="center"/>
    </xf>
    <xf numFmtId="167" fontId="5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168" fontId="3" fillId="0" borderId="3" xfId="0" applyNumberFormat="1" applyFont="1" applyFill="1" applyBorder="1" applyAlignment="1" applyProtection="1">
      <alignment horizontal="center" vertical="center"/>
    </xf>
    <xf numFmtId="164" fontId="3" fillId="0" borderId="4" xfId="0" applyNumberFormat="1" applyFont="1" applyFill="1" applyBorder="1" applyAlignment="1" applyProtection="1">
      <alignment horizontal="center" vertical="center"/>
    </xf>
    <xf numFmtId="0" fontId="19" fillId="0" borderId="5" xfId="0" applyFont="1" applyFill="1" applyBorder="1" applyAlignment="1">
      <alignment vertical="center"/>
    </xf>
    <xf numFmtId="0" fontId="19" fillId="0" borderId="6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164" fontId="7" fillId="0" borderId="7" xfId="0" applyNumberFormat="1" applyFont="1" applyFill="1" applyBorder="1" applyAlignment="1" applyProtection="1">
      <alignment vertical="center"/>
    </xf>
    <xf numFmtId="164" fontId="3" fillId="0" borderId="0" xfId="0" applyNumberFormat="1" applyFont="1" applyFill="1" applyBorder="1" applyAlignment="1" applyProtection="1">
      <alignment horizontal="center" vertical="center"/>
    </xf>
    <xf numFmtId="164" fontId="3" fillId="0" borderId="0" xfId="0" applyNumberFormat="1" applyFont="1" applyFill="1" applyBorder="1" applyAlignment="1" applyProtection="1">
      <alignment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" fontId="5" fillId="0" borderId="0" xfId="0" applyNumberFormat="1" applyFont="1" applyFill="1" applyAlignment="1">
      <alignment vertical="center"/>
    </xf>
    <xf numFmtId="164" fontId="20" fillId="0" borderId="0" xfId="0" applyNumberFormat="1" applyFont="1" applyFill="1" applyBorder="1" applyAlignment="1" applyProtection="1">
      <alignment horizontal="center" vertical="center"/>
    </xf>
    <xf numFmtId="1" fontId="3" fillId="0" borderId="8" xfId="0" applyNumberFormat="1" applyFont="1" applyFill="1" applyBorder="1" applyAlignment="1" applyProtection="1">
      <alignment vertical="center"/>
    </xf>
    <xf numFmtId="1" fontId="3" fillId="0" borderId="4" xfId="0" applyNumberFormat="1" applyFont="1" applyFill="1" applyBorder="1" applyAlignment="1" applyProtection="1">
      <alignment vertical="center"/>
    </xf>
    <xf numFmtId="164" fontId="3" fillId="0" borderId="9" xfId="0" applyNumberFormat="1" applyFont="1" applyFill="1" applyBorder="1" applyAlignment="1" applyProtection="1">
      <alignment horizontal="center" vertical="center"/>
    </xf>
    <xf numFmtId="168" fontId="3" fillId="0" borderId="10" xfId="0" applyNumberFormat="1" applyFont="1" applyFill="1" applyBorder="1" applyAlignment="1" applyProtection="1">
      <alignment horizontal="center" vertical="center"/>
    </xf>
    <xf numFmtId="1" fontId="3" fillId="0" borderId="11" xfId="0" applyNumberFormat="1" applyFont="1" applyFill="1" applyBorder="1" applyAlignment="1" applyProtection="1">
      <alignment vertical="center"/>
    </xf>
    <xf numFmtId="1" fontId="3" fillId="0" borderId="9" xfId="0" applyNumberFormat="1" applyFont="1" applyFill="1" applyBorder="1" applyAlignment="1" applyProtection="1">
      <alignment vertical="center"/>
    </xf>
    <xf numFmtId="164" fontId="3" fillId="0" borderId="12" xfId="0" applyNumberFormat="1" applyFont="1" applyFill="1" applyBorder="1" applyAlignment="1" applyProtection="1">
      <alignment horizontal="center" vertical="center"/>
    </xf>
    <xf numFmtId="164" fontId="3" fillId="0" borderId="13" xfId="0" applyNumberFormat="1" applyFont="1" applyFill="1" applyBorder="1" applyAlignment="1" applyProtection="1">
      <alignment horizontal="center" vertical="center"/>
    </xf>
    <xf numFmtId="164" fontId="3" fillId="0" borderId="14" xfId="0" applyNumberFormat="1" applyFont="1" applyFill="1" applyBorder="1" applyAlignment="1" applyProtection="1">
      <alignment horizontal="center" vertical="center"/>
    </xf>
    <xf numFmtId="164" fontId="3" fillId="0" borderId="15" xfId="0" applyNumberFormat="1" applyFont="1" applyFill="1" applyBorder="1" applyAlignment="1" applyProtection="1">
      <alignment horizontal="center" vertical="center"/>
    </xf>
    <xf numFmtId="164" fontId="3" fillId="0" borderId="16" xfId="0" applyNumberFormat="1" applyFont="1" applyFill="1" applyBorder="1" applyAlignment="1" applyProtection="1">
      <alignment horizontal="center" vertical="center"/>
    </xf>
    <xf numFmtId="1" fontId="3" fillId="0" borderId="17" xfId="0" applyNumberFormat="1" applyFont="1" applyFill="1" applyBorder="1" applyAlignment="1" applyProtection="1">
      <alignment vertical="center"/>
    </xf>
    <xf numFmtId="164" fontId="3" fillId="0" borderId="18" xfId="0" applyNumberFormat="1" applyFont="1" applyFill="1" applyBorder="1" applyAlignment="1" applyProtection="1">
      <alignment vertical="center"/>
    </xf>
    <xf numFmtId="0" fontId="0" fillId="0" borderId="18" xfId="0" applyFill="1" applyBorder="1" applyAlignment="1">
      <alignment vertical="center"/>
    </xf>
    <xf numFmtId="164" fontId="3" fillId="3" borderId="4" xfId="0" applyNumberFormat="1" applyFont="1" applyFill="1" applyBorder="1" applyAlignment="1" applyProtection="1">
      <alignment horizontal="center" vertical="center"/>
    </xf>
    <xf numFmtId="168" fontId="3" fillId="3" borderId="3" xfId="0" applyNumberFormat="1" applyFont="1" applyFill="1" applyBorder="1" applyAlignment="1" applyProtection="1">
      <alignment horizontal="center" vertical="center"/>
    </xf>
    <xf numFmtId="1" fontId="3" fillId="3" borderId="19" xfId="0" applyNumberFormat="1" applyFont="1" applyFill="1" applyBorder="1" applyAlignment="1" applyProtection="1">
      <alignment vertical="center"/>
    </xf>
    <xf numFmtId="1" fontId="3" fillId="3" borderId="8" xfId="0" applyNumberFormat="1" applyFont="1" applyFill="1" applyBorder="1" applyAlignment="1" applyProtection="1">
      <alignment vertical="center"/>
    </xf>
    <xf numFmtId="1" fontId="3" fillId="3" borderId="4" xfId="0" applyNumberFormat="1" applyFont="1" applyFill="1" applyBorder="1" applyAlignment="1" applyProtection="1">
      <alignment vertical="center"/>
    </xf>
    <xf numFmtId="0" fontId="21" fillId="0" borderId="0" xfId="0" applyFont="1" applyFill="1" applyBorder="1"/>
    <xf numFmtId="0" fontId="8" fillId="0" borderId="0" xfId="0" applyFont="1" applyFill="1" applyBorder="1" applyAlignment="1">
      <alignment horizontal="center" vertical="center"/>
    </xf>
    <xf numFmtId="1" fontId="3" fillId="0" borderId="19" xfId="0" applyNumberFormat="1" applyFont="1" applyFill="1" applyBorder="1" applyAlignment="1" applyProtection="1">
      <alignment vertical="center"/>
    </xf>
    <xf numFmtId="164" fontId="3" fillId="0" borderId="10" xfId="0" applyNumberFormat="1" applyFont="1" applyFill="1" applyBorder="1" applyAlignment="1" applyProtection="1">
      <alignment horizontal="center" vertical="center"/>
    </xf>
    <xf numFmtId="164" fontId="3" fillId="0" borderId="3" xfId="0" applyNumberFormat="1" applyFont="1" applyFill="1" applyBorder="1" applyAlignment="1" applyProtection="1">
      <alignment horizontal="center" vertical="center"/>
    </xf>
    <xf numFmtId="164" fontId="3" fillId="3" borderId="3" xfId="0" applyNumberFormat="1" applyFont="1" applyFill="1" applyBorder="1" applyAlignment="1" applyProtection="1">
      <alignment horizontal="center" vertical="center"/>
    </xf>
    <xf numFmtId="1" fontId="22" fillId="0" borderId="0" xfId="0" applyNumberFormat="1" applyFont="1" applyFill="1" applyAlignment="1">
      <alignment vertical="center"/>
    </xf>
    <xf numFmtId="0" fontId="3" fillId="0" borderId="0" xfId="0" applyFont="1" applyFill="1" applyBorder="1" applyAlignment="1" applyProtection="1">
      <alignment vertical="center"/>
      <protection hidden="1"/>
    </xf>
    <xf numFmtId="3" fontId="7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3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 vertical="center"/>
    </xf>
    <xf numFmtId="164" fontId="3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0" fontId="3" fillId="0" borderId="0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Alignment="1">
      <alignment horizontal="center" vertical="center"/>
    </xf>
    <xf numFmtId="1" fontId="3" fillId="0" borderId="20" xfId="0" applyNumberFormat="1" applyFont="1" applyFill="1" applyBorder="1" applyAlignment="1" applyProtection="1">
      <alignment vertical="center"/>
    </xf>
    <xf numFmtId="1" fontId="3" fillId="0" borderId="21" xfId="0" applyNumberFormat="1" applyFont="1" applyFill="1" applyBorder="1" applyAlignment="1" applyProtection="1">
      <alignment vertical="center"/>
    </xf>
    <xf numFmtId="1" fontId="3" fillId="3" borderId="21" xfId="0" applyNumberFormat="1" applyFont="1" applyFill="1" applyBorder="1" applyAlignment="1" applyProtection="1">
      <alignment vertical="center"/>
    </xf>
    <xf numFmtId="1" fontId="3" fillId="0" borderId="22" xfId="0" applyNumberFormat="1" applyFont="1" applyFill="1" applyBorder="1" applyAlignment="1" applyProtection="1">
      <alignment vertical="center"/>
    </xf>
    <xf numFmtId="164" fontId="1" fillId="0" borderId="0" xfId="0" applyNumberFormat="1" applyFont="1" applyFill="1" applyBorder="1" applyAlignment="1" applyProtection="1">
      <alignment vertical="center"/>
    </xf>
    <xf numFmtId="164" fontId="3" fillId="0" borderId="24" xfId="0" applyNumberFormat="1" applyFont="1" applyFill="1" applyBorder="1" applyAlignment="1" applyProtection="1">
      <alignment vertical="center"/>
      <protection hidden="1"/>
    </xf>
    <xf numFmtId="164" fontId="3" fillId="0" borderId="24" xfId="0" applyNumberFormat="1" applyFont="1" applyFill="1" applyBorder="1" applyAlignment="1" applyProtection="1">
      <alignment horizontal="center" vertical="center"/>
      <protection hidden="1"/>
    </xf>
    <xf numFmtId="0" fontId="3" fillId="0" borderId="25" xfId="0" applyFont="1" applyFill="1" applyBorder="1" applyAlignment="1" applyProtection="1">
      <alignment horizontal="center" vertical="center"/>
      <protection hidden="1"/>
    </xf>
    <xf numFmtId="164" fontId="3" fillId="0" borderId="26" xfId="0" applyNumberFormat="1" applyFont="1" applyFill="1" applyBorder="1" applyAlignment="1" applyProtection="1">
      <alignment horizontal="center" vertical="center"/>
      <protection hidden="1"/>
    </xf>
    <xf numFmtId="164" fontId="1" fillId="0" borderId="24" xfId="0" applyNumberFormat="1" applyFont="1" applyFill="1" applyBorder="1" applyAlignment="1" applyProtection="1">
      <alignment horizontal="center" vertical="center"/>
      <protection hidden="1"/>
    </xf>
    <xf numFmtId="0" fontId="1" fillId="0" borderId="25" xfId="0" applyFont="1" applyFill="1" applyBorder="1" applyAlignment="1" applyProtection="1">
      <alignment horizontal="center" vertical="center"/>
      <protection hidden="1"/>
    </xf>
    <xf numFmtId="164" fontId="1" fillId="0" borderId="26" xfId="0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Alignment="1" applyProtection="1">
      <alignment vertical="center"/>
      <protection hidden="1"/>
    </xf>
    <xf numFmtId="164" fontId="1" fillId="0" borderId="24" xfId="0" applyNumberFormat="1" applyFont="1" applyFill="1" applyBorder="1" applyAlignment="1" applyProtection="1">
      <alignment vertical="center"/>
      <protection hidden="1"/>
    </xf>
    <xf numFmtId="0" fontId="3" fillId="0" borderId="0" xfId="0" applyFont="1" applyFill="1" applyBorder="1" applyAlignment="1" applyProtection="1">
      <alignment horizontal="center" vertical="center"/>
      <protection hidden="1"/>
    </xf>
    <xf numFmtId="164" fontId="3" fillId="0" borderId="0" xfId="0" applyNumberFormat="1" applyFont="1" applyFill="1" applyBorder="1" applyAlignment="1" applyProtection="1">
      <alignment horizontal="center" vertical="center"/>
      <protection hidden="1"/>
    </xf>
    <xf numFmtId="164" fontId="3" fillId="0" borderId="27" xfId="0" applyNumberFormat="1" applyFont="1" applyFill="1" applyBorder="1" applyAlignment="1" applyProtection="1">
      <alignment horizontal="center" vertical="center"/>
    </xf>
    <xf numFmtId="0" fontId="1" fillId="0" borderId="28" xfId="0" applyFont="1" applyFill="1" applyBorder="1" applyAlignment="1">
      <alignment vertical="center" wrapText="1"/>
    </xf>
    <xf numFmtId="164" fontId="3" fillId="0" borderId="30" xfId="0" applyNumberFormat="1" applyFont="1" applyFill="1" applyBorder="1" applyAlignment="1" applyProtection="1">
      <alignment horizontal="center" vertical="center"/>
    </xf>
    <xf numFmtId="164" fontId="3" fillId="0" borderId="31" xfId="0" applyNumberFormat="1" applyFont="1" applyFill="1" applyBorder="1" applyAlignment="1" applyProtection="1">
      <alignment horizontal="center" vertical="center"/>
    </xf>
    <xf numFmtId="168" fontId="3" fillId="0" borderId="31" xfId="0" applyNumberFormat="1" applyFont="1" applyFill="1" applyBorder="1" applyAlignment="1" applyProtection="1">
      <alignment horizontal="center" vertical="center"/>
    </xf>
    <xf numFmtId="164" fontId="1" fillId="0" borderId="0" xfId="0" applyNumberFormat="1" applyFont="1" applyFill="1" applyBorder="1" applyAlignment="1" applyProtection="1">
      <alignment horizontal="center" vertical="center"/>
    </xf>
    <xf numFmtId="1" fontId="1" fillId="0" borderId="29" xfId="0" applyNumberFormat="1" applyFont="1" applyFill="1" applyBorder="1" applyAlignment="1" applyProtection="1">
      <alignment vertical="center"/>
    </xf>
    <xf numFmtId="1" fontId="1" fillId="0" borderId="33" xfId="0" applyNumberFormat="1" applyFont="1" applyFill="1" applyBorder="1" applyAlignment="1" applyProtection="1">
      <alignment vertical="center"/>
    </xf>
    <xf numFmtId="1" fontId="1" fillId="0" borderId="32" xfId="0" applyNumberFormat="1" applyFont="1" applyFill="1" applyBorder="1" applyAlignment="1" applyProtection="1">
      <alignment vertical="center"/>
    </xf>
    <xf numFmtId="1" fontId="1" fillId="0" borderId="27" xfId="0" applyNumberFormat="1" applyFont="1" applyFill="1" applyBorder="1" applyAlignment="1" applyProtection="1">
      <alignment vertical="center"/>
    </xf>
    <xf numFmtId="164" fontId="3" fillId="0" borderId="24" xfId="0" applyNumberFormat="1" applyFont="1" applyFill="1" applyBorder="1" applyAlignment="1" applyProtection="1">
      <alignment horizontal="center" vertical="center"/>
    </xf>
    <xf numFmtId="164" fontId="7" fillId="0" borderId="24" xfId="0" applyNumberFormat="1" applyFont="1" applyFill="1" applyBorder="1" applyAlignment="1" applyProtection="1">
      <alignment vertical="center"/>
    </xf>
    <xf numFmtId="0" fontId="0" fillId="0" borderId="24" xfId="0" applyFill="1" applyBorder="1" applyAlignment="1">
      <alignment vertical="center"/>
    </xf>
    <xf numFmtId="164" fontId="7" fillId="0" borderId="24" xfId="0" applyNumberFormat="1" applyFont="1" applyFill="1" applyBorder="1" applyAlignment="1" applyProtection="1">
      <alignment horizontal="right" vertical="center"/>
    </xf>
    <xf numFmtId="164" fontId="7" fillId="0" borderId="24" xfId="0" applyNumberFormat="1" applyFont="1" applyFill="1" applyBorder="1" applyAlignment="1" applyProtection="1">
      <alignment horizontal="center" vertical="center"/>
    </xf>
    <xf numFmtId="164" fontId="7" fillId="0" borderId="24" xfId="0" applyNumberFormat="1" applyFont="1" applyFill="1" applyBorder="1" applyAlignment="1" applyProtection="1">
      <alignment horizontal="left" vertical="center"/>
    </xf>
    <xf numFmtId="0" fontId="3" fillId="0" borderId="24" xfId="0" applyFont="1" applyFill="1" applyBorder="1" applyAlignment="1" applyProtection="1">
      <alignment vertical="center"/>
      <protection hidden="1"/>
    </xf>
    <xf numFmtId="2" fontId="3" fillId="0" borderId="24" xfId="0" applyNumberFormat="1" applyFont="1" applyFill="1" applyBorder="1" applyAlignment="1" applyProtection="1">
      <alignment horizontal="center" vertical="center"/>
    </xf>
    <xf numFmtId="0" fontId="0" fillId="0" borderId="24" xfId="0" applyFill="1" applyBorder="1"/>
    <xf numFmtId="0" fontId="0" fillId="0" borderId="24" xfId="0" applyFill="1" applyBorder="1" applyAlignment="1">
      <alignment horizontal="center" vertical="center"/>
    </xf>
    <xf numFmtId="164" fontId="0" fillId="0" borderId="24" xfId="0" applyNumberFormat="1" applyBorder="1" applyAlignment="1">
      <alignment horizontal="right"/>
    </xf>
    <xf numFmtId="0" fontId="0" fillId="0" borderId="24" xfId="0" applyBorder="1" applyAlignment="1">
      <alignment horizontal="right"/>
    </xf>
    <xf numFmtId="0" fontId="3" fillId="0" borderId="24" xfId="0" applyFont="1" applyFill="1" applyBorder="1" applyAlignment="1" applyProtection="1">
      <alignment horizontal="right" vertical="center"/>
      <protection hidden="1"/>
    </xf>
    <xf numFmtId="169" fontId="1" fillId="0" borderId="24" xfId="0" applyNumberFormat="1" applyFont="1" applyFill="1" applyBorder="1" applyAlignment="1" applyProtection="1">
      <alignment vertical="center"/>
      <protection hidden="1"/>
    </xf>
    <xf numFmtId="164" fontId="2" fillId="0" borderId="24" xfId="0" applyNumberFormat="1" applyFont="1" applyFill="1" applyBorder="1" applyAlignment="1" applyProtection="1">
      <alignment horizontal="center" vertical="center"/>
    </xf>
    <xf numFmtId="0" fontId="0" fillId="0" borderId="24" xfId="0" applyFill="1" applyBorder="1" applyAlignment="1">
      <alignment horizontal="center"/>
    </xf>
    <xf numFmtId="164" fontId="23" fillId="3" borderId="13" xfId="0" applyNumberFormat="1" applyFont="1" applyFill="1" applyBorder="1" applyAlignment="1" applyProtection="1">
      <alignment horizontal="center" vertical="center"/>
    </xf>
    <xf numFmtId="164" fontId="3" fillId="3" borderId="13" xfId="0" applyNumberFormat="1" applyFont="1" applyFill="1" applyBorder="1" applyAlignment="1" applyProtection="1">
      <alignment horizontal="center" vertical="center"/>
    </xf>
    <xf numFmtId="0" fontId="25" fillId="0" borderId="0" xfId="0" applyFont="1" applyFill="1" applyAlignment="1">
      <alignment vertical="center"/>
    </xf>
    <xf numFmtId="3" fontId="25" fillId="0" borderId="0" xfId="0" applyNumberFormat="1" applyFont="1" applyFill="1" applyAlignment="1">
      <alignment horizontal="center" vertical="center"/>
    </xf>
    <xf numFmtId="22" fontId="5" fillId="0" borderId="0" xfId="0" applyNumberFormat="1" applyFont="1" applyFill="1" applyAlignment="1">
      <alignment horizontal="center" vertical="center"/>
    </xf>
    <xf numFmtId="170" fontId="3" fillId="0" borderId="0" xfId="0" applyNumberFormat="1" applyFont="1" applyFill="1" applyAlignment="1">
      <alignment vertical="center"/>
    </xf>
    <xf numFmtId="1" fontId="27" fillId="0" borderId="0" xfId="0" applyNumberFormat="1" applyFont="1" applyFill="1" applyAlignment="1">
      <alignment vertical="center"/>
    </xf>
    <xf numFmtId="164" fontId="0" fillId="0" borderId="0" xfId="0" applyNumberFormat="1" applyFill="1" applyBorder="1" applyAlignment="1">
      <alignment vertical="center"/>
    </xf>
    <xf numFmtId="0" fontId="28" fillId="0" borderId="0" xfId="0" applyFont="1" applyFill="1" applyBorder="1" applyAlignment="1">
      <alignment vertical="center"/>
    </xf>
    <xf numFmtId="169" fontId="3" fillId="0" borderId="0" xfId="0" applyNumberFormat="1" applyFont="1" applyFill="1" applyBorder="1" applyAlignment="1" applyProtection="1">
      <alignment vertical="center"/>
      <protection hidden="1"/>
    </xf>
    <xf numFmtId="164" fontId="0" fillId="4" borderId="9" xfId="0" applyNumberFormat="1" applyFill="1" applyBorder="1" applyAlignment="1" applyProtection="1">
      <alignment horizontal="center" vertical="center"/>
    </xf>
    <xf numFmtId="1" fontId="0" fillId="0" borderId="0" xfId="0" applyNumberFormat="1" applyFill="1" applyAlignment="1">
      <alignment vertical="center"/>
    </xf>
    <xf numFmtId="164" fontId="3" fillId="0" borderId="0" xfId="0" applyNumberFormat="1" applyFont="1" applyFill="1" applyBorder="1" applyAlignment="1" applyProtection="1">
      <alignment vertical="center"/>
      <protection hidden="1"/>
    </xf>
    <xf numFmtId="0" fontId="0" fillId="0" borderId="27" xfId="0" applyFill="1" applyBorder="1" applyAlignment="1">
      <alignment horizontal="center" vertical="center"/>
    </xf>
    <xf numFmtId="0" fontId="0" fillId="0" borderId="27" xfId="0" applyFill="1" applyBorder="1" applyAlignment="1">
      <alignment vertical="center"/>
    </xf>
    <xf numFmtId="164" fontId="1" fillId="0" borderId="27" xfId="0" applyNumberFormat="1" applyFont="1" applyFill="1" applyBorder="1" applyAlignment="1" applyProtection="1">
      <alignment vertical="center"/>
      <protection hidden="1"/>
    </xf>
    <xf numFmtId="169" fontId="1" fillId="0" borderId="27" xfId="0" applyNumberFormat="1" applyFont="1" applyFill="1" applyBorder="1" applyAlignment="1" applyProtection="1">
      <alignment vertical="center"/>
      <protection hidden="1"/>
    </xf>
    <xf numFmtId="0" fontId="0" fillId="0" borderId="23" xfId="0" applyFill="1" applyBorder="1" applyAlignment="1">
      <alignment vertical="center"/>
    </xf>
    <xf numFmtId="0" fontId="3" fillId="0" borderId="23" xfId="0" applyFont="1" applyFill="1" applyBorder="1" applyAlignment="1" applyProtection="1">
      <alignment vertical="center"/>
      <protection hidden="1"/>
    </xf>
    <xf numFmtId="0" fontId="29" fillId="0" borderId="0" xfId="0" applyFont="1" applyFill="1" applyAlignment="1">
      <alignment vertical="center"/>
    </xf>
    <xf numFmtId="0" fontId="29" fillId="0" borderId="0" xfId="0" applyFont="1" applyFill="1" applyBorder="1" applyAlignment="1">
      <alignment vertical="center"/>
    </xf>
    <xf numFmtId="0" fontId="30" fillId="0" borderId="0" xfId="0" applyFont="1" applyFill="1" applyBorder="1" applyAlignment="1">
      <alignment vertical="center"/>
    </xf>
    <xf numFmtId="164" fontId="3" fillId="0" borderId="34" xfId="0" applyNumberFormat="1" applyFont="1" applyFill="1" applyBorder="1" applyAlignment="1" applyProtection="1">
      <alignment vertical="center"/>
    </xf>
    <xf numFmtId="164" fontId="3" fillId="0" borderId="35" xfId="0" applyNumberFormat="1" applyFont="1" applyFill="1" applyBorder="1" applyAlignment="1" applyProtection="1">
      <alignment vertical="center"/>
    </xf>
    <xf numFmtId="164" fontId="3" fillId="0" borderId="36" xfId="0" applyNumberFormat="1" applyFont="1" applyFill="1" applyBorder="1" applyAlignment="1" applyProtection="1">
      <alignment vertical="center"/>
    </xf>
    <xf numFmtId="1" fontId="25" fillId="0" borderId="0" xfId="0" applyNumberFormat="1" applyFont="1" applyFill="1" applyAlignment="1">
      <alignment vertical="center"/>
    </xf>
    <xf numFmtId="164" fontId="3" fillId="5" borderId="0" xfId="0" applyNumberFormat="1" applyFont="1" applyFill="1" applyBorder="1" applyAlignment="1" applyProtection="1">
      <alignment horizontal="center" vertical="center"/>
    </xf>
    <xf numFmtId="0" fontId="0" fillId="5" borderId="0" xfId="0" applyFill="1" applyBorder="1" applyAlignment="1">
      <alignment vertical="center"/>
    </xf>
    <xf numFmtId="169" fontId="1" fillId="5" borderId="24" xfId="0" applyNumberFormat="1" applyFont="1" applyFill="1" applyBorder="1" applyAlignment="1" applyProtection="1">
      <alignment vertical="center"/>
      <protection hidden="1"/>
    </xf>
    <xf numFmtId="164" fontId="0" fillId="5" borderId="0" xfId="0" applyNumberFormat="1" applyFill="1" applyBorder="1" applyAlignment="1">
      <alignment vertical="center"/>
    </xf>
    <xf numFmtId="0" fontId="28" fillId="9" borderId="0" xfId="0" applyFont="1" applyFill="1" applyBorder="1" applyAlignment="1">
      <alignment vertical="center"/>
    </xf>
    <xf numFmtId="0" fontId="6" fillId="9" borderId="0" xfId="0" applyFont="1" applyFill="1" applyBorder="1" applyAlignment="1">
      <alignment vertical="center"/>
    </xf>
    <xf numFmtId="164" fontId="2" fillId="0" borderId="35" xfId="0" applyNumberFormat="1" applyFont="1" applyFill="1" applyBorder="1" applyAlignment="1" applyProtection="1">
      <alignment horizontal="center" vertical="center"/>
    </xf>
    <xf numFmtId="164" fontId="2" fillId="0" borderId="37" xfId="0" applyNumberFormat="1" applyFont="1" applyFill="1" applyBorder="1" applyAlignment="1" applyProtection="1">
      <alignment horizontal="center" vertical="center"/>
    </xf>
    <xf numFmtId="164" fontId="2" fillId="0" borderId="38" xfId="0" applyNumberFormat="1" applyFont="1" applyFill="1" applyBorder="1" applyAlignment="1" applyProtection="1">
      <alignment horizontal="center" vertical="center"/>
    </xf>
    <xf numFmtId="0" fontId="5" fillId="0" borderId="2" xfId="0" applyFont="1" applyFill="1" applyBorder="1" applyAlignment="1">
      <alignment horizontal="right" vertical="center"/>
    </xf>
    <xf numFmtId="0" fontId="1" fillId="10" borderId="39" xfId="0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0" fillId="13" borderId="0" xfId="0" applyFill="1" applyAlignment="1">
      <alignment vertical="center"/>
    </xf>
    <xf numFmtId="0" fontId="0" fillId="13" borderId="0" xfId="0" applyFill="1" applyBorder="1" applyAlignment="1">
      <alignment vertical="center"/>
    </xf>
    <xf numFmtId="0" fontId="3" fillId="13" borderId="0" xfId="0" applyFont="1" applyFill="1" applyBorder="1" applyAlignment="1" applyProtection="1">
      <alignment vertical="center"/>
      <protection hidden="1"/>
    </xf>
    <xf numFmtId="169" fontId="1" fillId="13" borderId="24" xfId="0" applyNumberFormat="1" applyFont="1" applyFill="1" applyBorder="1" applyAlignment="1" applyProtection="1">
      <alignment vertical="center"/>
      <protection hidden="1"/>
    </xf>
    <xf numFmtId="1" fontId="5" fillId="0" borderId="0" xfId="0" applyNumberFormat="1" applyFont="1" applyFill="1" applyAlignment="1">
      <alignment horizontal="left" vertical="center"/>
    </xf>
    <xf numFmtId="0" fontId="32" fillId="0" borderId="0" xfId="0" applyFont="1" applyFill="1" applyAlignment="1" applyProtection="1">
      <alignment horizontal="center" vertical="center"/>
      <protection hidden="1"/>
    </xf>
    <xf numFmtId="167" fontId="32" fillId="0" borderId="0" xfId="0" applyNumberFormat="1" applyFont="1" applyFill="1" applyBorder="1" applyAlignment="1" applyProtection="1">
      <alignment horizontal="center" vertical="center"/>
      <protection hidden="1"/>
    </xf>
    <xf numFmtId="0" fontId="21" fillId="0" borderId="0" xfId="0" applyFont="1" applyFill="1" applyBorder="1" applyAlignment="1" applyProtection="1">
      <alignment vertical="center"/>
      <protection hidden="1"/>
    </xf>
    <xf numFmtId="0" fontId="21" fillId="0" borderId="45" xfId="0" applyFont="1" applyFill="1" applyBorder="1" applyAlignment="1" applyProtection="1">
      <alignment horizontal="left" vertical="center"/>
      <protection hidden="1"/>
    </xf>
    <xf numFmtId="0" fontId="21" fillId="0" borderId="35" xfId="0" applyFont="1" applyFill="1" applyBorder="1" applyAlignment="1" applyProtection="1">
      <alignment horizontal="center" vertical="center"/>
      <protection hidden="1"/>
    </xf>
    <xf numFmtId="0" fontId="21" fillId="0" borderId="46" xfId="0" applyFont="1" applyFill="1" applyBorder="1" applyAlignment="1" applyProtection="1">
      <alignment horizontal="center" vertical="center"/>
      <protection hidden="1"/>
    </xf>
    <xf numFmtId="0" fontId="33" fillId="14" borderId="47" xfId="0" applyFont="1" applyFill="1" applyBorder="1" applyAlignment="1" applyProtection="1">
      <alignment horizontal="center" vertical="center"/>
      <protection hidden="1"/>
    </xf>
    <xf numFmtId="0" fontId="33" fillId="14" borderId="0" xfId="0" applyFont="1" applyFill="1" applyBorder="1" applyAlignment="1" applyProtection="1">
      <alignment horizontal="center" vertical="center"/>
      <protection hidden="1"/>
    </xf>
    <xf numFmtId="0" fontId="21" fillId="0" borderId="0" xfId="0" applyFont="1" applyFill="1" applyBorder="1" applyAlignment="1" applyProtection="1">
      <alignment horizontal="center" vertical="center"/>
      <protection hidden="1"/>
    </xf>
    <xf numFmtId="15" fontId="21" fillId="0" borderId="35" xfId="0" applyNumberFormat="1" applyFont="1" applyFill="1" applyBorder="1" applyAlignment="1" applyProtection="1">
      <alignment horizontal="center" vertical="center"/>
      <protection hidden="1"/>
    </xf>
    <xf numFmtId="0" fontId="6" fillId="0" borderId="45" xfId="0" applyFont="1" applyFill="1" applyBorder="1" applyAlignment="1" applyProtection="1">
      <alignment horizontal="left" vertical="center"/>
      <protection hidden="1"/>
    </xf>
    <xf numFmtId="1" fontId="21" fillId="0" borderId="0" xfId="0" applyNumberFormat="1" applyFont="1" applyFill="1" applyBorder="1" applyAlignment="1" applyProtection="1">
      <alignment vertical="center"/>
      <protection hidden="1"/>
    </xf>
    <xf numFmtId="1" fontId="21" fillId="0" borderId="0" xfId="0" applyNumberFormat="1" applyFont="1" applyFill="1" applyBorder="1" applyAlignment="1" applyProtection="1">
      <alignment horizontal="center" vertical="center"/>
      <protection hidden="1"/>
    </xf>
    <xf numFmtId="15" fontId="21" fillId="0" borderId="0" xfId="0" applyNumberFormat="1" applyFont="1" applyFill="1" applyAlignment="1" applyProtection="1">
      <alignment horizontal="center" vertical="center"/>
      <protection hidden="1"/>
    </xf>
    <xf numFmtId="0" fontId="21" fillId="14" borderId="0" xfId="0" applyFont="1" applyFill="1" applyBorder="1" applyAlignment="1" applyProtection="1">
      <alignment horizontal="center" vertical="center"/>
      <protection hidden="1"/>
    </xf>
    <xf numFmtId="0" fontId="3" fillId="14" borderId="48" xfId="0" applyFont="1" applyFill="1" applyBorder="1" applyAlignment="1" applyProtection="1">
      <alignment vertical="center"/>
      <protection hidden="1"/>
    </xf>
    <xf numFmtId="0" fontId="3" fillId="14" borderId="49" xfId="0" applyFont="1" applyFill="1" applyBorder="1" applyAlignment="1" applyProtection="1">
      <alignment vertical="center"/>
      <protection hidden="1"/>
    </xf>
    <xf numFmtId="1" fontId="34" fillId="14" borderId="1" xfId="0" applyNumberFormat="1" applyFont="1" applyFill="1" applyBorder="1" applyAlignment="1" applyProtection="1">
      <alignment horizontal="center" vertical="center"/>
      <protection hidden="1"/>
    </xf>
    <xf numFmtId="1" fontId="33" fillId="14" borderId="1" xfId="0" applyNumberFormat="1" applyFont="1" applyFill="1" applyBorder="1" applyAlignment="1" applyProtection="1">
      <alignment horizontal="center" vertical="center"/>
      <protection hidden="1"/>
    </xf>
    <xf numFmtId="164" fontId="33" fillId="14" borderId="1" xfId="0" applyNumberFormat="1" applyFont="1" applyFill="1" applyBorder="1" applyAlignment="1" applyProtection="1">
      <alignment horizontal="center" vertical="center"/>
      <protection hidden="1"/>
    </xf>
    <xf numFmtId="164" fontId="33" fillId="14" borderId="50" xfId="0" applyNumberFormat="1" applyFont="1" applyFill="1" applyBorder="1" applyAlignment="1" applyProtection="1">
      <alignment horizontal="center" vertical="center"/>
      <protection hidden="1"/>
    </xf>
    <xf numFmtId="1" fontId="34" fillId="14" borderId="51" xfId="0" applyNumberFormat="1" applyFont="1" applyFill="1" applyBorder="1" applyAlignment="1" applyProtection="1">
      <alignment horizontal="center" vertical="center"/>
      <protection hidden="1"/>
    </xf>
    <xf numFmtId="1" fontId="17" fillId="14" borderId="48" xfId="0" applyNumberFormat="1" applyFont="1" applyFill="1" applyBorder="1" applyAlignment="1" applyProtection="1">
      <alignment horizontal="center" vertical="center"/>
      <protection hidden="1"/>
    </xf>
    <xf numFmtId="0" fontId="17" fillId="14" borderId="49" xfId="0" applyFont="1" applyFill="1" applyBorder="1" applyAlignment="1" applyProtection="1">
      <alignment horizontal="center" vertical="center"/>
      <protection hidden="1"/>
    </xf>
    <xf numFmtId="169" fontId="21" fillId="0" borderId="1" xfId="0" applyNumberFormat="1" applyFont="1" applyFill="1" applyBorder="1" applyAlignment="1" applyProtection="1">
      <alignment vertical="center"/>
      <protection hidden="1"/>
    </xf>
    <xf numFmtId="169" fontId="21" fillId="0" borderId="1" xfId="0" quotePrefix="1" applyNumberFormat="1" applyFont="1" applyFill="1" applyBorder="1" applyAlignment="1" applyProtection="1">
      <alignment horizontal="center" vertical="center"/>
      <protection hidden="1"/>
    </xf>
    <xf numFmtId="169" fontId="21" fillId="0" borderId="50" xfId="0" quotePrefix="1" applyNumberFormat="1" applyFont="1" applyFill="1" applyBorder="1" applyAlignment="1" applyProtection="1">
      <alignment horizontal="center" vertical="center"/>
      <protection hidden="1"/>
    </xf>
    <xf numFmtId="169" fontId="21" fillId="0" borderId="50" xfId="0" applyNumberFormat="1" applyFont="1" applyFill="1" applyBorder="1" applyAlignment="1" applyProtection="1">
      <alignment vertical="center"/>
      <protection hidden="1"/>
    </xf>
    <xf numFmtId="169" fontId="21" fillId="0" borderId="51" xfId="0" applyNumberFormat="1" applyFont="1" applyFill="1" applyBorder="1" applyAlignment="1" applyProtection="1">
      <alignment vertical="center"/>
      <protection hidden="1"/>
    </xf>
    <xf numFmtId="3" fontId="21" fillId="0" borderId="0" xfId="0" applyNumberFormat="1" applyFont="1" applyFill="1" applyBorder="1" applyAlignment="1" applyProtection="1">
      <alignment vertical="center"/>
      <protection hidden="1"/>
    </xf>
    <xf numFmtId="0" fontId="3" fillId="0" borderId="0" xfId="0" applyFont="1" applyFill="1" applyAlignment="1" applyProtection="1">
      <alignment horizontal="center" vertical="center"/>
      <protection hidden="1"/>
    </xf>
    <xf numFmtId="172" fontId="21" fillId="9" borderId="0" xfId="0" applyNumberFormat="1" applyFont="1" applyFill="1" applyBorder="1" applyAlignment="1" applyProtection="1">
      <alignment horizontal="center" vertical="center"/>
      <protection hidden="1"/>
    </xf>
    <xf numFmtId="0" fontId="21" fillId="0" borderId="35" xfId="0" applyFont="1" applyFill="1" applyBorder="1" applyAlignment="1" applyProtection="1">
      <alignment vertical="center"/>
      <protection hidden="1"/>
    </xf>
    <xf numFmtId="1" fontId="32" fillId="0" borderId="0" xfId="0" applyNumberFormat="1" applyFont="1" applyFill="1" applyBorder="1" applyAlignment="1" applyProtection="1">
      <alignment horizontal="center" vertical="center"/>
      <protection hidden="1"/>
    </xf>
    <xf numFmtId="173" fontId="6" fillId="0" borderId="0" xfId="0" applyNumberFormat="1" applyFont="1" applyFill="1" applyBorder="1" applyAlignment="1">
      <alignment vertical="center"/>
    </xf>
    <xf numFmtId="169" fontId="0" fillId="0" borderId="0" xfId="0" applyNumberFormat="1" applyFont="1" applyFill="1" applyBorder="1" applyAlignment="1" applyProtection="1">
      <alignment vertical="center"/>
      <protection hidden="1"/>
    </xf>
    <xf numFmtId="172" fontId="21" fillId="0" borderId="51" xfId="0" quotePrefix="1" applyNumberFormat="1" applyFont="1" applyFill="1" applyBorder="1" applyAlignment="1" applyProtection="1">
      <alignment horizontal="center" vertical="center"/>
      <protection hidden="1"/>
    </xf>
    <xf numFmtId="0" fontId="3" fillId="14" borderId="69" xfId="0" applyFont="1" applyFill="1" applyBorder="1" applyAlignment="1" applyProtection="1">
      <alignment vertical="center"/>
      <protection hidden="1"/>
    </xf>
    <xf numFmtId="1" fontId="7" fillId="0" borderId="0" xfId="0" applyNumberFormat="1" applyFont="1" applyFill="1" applyAlignment="1">
      <alignment vertical="center"/>
    </xf>
    <xf numFmtId="164" fontId="0" fillId="0" borderId="1" xfId="0" quotePrefix="1" applyNumberFormat="1" applyFill="1" applyBorder="1" applyAlignment="1" applyProtection="1">
      <alignment horizontal="center" vertical="center"/>
    </xf>
    <xf numFmtId="164" fontId="3" fillId="0" borderId="1" xfId="0" applyNumberFormat="1" applyFont="1" applyFill="1" applyBorder="1" applyAlignment="1" applyProtection="1">
      <alignment horizontal="center" vertical="center"/>
    </xf>
    <xf numFmtId="168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vertical="center"/>
    </xf>
    <xf numFmtId="1" fontId="23" fillId="0" borderId="1" xfId="0" applyNumberFormat="1" applyFont="1" applyFill="1" applyBorder="1" applyAlignment="1" applyProtection="1">
      <alignment vertical="center"/>
    </xf>
    <xf numFmtId="1" fontId="3" fillId="0" borderId="45" xfId="0" applyNumberFormat="1" applyFont="1" applyFill="1" applyBorder="1" applyAlignment="1" applyProtection="1">
      <alignment vertical="center"/>
    </xf>
    <xf numFmtId="171" fontId="3" fillId="0" borderId="51" xfId="0" applyNumberFormat="1" applyFont="1" applyFill="1" applyBorder="1" applyAlignment="1" applyProtection="1">
      <alignment vertical="center"/>
    </xf>
    <xf numFmtId="1" fontId="3" fillId="0" borderId="50" xfId="0" applyNumberFormat="1" applyFont="1" applyFill="1" applyBorder="1" applyAlignment="1" applyProtection="1">
      <alignment vertical="center"/>
    </xf>
    <xf numFmtId="1" fontId="3" fillId="0" borderId="46" xfId="0" applyNumberFormat="1" applyFont="1" applyFill="1" applyBorder="1" applyAlignment="1" applyProtection="1">
      <alignment vertical="center"/>
    </xf>
    <xf numFmtId="1" fontId="3" fillId="0" borderId="51" xfId="0" applyNumberFormat="1" applyFont="1" applyFill="1" applyBorder="1" applyAlignment="1" applyProtection="1">
      <alignment vertical="center"/>
    </xf>
    <xf numFmtId="0" fontId="33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" fontId="0" fillId="0" borderId="1" xfId="0" applyNumberFormat="1" applyFont="1" applyFill="1" applyBorder="1" applyAlignment="1" applyProtection="1">
      <alignment vertical="center"/>
    </xf>
    <xf numFmtId="1" fontId="0" fillId="5" borderId="0" xfId="0" applyNumberFormat="1" applyFill="1" applyBorder="1" applyAlignment="1">
      <alignment vertical="center"/>
    </xf>
    <xf numFmtId="0" fontId="21" fillId="0" borderId="35" xfId="0" applyNumberFormat="1" applyFont="1" applyFill="1" applyBorder="1" applyAlignment="1" applyProtection="1">
      <alignment horizontal="center" vertical="center"/>
      <protection hidden="1"/>
    </xf>
    <xf numFmtId="0" fontId="35" fillId="0" borderId="47" xfId="0" applyFont="1" applyFill="1" applyBorder="1" applyAlignment="1">
      <alignment vertical="center" wrapText="1"/>
    </xf>
    <xf numFmtId="172" fontId="21" fillId="0" borderId="46" xfId="0" quotePrefix="1" applyNumberFormat="1" applyFont="1" applyFill="1" applyBorder="1" applyAlignment="1" applyProtection="1">
      <alignment horizontal="center" vertical="center"/>
      <protection hidden="1"/>
    </xf>
    <xf numFmtId="0" fontId="21" fillId="0" borderId="52" xfId="0" applyFont="1" applyFill="1" applyBorder="1" applyAlignment="1" applyProtection="1">
      <alignment vertical="center"/>
      <protection hidden="1"/>
    </xf>
    <xf numFmtId="49" fontId="1" fillId="0" borderId="1" xfId="0" quotePrefix="1" applyNumberFormat="1" applyFont="1" applyFill="1" applyBorder="1" applyAlignment="1" applyProtection="1">
      <alignment horizontal="center" vertical="center"/>
    </xf>
    <xf numFmtId="0" fontId="20" fillId="0" borderId="70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 applyProtection="1">
      <alignment horizontal="center" vertical="center"/>
      <protection hidden="1"/>
    </xf>
    <xf numFmtId="0" fontId="1" fillId="0" borderId="1" xfId="0" applyFont="1" applyFill="1" applyBorder="1" applyAlignment="1" applyProtection="1">
      <alignment horizontal="center" vertical="center"/>
      <protection hidden="1"/>
    </xf>
    <xf numFmtId="164" fontId="1" fillId="18" borderId="25" xfId="0" applyNumberFormat="1" applyFont="1" applyFill="1" applyBorder="1" applyAlignment="1" applyProtection="1">
      <alignment horizontal="center" vertical="center"/>
    </xf>
    <xf numFmtId="173" fontId="6" fillId="0" borderId="0" xfId="0" applyNumberFormat="1" applyFont="1" applyFill="1" applyBorder="1" applyAlignment="1">
      <alignment horizontal="left" vertical="center"/>
    </xf>
    <xf numFmtId="164" fontId="1" fillId="17" borderId="25" xfId="0" applyNumberFormat="1" applyFont="1" applyFill="1" applyBorder="1" applyAlignment="1" applyProtection="1">
      <alignment horizontal="center" vertical="center"/>
    </xf>
    <xf numFmtId="1" fontId="1" fillId="17" borderId="23" xfId="0" applyNumberFormat="1" applyFont="1" applyFill="1" applyBorder="1" applyAlignment="1" applyProtection="1">
      <alignment vertical="center"/>
    </xf>
    <xf numFmtId="0" fontId="37" fillId="0" borderId="71" xfId="0" applyFont="1" applyFill="1" applyBorder="1" applyAlignment="1">
      <alignment vertical="center"/>
    </xf>
    <xf numFmtId="0" fontId="37" fillId="0" borderId="0" xfId="0" applyFont="1" applyFill="1" applyBorder="1" applyAlignment="1" applyProtection="1">
      <alignment vertical="center"/>
      <protection hidden="1"/>
    </xf>
    <xf numFmtId="0" fontId="21" fillId="0" borderId="47" xfId="0" applyFont="1" applyFill="1" applyBorder="1" applyAlignment="1">
      <alignment horizontal="left" vertical="center"/>
    </xf>
    <xf numFmtId="0" fontId="0" fillId="0" borderId="0" xfId="0" applyFill="1" applyAlignment="1">
      <alignment horizontal="righ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1" fontId="0" fillId="0" borderId="1" xfId="0" applyNumberForma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1" fontId="2" fillId="0" borderId="1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>
      <alignment vertical="center"/>
      <protection hidden="1"/>
    </xf>
    <xf numFmtId="1" fontId="0" fillId="0" borderId="0" xfId="0" applyNumberFormat="1" applyAlignment="1">
      <alignment vertical="center"/>
    </xf>
    <xf numFmtId="1" fontId="0" fillId="19" borderId="0" xfId="0" applyNumberFormat="1" applyFill="1" applyAlignment="1">
      <alignment vertical="center"/>
    </xf>
    <xf numFmtId="1" fontId="0" fillId="12" borderId="0" xfId="0" applyNumberFormat="1" applyFill="1" applyAlignment="1">
      <alignment vertical="center"/>
    </xf>
    <xf numFmtId="0" fontId="0" fillId="0" borderId="0" xfId="0" applyAlignment="1">
      <alignment vertical="center"/>
    </xf>
    <xf numFmtId="0" fontId="18" fillId="0" borderId="0" xfId="0" applyFont="1" applyFill="1" applyBorder="1" applyAlignment="1">
      <alignment horizontal="center" vertical="center"/>
    </xf>
    <xf numFmtId="0" fontId="5" fillId="0" borderId="71" xfId="0" applyFont="1" applyFill="1" applyBorder="1" applyAlignment="1">
      <alignment vertical="center"/>
    </xf>
    <xf numFmtId="0" fontId="1" fillId="20" borderId="0" xfId="0" applyFont="1" applyFill="1" applyBorder="1" applyAlignment="1">
      <alignment horizontal="center" vertical="center"/>
    </xf>
    <xf numFmtId="0" fontId="5" fillId="0" borderId="71" xfId="0" applyFont="1" applyFill="1" applyBorder="1" applyAlignment="1">
      <alignment horizontal="center" vertical="center" wrapText="1"/>
    </xf>
    <xf numFmtId="49" fontId="20" fillId="0" borderId="71" xfId="0" applyNumberFormat="1" applyFont="1" applyFill="1" applyBorder="1" applyAlignment="1">
      <alignment vertical="center"/>
    </xf>
    <xf numFmtId="0" fontId="1" fillId="11" borderId="0" xfId="0" applyFont="1" applyFill="1" applyBorder="1" applyAlignment="1">
      <alignment horizontal="center" vertical="center"/>
    </xf>
    <xf numFmtId="168" fontId="3" fillId="9" borderId="1" xfId="0" applyNumberFormat="1" applyFont="1" applyFill="1" applyBorder="1" applyAlignment="1" applyProtection="1">
      <alignment horizontal="center" vertical="center"/>
    </xf>
    <xf numFmtId="0" fontId="0" fillId="21" borderId="0" xfId="0" applyFill="1" applyAlignment="1">
      <alignment vertical="center"/>
    </xf>
    <xf numFmtId="168" fontId="3" fillId="10" borderId="1" xfId="0" applyNumberFormat="1" applyFont="1" applyFill="1" applyBorder="1" applyAlignment="1" applyProtection="1">
      <alignment horizontal="center" vertical="center"/>
    </xf>
    <xf numFmtId="0" fontId="1" fillId="12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" vertical="center" wrapText="1"/>
    </xf>
    <xf numFmtId="168" fontId="3" fillId="0" borderId="0" xfId="0" applyNumberFormat="1" applyFont="1" applyFill="1" applyBorder="1" applyAlignment="1" applyProtection="1">
      <alignment horizontal="center" vertical="center"/>
    </xf>
    <xf numFmtId="1" fontId="3" fillId="0" borderId="70" xfId="0" applyNumberFormat="1" applyFont="1" applyFill="1" applyBorder="1" applyAlignment="1" applyProtection="1">
      <alignment vertical="center"/>
    </xf>
    <xf numFmtId="169" fontId="1" fillId="5" borderId="0" xfId="0" applyNumberFormat="1" applyFont="1" applyFill="1" applyBorder="1" applyAlignment="1" applyProtection="1">
      <alignment vertical="center"/>
      <protection hidden="1"/>
    </xf>
    <xf numFmtId="49" fontId="1" fillId="0" borderId="45" xfId="0" quotePrefix="1" applyNumberFormat="1" applyFont="1" applyFill="1" applyBorder="1" applyAlignment="1" applyProtection="1">
      <alignment horizontal="center" vertical="center"/>
    </xf>
    <xf numFmtId="0" fontId="1" fillId="22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vertical="center"/>
    </xf>
    <xf numFmtId="169" fontId="36" fillId="0" borderId="1" xfId="0" applyNumberFormat="1" applyFont="1" applyFill="1" applyBorder="1" applyAlignment="1" applyProtection="1">
      <alignment horizontal="center" vertical="center"/>
      <protection hidden="1"/>
    </xf>
    <xf numFmtId="168" fontId="3" fillId="12" borderId="1" xfId="0" applyNumberFormat="1" applyFont="1" applyFill="1" applyBorder="1" applyAlignment="1" applyProtection="1">
      <alignment horizontal="center" vertical="center"/>
    </xf>
    <xf numFmtId="49" fontId="1" fillId="0" borderId="0" xfId="0" quotePrefix="1" applyNumberFormat="1" applyFont="1" applyFill="1" applyBorder="1" applyAlignment="1" applyProtection="1">
      <alignment horizontal="center" vertical="center"/>
    </xf>
    <xf numFmtId="1" fontId="23" fillId="0" borderId="70" xfId="0" applyNumberFormat="1" applyFont="1" applyFill="1" applyBorder="1" applyAlignment="1" applyProtection="1">
      <alignment vertical="center"/>
    </xf>
    <xf numFmtId="1" fontId="3" fillId="0" borderId="47" xfId="0" applyNumberFormat="1" applyFont="1" applyFill="1" applyBorder="1" applyAlignment="1" applyProtection="1">
      <alignment vertical="center"/>
    </xf>
    <xf numFmtId="171" fontId="3" fillId="0" borderId="71" xfId="0" applyNumberFormat="1" applyFont="1" applyFill="1" applyBorder="1" applyAlignment="1" applyProtection="1">
      <alignment vertical="center"/>
    </xf>
    <xf numFmtId="1" fontId="0" fillId="0" borderId="70" xfId="0" applyNumberFormat="1" applyFont="1" applyFill="1" applyBorder="1" applyAlignment="1" applyProtection="1">
      <alignment vertical="center"/>
    </xf>
    <xf numFmtId="1" fontId="3" fillId="0" borderId="71" xfId="0" applyNumberFormat="1" applyFont="1" applyFill="1" applyBorder="1" applyAlignment="1" applyProtection="1">
      <alignment vertical="center"/>
    </xf>
    <xf numFmtId="1" fontId="1" fillId="18" borderId="72" xfId="0" applyNumberFormat="1" applyFont="1" applyFill="1" applyBorder="1" applyAlignment="1" applyProtection="1">
      <alignment vertical="center"/>
    </xf>
    <xf numFmtId="1" fontId="1" fillId="18" borderId="73" xfId="0" applyNumberFormat="1" applyFont="1" applyFill="1" applyBorder="1" applyAlignment="1" applyProtection="1">
      <alignment vertical="center"/>
    </xf>
    <xf numFmtId="0" fontId="1" fillId="23" borderId="0" xfId="0" applyFont="1" applyFill="1" applyBorder="1" applyAlignment="1">
      <alignment horizontal="center" vertical="center"/>
    </xf>
    <xf numFmtId="164" fontId="0" fillId="0" borderId="0" xfId="0" quotePrefix="1" applyNumberFormat="1" applyFill="1" applyBorder="1" applyAlignment="1" applyProtection="1">
      <alignment horizontal="center" vertical="center"/>
    </xf>
    <xf numFmtId="168" fontId="3" fillId="13" borderId="1" xfId="0" applyNumberFormat="1" applyFont="1" applyFill="1" applyBorder="1" applyAlignment="1" applyProtection="1">
      <alignment horizontal="center" vertical="center"/>
    </xf>
    <xf numFmtId="0" fontId="0" fillId="0" borderId="0" xfId="0" applyFont="1" applyFill="1" applyAlignment="1" applyProtection="1">
      <alignment horizontal="center" vertical="center"/>
      <protection hidden="1"/>
    </xf>
    <xf numFmtId="164" fontId="1" fillId="18" borderId="40" xfId="0" applyNumberFormat="1" applyFont="1" applyFill="1" applyBorder="1" applyAlignment="1" applyProtection="1">
      <alignment horizontal="center" vertical="center"/>
    </xf>
    <xf numFmtId="164" fontId="1" fillId="18" borderId="2" xfId="0" applyNumberFormat="1" applyFont="1" applyFill="1" applyBorder="1" applyAlignment="1" applyProtection="1">
      <alignment horizontal="center" vertical="center"/>
    </xf>
    <xf numFmtId="164" fontId="2" fillId="0" borderId="62" xfId="0" applyNumberFormat="1" applyFont="1" applyFill="1" applyBorder="1" applyAlignment="1" applyProtection="1">
      <alignment horizontal="center" vertical="center"/>
    </xf>
    <xf numFmtId="164" fontId="2" fillId="0" borderId="38" xfId="0" applyNumberFormat="1" applyFont="1" applyFill="1" applyBorder="1" applyAlignment="1" applyProtection="1">
      <alignment horizontal="center" vertical="center"/>
    </xf>
    <xf numFmtId="164" fontId="1" fillId="0" borderId="62" xfId="0" applyNumberFormat="1" applyFont="1" applyFill="1" applyBorder="1" applyAlignment="1" applyProtection="1">
      <alignment horizontal="center" vertical="center"/>
    </xf>
    <xf numFmtId="164" fontId="1" fillId="0" borderId="38" xfId="0" applyNumberFormat="1" applyFont="1" applyFill="1" applyBorder="1" applyAlignment="1" applyProtection="1">
      <alignment horizontal="center" vertical="center"/>
    </xf>
    <xf numFmtId="164" fontId="1" fillId="0" borderId="63" xfId="0" applyNumberFormat="1" applyFont="1" applyFill="1" applyBorder="1" applyAlignment="1" applyProtection="1">
      <alignment horizontal="center" vertical="center"/>
    </xf>
    <xf numFmtId="164" fontId="3" fillId="0" borderId="56" xfId="0" applyNumberFormat="1" applyFont="1" applyFill="1" applyBorder="1" applyAlignment="1" applyProtection="1">
      <alignment horizontal="center" vertical="center"/>
    </xf>
    <xf numFmtId="164" fontId="3" fillId="0" borderId="53" xfId="0" applyNumberFormat="1" applyFont="1" applyFill="1" applyBorder="1" applyAlignment="1" applyProtection="1">
      <alignment horizontal="center" vertical="center"/>
    </xf>
    <xf numFmtId="164" fontId="3" fillId="0" borderId="57" xfId="0" applyNumberFormat="1" applyFont="1" applyFill="1" applyBorder="1" applyAlignment="1" applyProtection="1">
      <alignment horizontal="center" vertical="center"/>
    </xf>
    <xf numFmtId="164" fontId="3" fillId="0" borderId="61" xfId="0" applyNumberFormat="1" applyFont="1" applyFill="1" applyBorder="1" applyAlignment="1" applyProtection="1">
      <alignment horizontal="center" vertical="center"/>
    </xf>
    <xf numFmtId="164" fontId="3" fillId="0" borderId="34" xfId="0" applyNumberFormat="1" applyFont="1" applyFill="1" applyBorder="1" applyAlignment="1" applyProtection="1">
      <alignment horizontal="center" vertical="center"/>
    </xf>
    <xf numFmtId="164" fontId="3" fillId="0" borderId="35" xfId="0" applyNumberFormat="1" applyFont="1" applyFill="1" applyBorder="1" applyAlignment="1" applyProtection="1">
      <alignment horizontal="center" vertical="center"/>
    </xf>
    <xf numFmtId="164" fontId="3" fillId="0" borderId="36" xfId="0" applyNumberFormat="1" applyFont="1" applyFill="1" applyBorder="1" applyAlignment="1" applyProtection="1">
      <alignment horizontal="center" vertical="center"/>
    </xf>
    <xf numFmtId="164" fontId="2" fillId="0" borderId="60" xfId="0" applyNumberFormat="1" applyFont="1" applyFill="1" applyBorder="1" applyAlignment="1" applyProtection="1">
      <alignment horizontal="center" vertical="center"/>
    </xf>
    <xf numFmtId="164" fontId="2" fillId="0" borderId="37" xfId="0" applyNumberFormat="1" applyFont="1" applyFill="1" applyBorder="1" applyAlignment="1" applyProtection="1">
      <alignment horizontal="center" vertical="center"/>
    </xf>
    <xf numFmtId="164" fontId="2" fillId="0" borderId="34" xfId="0" applyNumberFormat="1" applyFont="1" applyFill="1" applyBorder="1" applyAlignment="1" applyProtection="1">
      <alignment horizontal="center" vertical="center"/>
    </xf>
    <xf numFmtId="164" fontId="2" fillId="0" borderId="35" xfId="0" applyNumberFormat="1" applyFont="1" applyFill="1" applyBorder="1" applyAlignment="1" applyProtection="1">
      <alignment horizontal="center" vertical="center"/>
    </xf>
    <xf numFmtId="0" fontId="24" fillId="0" borderId="0" xfId="0" applyFont="1" applyFill="1" applyBorder="1" applyAlignment="1" applyProtection="1">
      <alignment horizontal="center" vertical="center"/>
      <protection hidden="1"/>
    </xf>
    <xf numFmtId="164" fontId="3" fillId="0" borderId="6" xfId="0" applyNumberFormat="1" applyFont="1" applyFill="1" applyBorder="1" applyAlignment="1" applyProtection="1">
      <alignment horizontal="center" vertical="center"/>
    </xf>
    <xf numFmtId="164" fontId="3" fillId="0" borderId="55" xfId="0" applyNumberFormat="1" applyFont="1" applyFill="1" applyBorder="1" applyAlignment="1" applyProtection="1">
      <alignment horizontal="center" vertical="center"/>
    </xf>
    <xf numFmtId="164" fontId="3" fillId="0" borderId="54" xfId="0" applyNumberFormat="1" applyFont="1" applyFill="1" applyBorder="1" applyAlignment="1" applyProtection="1">
      <alignment horizontal="center" vertical="center"/>
    </xf>
    <xf numFmtId="174" fontId="1" fillId="0" borderId="0" xfId="0" applyNumberFormat="1" applyFont="1" applyFill="1" applyAlignment="1">
      <alignment horizontal="center" vertical="center"/>
    </xf>
    <xf numFmtId="164" fontId="0" fillId="8" borderId="62" xfId="0" applyNumberFormat="1" applyFill="1" applyBorder="1" applyAlignment="1" applyProtection="1">
      <alignment horizontal="center" vertical="center"/>
    </xf>
    <xf numFmtId="164" fontId="0" fillId="8" borderId="38" xfId="0" applyNumberFormat="1" applyFill="1" applyBorder="1" applyAlignment="1" applyProtection="1">
      <alignment horizontal="center" vertical="center"/>
    </xf>
    <xf numFmtId="164" fontId="0" fillId="8" borderId="63" xfId="0" applyNumberFormat="1" applyFill="1" applyBorder="1" applyAlignment="1" applyProtection="1">
      <alignment horizontal="center" vertical="center"/>
    </xf>
    <xf numFmtId="1" fontId="26" fillId="0" borderId="0" xfId="0" applyNumberFormat="1" applyFont="1" applyFill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0" fillId="0" borderId="64" xfId="0" applyFill="1" applyBorder="1" applyAlignment="1">
      <alignment horizontal="center" vertical="center"/>
    </xf>
    <xf numFmtId="0" fontId="0" fillId="0" borderId="65" xfId="0" applyFill="1" applyBorder="1" applyAlignment="1">
      <alignment horizontal="center" vertical="center"/>
    </xf>
    <xf numFmtId="0" fontId="0" fillId="0" borderId="66" xfId="0" applyFill="1" applyBorder="1" applyAlignment="1">
      <alignment horizontal="center" vertical="center"/>
    </xf>
    <xf numFmtId="0" fontId="0" fillId="0" borderId="67" xfId="0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164" fontId="1" fillId="0" borderId="28" xfId="0" applyNumberFormat="1" applyFont="1" applyFill="1" applyBorder="1" applyAlignment="1" applyProtection="1">
      <alignment horizontal="center" vertical="center"/>
    </xf>
    <xf numFmtId="164" fontId="1" fillId="0" borderId="7" xfId="0" applyNumberFormat="1" applyFont="1" applyFill="1" applyBorder="1" applyAlignment="1" applyProtection="1">
      <alignment horizontal="center" vertical="center"/>
    </xf>
    <xf numFmtId="164" fontId="1" fillId="0" borderId="44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right" vertical="center"/>
    </xf>
    <xf numFmtId="0" fontId="1" fillId="0" borderId="28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55" xfId="0" applyFont="1" applyFill="1" applyBorder="1" applyAlignment="1">
      <alignment horizontal="center" vertical="center"/>
    </xf>
    <xf numFmtId="0" fontId="1" fillId="0" borderId="44" xfId="0" applyFont="1" applyFill="1" applyBorder="1" applyAlignment="1">
      <alignment horizontal="center" vertical="center"/>
    </xf>
    <xf numFmtId="0" fontId="1" fillId="0" borderId="54" xfId="0" applyFont="1" applyFill="1" applyBorder="1" applyAlignment="1">
      <alignment horizontal="center" vertical="center"/>
    </xf>
    <xf numFmtId="164" fontId="18" fillId="15" borderId="27" xfId="0" applyNumberFormat="1" applyFont="1" applyFill="1" applyBorder="1" applyAlignment="1" applyProtection="1">
      <alignment horizontal="center" vertical="center" wrapText="1"/>
    </xf>
    <xf numFmtId="164" fontId="18" fillId="15" borderId="43" xfId="0" applyNumberFormat="1" applyFont="1" applyFill="1" applyBorder="1" applyAlignment="1" applyProtection="1">
      <alignment horizontal="center" vertical="center" wrapText="1"/>
    </xf>
    <xf numFmtId="164" fontId="18" fillId="15" borderId="39" xfId="0" applyNumberFormat="1" applyFont="1" applyFill="1" applyBorder="1" applyAlignment="1" applyProtection="1">
      <alignment horizontal="center" vertical="center" wrapText="1"/>
    </xf>
    <xf numFmtId="164" fontId="1" fillId="6" borderId="27" xfId="0" applyNumberFormat="1" applyFont="1" applyFill="1" applyBorder="1" applyAlignment="1" applyProtection="1">
      <alignment horizontal="center" vertical="center" wrapText="1"/>
    </xf>
    <xf numFmtId="164" fontId="1" fillId="6" borderId="43" xfId="0" applyNumberFormat="1" applyFont="1" applyFill="1" applyBorder="1" applyAlignment="1" applyProtection="1">
      <alignment horizontal="center" vertical="center" wrapText="1"/>
    </xf>
    <xf numFmtId="164" fontId="1" fillId="6" borderId="39" xfId="0" applyNumberFormat="1" applyFont="1" applyFill="1" applyBorder="1" applyAlignment="1" applyProtection="1">
      <alignment horizontal="center" vertical="center" wrapText="1"/>
    </xf>
    <xf numFmtId="164" fontId="1" fillId="0" borderId="27" xfId="0" applyNumberFormat="1" applyFont="1" applyFill="1" applyBorder="1" applyAlignment="1" applyProtection="1">
      <alignment horizontal="center" vertical="center"/>
    </xf>
    <xf numFmtId="164" fontId="1" fillId="0" borderId="43" xfId="0" applyNumberFormat="1" applyFont="1" applyFill="1" applyBorder="1" applyAlignment="1" applyProtection="1">
      <alignment horizontal="center" vertical="center"/>
    </xf>
    <xf numFmtId="164" fontId="1" fillId="0" borderId="39" xfId="0" applyNumberFormat="1" applyFont="1" applyFill="1" applyBorder="1" applyAlignment="1" applyProtection="1">
      <alignment horizontal="center" vertical="center"/>
    </xf>
    <xf numFmtId="164" fontId="3" fillId="0" borderId="27" xfId="0" applyNumberFormat="1" applyFont="1" applyFill="1" applyBorder="1" applyAlignment="1" applyProtection="1">
      <alignment horizontal="center" vertical="center"/>
    </xf>
    <xf numFmtId="164" fontId="3" fillId="0" borderId="43" xfId="0" applyNumberFormat="1" applyFont="1" applyFill="1" applyBorder="1" applyAlignment="1" applyProtection="1">
      <alignment horizontal="center" vertical="center"/>
    </xf>
    <xf numFmtId="164" fontId="3" fillId="0" borderId="39" xfId="0" applyNumberFormat="1" applyFont="1" applyFill="1" applyBorder="1" applyAlignment="1" applyProtection="1">
      <alignment horizontal="center" vertical="center"/>
    </xf>
    <xf numFmtId="0" fontId="0" fillId="0" borderId="2" xfId="0" applyFill="1" applyBorder="1" applyAlignment="1">
      <alignment horizontal="center" vertical="center"/>
    </xf>
    <xf numFmtId="164" fontId="1" fillId="0" borderId="27" xfId="0" applyNumberFormat="1" applyFont="1" applyFill="1" applyBorder="1" applyAlignment="1" applyProtection="1">
      <alignment horizontal="center" vertical="center" wrapText="1"/>
    </xf>
    <xf numFmtId="164" fontId="1" fillId="0" borderId="43" xfId="0" applyNumberFormat="1" applyFont="1" applyFill="1" applyBorder="1" applyAlignment="1" applyProtection="1">
      <alignment horizontal="center" vertical="center" wrapText="1"/>
    </xf>
    <xf numFmtId="164" fontId="1" fillId="0" borderId="39" xfId="0" applyNumberFormat="1" applyFont="1" applyFill="1" applyBorder="1" applyAlignment="1" applyProtection="1">
      <alignment horizontal="center" vertical="center" wrapText="1"/>
    </xf>
    <xf numFmtId="164" fontId="1" fillId="7" borderId="27" xfId="0" applyNumberFormat="1" applyFont="1" applyFill="1" applyBorder="1" applyAlignment="1" applyProtection="1">
      <alignment horizontal="center" vertical="center" wrapText="1"/>
    </xf>
    <xf numFmtId="164" fontId="1" fillId="7" borderId="43" xfId="0" applyNumberFormat="1" applyFont="1" applyFill="1" applyBorder="1" applyAlignment="1" applyProtection="1">
      <alignment horizontal="center" vertical="center" wrapText="1"/>
    </xf>
    <xf numFmtId="164" fontId="1" fillId="7" borderId="39" xfId="0" applyNumberFormat="1" applyFont="1" applyFill="1" applyBorder="1" applyAlignment="1" applyProtection="1">
      <alignment horizontal="center" vertical="center" wrapText="1"/>
    </xf>
    <xf numFmtId="164" fontId="18" fillId="0" borderId="27" xfId="0" applyNumberFormat="1" applyFont="1" applyFill="1" applyBorder="1" applyAlignment="1" applyProtection="1">
      <alignment horizontal="center" vertical="center" wrapText="1"/>
    </xf>
    <xf numFmtId="164" fontId="18" fillId="0" borderId="43" xfId="0" applyNumberFormat="1" applyFont="1" applyFill="1" applyBorder="1" applyAlignment="1" applyProtection="1">
      <alignment horizontal="center" vertical="center" wrapText="1"/>
    </xf>
    <xf numFmtId="164" fontId="18" fillId="0" borderId="39" xfId="0" applyNumberFormat="1" applyFont="1" applyFill="1" applyBorder="1" applyAlignment="1" applyProtection="1">
      <alignment horizontal="center" vertical="center" wrapText="1"/>
    </xf>
    <xf numFmtId="164" fontId="18" fillId="16" borderId="27" xfId="0" applyNumberFormat="1" applyFont="1" applyFill="1" applyBorder="1" applyAlignment="1" applyProtection="1">
      <alignment horizontal="center" vertical="center" wrapText="1"/>
    </xf>
    <xf numFmtId="164" fontId="18" fillId="16" borderId="43" xfId="0" applyNumberFormat="1" applyFont="1" applyFill="1" applyBorder="1" applyAlignment="1" applyProtection="1">
      <alignment horizontal="center" vertical="center" wrapText="1"/>
    </xf>
    <xf numFmtId="164" fontId="18" fillId="16" borderId="39" xfId="0" applyNumberFormat="1" applyFont="1" applyFill="1" applyBorder="1" applyAlignment="1" applyProtection="1">
      <alignment horizontal="center" vertical="center" wrapText="1"/>
    </xf>
    <xf numFmtId="164" fontId="1" fillId="17" borderId="40" xfId="0" applyNumberFormat="1" applyFont="1" applyFill="1" applyBorder="1" applyAlignment="1" applyProtection="1">
      <alignment horizontal="center" vertical="center"/>
    </xf>
    <xf numFmtId="164" fontId="1" fillId="17" borderId="25" xfId="0" applyNumberFormat="1" applyFont="1" applyFill="1" applyBorder="1" applyAlignment="1" applyProtection="1">
      <alignment horizontal="center" vertical="center"/>
    </xf>
    <xf numFmtId="1" fontId="21" fillId="14" borderId="56" xfId="0" applyNumberFormat="1" applyFont="1" applyFill="1" applyBorder="1" applyAlignment="1" applyProtection="1">
      <alignment horizontal="center" vertical="center"/>
      <protection hidden="1"/>
    </xf>
    <xf numFmtId="1" fontId="21" fillId="14" borderId="53" xfId="0" applyNumberFormat="1" applyFont="1" applyFill="1" applyBorder="1" applyAlignment="1" applyProtection="1">
      <alignment horizontal="center" vertical="center"/>
      <protection hidden="1"/>
    </xf>
    <xf numFmtId="1" fontId="21" fillId="14" borderId="57" xfId="0" applyNumberFormat="1" applyFont="1" applyFill="1" applyBorder="1" applyAlignment="1" applyProtection="1">
      <alignment horizontal="center" vertical="center"/>
      <protection hidden="1"/>
    </xf>
    <xf numFmtId="1" fontId="21" fillId="14" borderId="58" xfId="0" applyNumberFormat="1" applyFont="1" applyFill="1" applyBorder="1" applyAlignment="1" applyProtection="1">
      <alignment horizontal="center" vertical="center"/>
      <protection hidden="1"/>
    </xf>
    <xf numFmtId="1" fontId="21" fillId="14" borderId="68" xfId="0" applyNumberFormat="1" applyFont="1" applyFill="1" applyBorder="1" applyAlignment="1" applyProtection="1">
      <alignment horizontal="center" vertical="center"/>
      <protection hidden="1"/>
    </xf>
    <xf numFmtId="1" fontId="21" fillId="14" borderId="59" xfId="0" applyNumberFormat="1" applyFont="1" applyFill="1" applyBorder="1" applyAlignment="1" applyProtection="1">
      <alignment horizontal="center" vertical="center"/>
      <protection hidden="1"/>
    </xf>
    <xf numFmtId="0" fontId="21" fillId="14" borderId="49" xfId="0" applyFont="1" applyFill="1" applyBorder="1" applyAlignment="1" applyProtection="1">
      <alignment horizontal="center" vertical="center"/>
      <protection hidden="1"/>
    </xf>
    <xf numFmtId="164" fontId="21" fillId="14" borderId="49" xfId="0" applyNumberFormat="1" applyFont="1" applyFill="1" applyBorder="1" applyAlignment="1" applyProtection="1">
      <alignment horizontal="center" vertical="center"/>
      <protection hidden="1"/>
    </xf>
    <xf numFmtId="164" fontId="21" fillId="14" borderId="69" xfId="0" applyNumberFormat="1" applyFont="1" applyFill="1" applyBorder="1" applyAlignment="1" applyProtection="1">
      <alignment horizontal="center" vertical="center"/>
      <protection hidden="1"/>
    </xf>
    <xf numFmtId="1" fontId="21" fillId="14" borderId="64" xfId="0" applyNumberFormat="1" applyFont="1" applyFill="1" applyBorder="1" applyAlignment="1" applyProtection="1">
      <alignment horizontal="center" vertical="center"/>
      <protection hidden="1"/>
    </xf>
    <xf numFmtId="1" fontId="21" fillId="14" borderId="66" xfId="0" applyNumberFormat="1" applyFont="1" applyFill="1" applyBorder="1" applyAlignment="1" applyProtection="1">
      <alignment horizontal="center" vertical="center"/>
      <protection hidden="1"/>
    </xf>
    <xf numFmtId="164" fontId="3" fillId="0" borderId="24" xfId="0" applyNumberFormat="1" applyFont="1" applyFill="1" applyBorder="1" applyAlignment="1" applyProtection="1">
      <alignment horizontal="center" vertical="center"/>
    </xf>
    <xf numFmtId="0" fontId="1" fillId="10" borderId="9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0" borderId="41" xfId="0" applyFont="1" applyFill="1" applyBorder="1" applyAlignment="1">
      <alignment horizontal="center" vertical="center" wrapText="1"/>
    </xf>
    <xf numFmtId="0" fontId="1" fillId="11" borderId="27" xfId="0" applyFont="1" applyFill="1" applyBorder="1" applyAlignment="1">
      <alignment horizontal="center" vertical="center" wrapText="1"/>
    </xf>
    <xf numFmtId="0" fontId="1" fillId="11" borderId="43" xfId="0" applyFont="1" applyFill="1" applyBorder="1" applyAlignment="1">
      <alignment horizontal="center" vertical="center" wrapText="1"/>
    </xf>
    <xf numFmtId="0" fontId="1" fillId="11" borderId="39" xfId="0" applyFont="1" applyFill="1" applyBorder="1" applyAlignment="1">
      <alignment horizontal="center" vertical="center" wrapText="1"/>
    </xf>
    <xf numFmtId="0" fontId="1" fillId="11" borderId="9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1" borderId="41" xfId="0" applyFont="1" applyFill="1" applyBorder="1" applyAlignment="1">
      <alignment horizontal="center" vertical="center" wrapText="1"/>
    </xf>
    <xf numFmtId="0" fontId="1" fillId="12" borderId="27" xfId="0" applyFont="1" applyFill="1" applyBorder="1" applyAlignment="1">
      <alignment horizontal="center" vertical="center" wrapText="1"/>
    </xf>
    <xf numFmtId="0" fontId="1" fillId="12" borderId="43" xfId="0" applyFont="1" applyFill="1" applyBorder="1" applyAlignment="1">
      <alignment horizontal="center" vertical="center" wrapText="1"/>
    </xf>
    <xf numFmtId="0" fontId="1" fillId="12" borderId="39" xfId="0" applyFont="1" applyFill="1" applyBorder="1" applyAlignment="1">
      <alignment horizontal="center" vertical="center" wrapText="1"/>
    </xf>
    <xf numFmtId="0" fontId="1" fillId="10" borderId="27" xfId="0" applyFont="1" applyFill="1" applyBorder="1" applyAlignment="1">
      <alignment horizontal="center" vertical="center" wrapText="1"/>
    </xf>
    <xf numFmtId="0" fontId="1" fillId="10" borderId="43" xfId="0" applyFont="1" applyFill="1" applyBorder="1" applyAlignment="1">
      <alignment horizontal="center" vertical="center" wrapText="1"/>
    </xf>
    <xf numFmtId="0" fontId="1" fillId="10" borderId="39" xfId="0" applyFont="1" applyFill="1" applyBorder="1" applyAlignment="1">
      <alignment horizontal="center" vertical="center" wrapText="1"/>
    </xf>
    <xf numFmtId="164" fontId="1" fillId="0" borderId="24" xfId="0" applyNumberFormat="1" applyFont="1" applyFill="1" applyBorder="1" applyAlignment="1" applyProtection="1">
      <alignment horizontal="center" vertical="center"/>
    </xf>
    <xf numFmtId="21" fontId="5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 applyProtection="1">
      <alignment horizontal="center" vertical="center"/>
      <protection hidden="1"/>
    </xf>
    <xf numFmtId="164" fontId="3" fillId="8" borderId="62" xfId="0" applyNumberFormat="1" applyFont="1" applyFill="1" applyBorder="1" applyAlignment="1" applyProtection="1">
      <alignment horizontal="center" vertical="center"/>
    </xf>
    <xf numFmtId="164" fontId="3" fillId="8" borderId="38" xfId="0" applyNumberFormat="1" applyFont="1" applyFill="1" applyBorder="1" applyAlignment="1" applyProtection="1">
      <alignment horizontal="center" vertical="center"/>
    </xf>
    <xf numFmtId="164" fontId="3" fillId="8" borderId="63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Alignment="1">
      <alignment horizontal="center" vertical="center"/>
    </xf>
    <xf numFmtId="164" fontId="20" fillId="0" borderId="45" xfId="0" applyNumberFormat="1" applyFont="1" applyFill="1" applyBorder="1" applyAlignment="1" applyProtection="1">
      <alignment horizontal="center" vertical="center"/>
    </xf>
    <xf numFmtId="164" fontId="20" fillId="0" borderId="46" xfId="0" applyNumberFormat="1" applyFont="1" applyFill="1" applyBorder="1" applyAlignment="1" applyProtection="1">
      <alignment horizontal="center" vertical="center"/>
    </xf>
    <xf numFmtId="0" fontId="3" fillId="0" borderId="45" xfId="0" applyNumberFormat="1" applyFont="1" applyFill="1" applyBorder="1" applyAlignment="1" applyProtection="1">
      <alignment horizontal="center" vertical="center"/>
      <protection locked="0"/>
    </xf>
    <xf numFmtId="0" fontId="3" fillId="0" borderId="46" xfId="0" applyNumberFormat="1" applyFont="1" applyFill="1" applyBorder="1" applyAlignment="1" applyProtection="1">
      <alignment horizontal="center" vertical="center"/>
      <protection locked="0"/>
    </xf>
    <xf numFmtId="164" fontId="20" fillId="0" borderId="35" xfId="0" applyNumberFormat="1" applyFont="1" applyFill="1" applyBorder="1" applyAlignment="1" applyProtection="1">
      <alignment horizontal="center" vertical="center"/>
    </xf>
    <xf numFmtId="164" fontId="3" fillId="0" borderId="45" xfId="0" applyNumberFormat="1" applyFont="1" applyFill="1" applyBorder="1" applyAlignment="1">
      <alignment horizontal="center" vertical="center"/>
    </xf>
    <xf numFmtId="164" fontId="3" fillId="0" borderId="35" xfId="0" applyNumberFormat="1" applyFont="1" applyFill="1" applyBorder="1" applyAlignment="1">
      <alignment horizontal="center" vertical="center"/>
    </xf>
    <xf numFmtId="0" fontId="3" fillId="0" borderId="64" xfId="0" applyFont="1" applyFill="1" applyBorder="1" applyAlignment="1">
      <alignment horizontal="center" vertical="center"/>
    </xf>
    <xf numFmtId="0" fontId="3" fillId="0" borderId="65" xfId="0" applyFont="1" applyFill="1" applyBorder="1" applyAlignment="1">
      <alignment horizontal="center" vertical="center"/>
    </xf>
    <xf numFmtId="0" fontId="3" fillId="0" borderId="66" xfId="0" applyFont="1" applyFill="1" applyBorder="1" applyAlignment="1">
      <alignment horizontal="center" vertical="center"/>
    </xf>
    <xf numFmtId="0" fontId="3" fillId="0" borderId="67" xfId="0" applyFont="1" applyFill="1" applyBorder="1" applyAlignment="1">
      <alignment horizontal="center" vertical="center"/>
    </xf>
    <xf numFmtId="0" fontId="1" fillId="11" borderId="24" xfId="0" applyFont="1" applyFill="1" applyBorder="1" applyAlignment="1">
      <alignment horizontal="center" vertical="center" wrapText="1"/>
    </xf>
    <xf numFmtId="0" fontId="1" fillId="11" borderId="42" xfId="0" applyFont="1" applyFill="1" applyBorder="1" applyAlignment="1">
      <alignment horizontal="center" vertical="center" wrapText="1"/>
    </xf>
    <xf numFmtId="0" fontId="1" fillId="11" borderId="30" xfId="0" applyFont="1" applyFill="1" applyBorder="1" applyAlignment="1">
      <alignment horizontal="center" vertical="center" wrapText="1"/>
    </xf>
  </cellXfs>
  <cellStyles count="12">
    <cellStyle name="category" xfId="1"/>
    <cellStyle name="Currency $" xfId="2"/>
    <cellStyle name="Grey" xfId="3"/>
    <cellStyle name="HEADER" xfId="4"/>
    <cellStyle name="Input [yellow]" xfId="5"/>
    <cellStyle name="Model" xfId="6"/>
    <cellStyle name="Normal" xfId="0" builtinId="0"/>
    <cellStyle name="Normal - Style1" xfId="7"/>
    <cellStyle name="Normal 2" xfId="8"/>
    <cellStyle name="Normal 2 2" xfId="9"/>
    <cellStyle name="Percent [2]" xfId="10"/>
    <cellStyle name="subhead" xfId="11"/>
  </cellStyles>
  <dxfs count="646">
    <dxf>
      <font>
        <condense val="0"/>
        <extend val="0"/>
        <color indexed="8"/>
      </font>
      <fill>
        <patternFill>
          <bgColor indexed="55"/>
        </patternFill>
      </fill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condense val="0"/>
        <extend val="0"/>
        <color indexed="8"/>
      </font>
      <fill>
        <patternFill>
          <bgColor indexed="55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b/>
        <i val="0"/>
        <color rgb="FFFF0000"/>
      </font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b/>
        <i val="0"/>
        <color rgb="FFFF0000"/>
      </font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b/>
        <i val="0"/>
        <color rgb="FFFF0000"/>
      </font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b/>
        <i val="0"/>
        <color rgb="FFFF0000"/>
      </font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b/>
        <i val="0"/>
        <color rgb="FFFF0000"/>
      </font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b/>
        <i val="0"/>
        <color rgb="FFFF0000"/>
      </font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b/>
        <i val="0"/>
        <color rgb="FFFF0000"/>
      </font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b/>
        <i val="0"/>
        <color rgb="FFFF0000"/>
      </font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b/>
        <i val="0"/>
        <color rgb="FFFF0000"/>
      </font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b/>
        <i val="0"/>
        <color rgb="FFFF0000"/>
      </font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b/>
        <i val="0"/>
        <color rgb="FFFF0000"/>
      </font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b/>
        <i val="0"/>
        <color rgb="FFFF0000"/>
      </font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b/>
        <i val="0"/>
        <color rgb="FFFF0000"/>
      </font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b/>
        <i val="0"/>
        <color rgb="FFFF0000"/>
      </font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b/>
        <i val="0"/>
        <color rgb="FFFF0000"/>
      </font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b/>
        <i val="0"/>
        <color rgb="FFFF0000"/>
      </font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b/>
        <i val="0"/>
        <color rgb="FFFF0000"/>
      </font>
    </dxf>
    <dxf>
      <font>
        <condense val="0"/>
        <extend val="0"/>
        <color indexed="8"/>
      </font>
      <fill>
        <patternFill>
          <bgColor indexed="55"/>
        </patternFill>
      </fill>
    </dxf>
    <dxf>
      <font>
        <b/>
        <i val="0"/>
        <color rgb="FFFF0000"/>
      </font>
    </dxf>
    <dxf>
      <font>
        <condense val="0"/>
        <extend val="0"/>
        <color indexed="8"/>
      </font>
      <fill>
        <patternFill>
          <bgColor indexed="55"/>
        </patternFill>
      </fill>
    </dxf>
  </dxfs>
  <tableStyles count="0" defaultTableStyle="TableStyleMedium9" defaultPivotStyle="PivotStyleLight16"/>
  <colors>
    <mruColors>
      <color rgb="FF66FFFF"/>
      <color rgb="FFFF99FF"/>
      <color rgb="FFCC99FF"/>
      <color rgb="FF9966FF"/>
      <color rgb="FF66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200025</xdr:colOff>
      <xdr:row>0</xdr:row>
      <xdr:rowOff>0</xdr:rowOff>
    </xdr:from>
    <xdr:to>
      <xdr:col>20</xdr:col>
      <xdr:colOff>209550</xdr:colOff>
      <xdr:row>3</xdr:row>
      <xdr:rowOff>123825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7620000" y="0"/>
          <a:ext cx="2105025" cy="752475"/>
        </a:xfrm>
        <a:prstGeom prst="rect">
          <a:avLst/>
        </a:prstGeom>
        <a:ln w="3810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400" b="1">
              <a:solidFill>
                <a:srgbClr val="FF0000"/>
              </a:solidFill>
            </a:rPr>
            <a:t>CONFIDENTIAL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01\PRODUCTION%20PLAN\Prod%20Plan%202011\9-%20PROD.PLAN%20(SR-110217)%20MAR%20Prod%20GUM%20monthly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01\Data%20(D)\Backup%20Manual\MASTER%20UMH\2025\07.%20JUL\UMH%20Detail%20for%20Jul-25%20--%20202507%20cut%20off%20202507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PC/PPC%20Department/BC%20SAI/BC%20120D,602W,930B,819W,766W,891W/MASSPRO/KONVERSI/2026/3.%20MAR/3.%20%20KONVERSI%20SPP%20BC%20SAI-T%20%20MAR%20FAB%20apr%20w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01\ppc\PPC%20Department\MAZDA%20(J71E)\SR\SOP\TSUNAGU\2019\DATA%20KONVERSI\10.OCT\3.%2020191007%20(J71E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01\Data%20(D)\Backup%20Manual\MASTER%20UMH\2024\2.FEB\02.%20UMH%20detail%20for%20Feb-24%20send%20to%20Produksi%20-%20Final%20Additiona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01\Data%20Sharing\DATA%20TEKO%20EXIM\2014\03%23GUM_check%20YFI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01\Data%20(D)\Backup%20Manual\MASTER%20UMH\2024\6.%20JUN\06.%20UMH%20detail%20for%20Jun-24%20send%20to%20Produksi%20-%20Final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01\PRODUCTION%20PLAN\Prod%20Plan%202008\PROD.%20PLAN%20(%20SR%23080724%20)%20Aug%20Prod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01\PPC%20Department\MAZDA%20ATENZA%20(J61S)\SR\SOP\2012\2-FEB\4-1202-4(J61S)%20dat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01\PPC%20Department\MAZDA%20ATENZA%20(J71E)\SPP\2016\2.%20FEB\1%20-%20SPP%20J71E%20FEB%20(160125)%20PLAN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01\PRODUCTION%20PLAN\Prod%20Plan%202010\Prod%20Plan%202010\30%20-%20PROD.PLAN%20(SR-100722)%20AUG%20Prod%20GUM%20(monthly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01\PRODUCTION%20PLAN\Prod%20Plan%202010\Prod%20Plan%202010\53%20-%20PROD.PLAN%20(SR-101216)DEC%20Prod%20GUM%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01\PRODUCTION%20PLAN\Prod%20Plan%202011\44-%20PROD.PLAN%20(SR-111020)%20NOV%20Prod%20(MONTHLY)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05\ppc\NISSAN%20P42J\SPP\2013\05%20-%20MAY%2013\1%20-%20SPP%20P42J%20MAY%20(SR%201300418)%20ACTU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STP Term 68"/>
      <sheetName val="Summary STP Term 69"/>
      <sheetName val="Summary STP"/>
      <sheetName val="Calender"/>
      <sheetName val="VAR per Week"/>
      <sheetName val="VAR (MO 2 month)"/>
      <sheetName val="SPP (Actual)"/>
      <sheetName val="SPP (Plan)"/>
      <sheetName val="Graph"/>
      <sheetName val=" L42A"/>
      <sheetName val="L53E"/>
      <sheetName val="L42C &amp; P42D (RHD)"/>
      <sheetName val="GM Holden"/>
      <sheetName val="Simulasi UL"/>
      <sheetName val="L42F &amp; HEV &amp; P42D-YD"/>
      <sheetName val="Simulasi J48P new"/>
      <sheetName val="Simulasi J48P"/>
      <sheetName val="Simulasi J61A &amp; front&amp;P42D(LHD)"/>
      <sheetName val="J42H"/>
      <sheetName val="J74G"/>
      <sheetName val="J74G (IP 3 team)"/>
      <sheetName val="J61S "/>
      <sheetName val="Simulasi J61A ( EC &amp; UK)"/>
      <sheetName val=" Simulasi J61S"/>
      <sheetName val="Simulasi AL"/>
      <sheetName val="377A"/>
      <sheetName val="P42D LHD"/>
      <sheetName val=" Simulasi 358W"/>
      <sheetName val="D51G"/>
      <sheetName val="Prod Cap"/>
      <sheetName val="GM 1 team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386">
          <cell r="A386" t="str">
            <v>JAN</v>
          </cell>
          <cell r="B386">
            <v>21</v>
          </cell>
          <cell r="C386">
            <v>4</v>
          </cell>
          <cell r="D386">
            <v>1</v>
          </cell>
          <cell r="E386">
            <v>5</v>
          </cell>
          <cell r="F386" t="str">
            <v>01/03- 01/07</v>
          </cell>
          <cell r="G386">
            <v>0</v>
          </cell>
          <cell r="H386">
            <v>0</v>
          </cell>
          <cell r="I386" t="str">
            <v>03/JAN~ 31/JAN</v>
          </cell>
        </row>
        <row r="387">
          <cell r="A387">
            <v>0</v>
          </cell>
          <cell r="B387">
            <v>0</v>
          </cell>
          <cell r="C387">
            <v>0</v>
          </cell>
          <cell r="D387">
            <v>2</v>
          </cell>
          <cell r="E387">
            <v>5</v>
          </cell>
          <cell r="F387" t="str">
            <v>01/10- 01/14</v>
          </cell>
          <cell r="G387">
            <v>0</v>
          </cell>
          <cell r="H387">
            <v>0</v>
          </cell>
          <cell r="I387">
            <v>0</v>
          </cell>
        </row>
        <row r="388">
          <cell r="A388">
            <v>0</v>
          </cell>
          <cell r="B388">
            <v>0</v>
          </cell>
          <cell r="C388">
            <v>0</v>
          </cell>
          <cell r="D388">
            <v>3</v>
          </cell>
          <cell r="E388">
            <v>5</v>
          </cell>
          <cell r="F388" t="str">
            <v>01/17 - 01/21</v>
          </cell>
          <cell r="G388">
            <v>0</v>
          </cell>
          <cell r="H388">
            <v>0</v>
          </cell>
          <cell r="I388">
            <v>0</v>
          </cell>
        </row>
        <row r="389">
          <cell r="A389">
            <v>0</v>
          </cell>
          <cell r="B389">
            <v>0</v>
          </cell>
          <cell r="C389">
            <v>0</v>
          </cell>
          <cell r="D389">
            <v>4</v>
          </cell>
          <cell r="E389">
            <v>6</v>
          </cell>
          <cell r="F389" t="str">
            <v>01/24 - 01/31</v>
          </cell>
          <cell r="G389">
            <v>0</v>
          </cell>
          <cell r="H389">
            <v>0</v>
          </cell>
          <cell r="I389">
            <v>0</v>
          </cell>
        </row>
        <row r="390">
          <cell r="A390">
            <v>0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FEB</v>
          </cell>
          <cell r="B391">
            <v>19</v>
          </cell>
          <cell r="C391">
            <v>4</v>
          </cell>
          <cell r="D391">
            <v>1</v>
          </cell>
          <cell r="E391">
            <v>4</v>
          </cell>
          <cell r="F391" t="str">
            <v>02/01 - 02/05</v>
          </cell>
          <cell r="G391">
            <v>0</v>
          </cell>
          <cell r="H391">
            <v>0</v>
          </cell>
          <cell r="I391" t="str">
            <v>01/FEB ~ 28/FEB</v>
          </cell>
        </row>
        <row r="392">
          <cell r="A392">
            <v>0</v>
          </cell>
          <cell r="B392">
            <v>0</v>
          </cell>
          <cell r="C392">
            <v>0</v>
          </cell>
          <cell r="D392">
            <v>2</v>
          </cell>
          <cell r="E392">
            <v>5</v>
          </cell>
          <cell r="F392" t="str">
            <v>02/07 - 02/11</v>
          </cell>
          <cell r="G392">
            <v>0</v>
          </cell>
          <cell r="H392">
            <v>0</v>
          </cell>
          <cell r="I392">
            <v>0</v>
          </cell>
        </row>
        <row r="393">
          <cell r="A393">
            <v>0</v>
          </cell>
          <cell r="B393">
            <v>0</v>
          </cell>
          <cell r="C393">
            <v>0</v>
          </cell>
          <cell r="D393">
            <v>3</v>
          </cell>
          <cell r="E393">
            <v>4</v>
          </cell>
          <cell r="F393" t="str">
            <v>02/14 - 02/18</v>
          </cell>
          <cell r="G393">
            <v>0</v>
          </cell>
          <cell r="H393">
            <v>0</v>
          </cell>
          <cell r="I393">
            <v>0</v>
          </cell>
        </row>
        <row r="394">
          <cell r="A394">
            <v>0</v>
          </cell>
          <cell r="B394">
            <v>0</v>
          </cell>
          <cell r="C394">
            <v>0</v>
          </cell>
          <cell r="D394">
            <v>4</v>
          </cell>
          <cell r="E394">
            <v>6</v>
          </cell>
          <cell r="F394" t="str">
            <v>02/21 - 02/28</v>
          </cell>
          <cell r="G394">
            <v>0</v>
          </cell>
          <cell r="H394">
            <v>0</v>
          </cell>
          <cell r="I394">
            <v>0</v>
          </cell>
        </row>
        <row r="395">
          <cell r="A395">
            <v>0</v>
          </cell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MAR</v>
          </cell>
          <cell r="B396">
            <v>22</v>
          </cell>
          <cell r="C396">
            <v>5</v>
          </cell>
          <cell r="D396">
            <v>1</v>
          </cell>
          <cell r="E396">
            <v>3</v>
          </cell>
          <cell r="F396" t="str">
            <v>03/01 - 03/04</v>
          </cell>
          <cell r="G396">
            <v>0</v>
          </cell>
          <cell r="H396">
            <v>0</v>
          </cell>
          <cell r="I396" t="str">
            <v>01/MAR ~ 31/MAR</v>
          </cell>
        </row>
        <row r="397">
          <cell r="A397">
            <v>0</v>
          </cell>
          <cell r="B397">
            <v>0</v>
          </cell>
          <cell r="C397">
            <v>0</v>
          </cell>
          <cell r="D397">
            <v>2</v>
          </cell>
          <cell r="E397">
            <v>5</v>
          </cell>
          <cell r="F397" t="str">
            <v>03/07 - 03/11</v>
          </cell>
          <cell r="G397">
            <v>0</v>
          </cell>
          <cell r="H397">
            <v>0</v>
          </cell>
          <cell r="I397">
            <v>0</v>
          </cell>
        </row>
        <row r="398">
          <cell r="A398">
            <v>0</v>
          </cell>
          <cell r="B398">
            <v>0</v>
          </cell>
          <cell r="C398">
            <v>0</v>
          </cell>
          <cell r="D398">
            <v>3</v>
          </cell>
          <cell r="E398">
            <v>5</v>
          </cell>
          <cell r="F398" t="str">
            <v>03/14 - 03/18</v>
          </cell>
          <cell r="G398">
            <v>0</v>
          </cell>
          <cell r="H398">
            <v>0</v>
          </cell>
          <cell r="I398">
            <v>0</v>
          </cell>
        </row>
        <row r="399">
          <cell r="A399">
            <v>0</v>
          </cell>
          <cell r="B399">
            <v>0</v>
          </cell>
          <cell r="C399">
            <v>0</v>
          </cell>
          <cell r="D399">
            <v>4</v>
          </cell>
          <cell r="E399">
            <v>5</v>
          </cell>
          <cell r="F399" t="str">
            <v>03/21 - 03/25</v>
          </cell>
          <cell r="G399">
            <v>0</v>
          </cell>
          <cell r="H399">
            <v>0</v>
          </cell>
          <cell r="I399">
            <v>0</v>
          </cell>
        </row>
        <row r="400">
          <cell r="A400">
            <v>0</v>
          </cell>
          <cell r="B400">
            <v>0</v>
          </cell>
          <cell r="C400">
            <v>0</v>
          </cell>
          <cell r="D400">
            <v>5</v>
          </cell>
          <cell r="E400">
            <v>4</v>
          </cell>
          <cell r="F400" t="str">
            <v>03/28 - 03/31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APR</v>
          </cell>
          <cell r="B401">
            <v>19</v>
          </cell>
          <cell r="C401">
            <v>4</v>
          </cell>
          <cell r="D401">
            <v>1</v>
          </cell>
          <cell r="E401">
            <v>5</v>
          </cell>
          <cell r="F401" t="str">
            <v>04/01 - 04/09</v>
          </cell>
          <cell r="G401">
            <v>0</v>
          </cell>
          <cell r="H401">
            <v>0</v>
          </cell>
          <cell r="I401" t="str">
            <v>01/APR ~ 29/APR</v>
          </cell>
        </row>
        <row r="402">
          <cell r="A402">
            <v>0</v>
          </cell>
          <cell r="B402">
            <v>0</v>
          </cell>
          <cell r="C402">
            <v>0</v>
          </cell>
          <cell r="D402">
            <v>2</v>
          </cell>
          <cell r="E402">
            <v>5</v>
          </cell>
          <cell r="F402" t="str">
            <v>04/11 - 04/15</v>
          </cell>
          <cell r="G402">
            <v>0</v>
          </cell>
          <cell r="H402">
            <v>0</v>
          </cell>
          <cell r="I402">
            <v>0</v>
          </cell>
        </row>
        <row r="403">
          <cell r="A403">
            <v>0</v>
          </cell>
          <cell r="B403">
            <v>0</v>
          </cell>
          <cell r="C403">
            <v>0</v>
          </cell>
          <cell r="D403">
            <v>3</v>
          </cell>
          <cell r="E403">
            <v>4</v>
          </cell>
          <cell r="F403" t="str">
            <v>03/18 - 04/22</v>
          </cell>
          <cell r="G403">
            <v>0</v>
          </cell>
          <cell r="H403">
            <v>0</v>
          </cell>
          <cell r="I403">
            <v>0</v>
          </cell>
        </row>
        <row r="404">
          <cell r="A404">
            <v>0</v>
          </cell>
          <cell r="B404">
            <v>0</v>
          </cell>
          <cell r="C404">
            <v>0</v>
          </cell>
          <cell r="D404">
            <v>4</v>
          </cell>
          <cell r="E404">
            <v>5</v>
          </cell>
          <cell r="F404" t="str">
            <v>04/25 - 04/29</v>
          </cell>
          <cell r="G404">
            <v>0</v>
          </cell>
          <cell r="H404">
            <v>0</v>
          </cell>
          <cell r="I404">
            <v>0</v>
          </cell>
        </row>
        <row r="405">
          <cell r="A405">
            <v>0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MAY</v>
          </cell>
          <cell r="B406">
            <v>21</v>
          </cell>
          <cell r="C406">
            <v>4</v>
          </cell>
          <cell r="D406">
            <v>1</v>
          </cell>
          <cell r="E406">
            <v>5</v>
          </cell>
          <cell r="F406" t="str">
            <v>05/02 - 05/06</v>
          </cell>
          <cell r="G406">
            <v>0</v>
          </cell>
          <cell r="H406">
            <v>0</v>
          </cell>
          <cell r="I406" t="str">
            <v>02/MAY ~ 31/MAY</v>
          </cell>
        </row>
        <row r="407">
          <cell r="A407">
            <v>0</v>
          </cell>
          <cell r="B407">
            <v>0</v>
          </cell>
          <cell r="C407">
            <v>0</v>
          </cell>
          <cell r="D407">
            <v>2</v>
          </cell>
          <cell r="E407">
            <v>5</v>
          </cell>
          <cell r="F407" t="str">
            <v>05/9 - 05/13</v>
          </cell>
          <cell r="G407">
            <v>0</v>
          </cell>
          <cell r="H407">
            <v>0</v>
          </cell>
          <cell r="I407">
            <v>0</v>
          </cell>
        </row>
        <row r="408">
          <cell r="A408">
            <v>0</v>
          </cell>
          <cell r="B408">
            <v>0</v>
          </cell>
          <cell r="C408">
            <v>0</v>
          </cell>
          <cell r="D408">
            <v>3</v>
          </cell>
          <cell r="E408">
            <v>4</v>
          </cell>
          <cell r="F408" t="str">
            <v>05/16 - 05/21</v>
          </cell>
          <cell r="G408">
            <v>0</v>
          </cell>
          <cell r="H408">
            <v>0</v>
          </cell>
          <cell r="I408">
            <v>0</v>
          </cell>
        </row>
        <row r="409">
          <cell r="A409">
            <v>0</v>
          </cell>
          <cell r="B409">
            <v>0</v>
          </cell>
          <cell r="C409">
            <v>0</v>
          </cell>
          <cell r="D409">
            <v>4</v>
          </cell>
          <cell r="E409">
            <v>7</v>
          </cell>
          <cell r="F409" t="str">
            <v>05/23 - 05/31</v>
          </cell>
          <cell r="G409">
            <v>0</v>
          </cell>
          <cell r="H409">
            <v>0</v>
          </cell>
          <cell r="I409">
            <v>0</v>
          </cell>
        </row>
        <row r="410">
          <cell r="A410">
            <v>0</v>
          </cell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JUN</v>
          </cell>
          <cell r="B411">
            <v>19</v>
          </cell>
          <cell r="C411">
            <v>4</v>
          </cell>
          <cell r="D411">
            <v>1</v>
          </cell>
          <cell r="E411">
            <v>6</v>
          </cell>
          <cell r="F411" t="str">
            <v>06/01 - 06/10</v>
          </cell>
          <cell r="G411">
            <v>0</v>
          </cell>
          <cell r="H411">
            <v>0</v>
          </cell>
          <cell r="I411" t="str">
            <v>01/JUN ~ 30/JUN</v>
          </cell>
        </row>
        <row r="412">
          <cell r="A412">
            <v>0</v>
          </cell>
          <cell r="B412">
            <v>0</v>
          </cell>
          <cell r="C412">
            <v>0</v>
          </cell>
          <cell r="D412">
            <v>2</v>
          </cell>
          <cell r="E412">
            <v>5</v>
          </cell>
          <cell r="F412" t="str">
            <v>06/13 - 06/17</v>
          </cell>
          <cell r="G412">
            <v>0</v>
          </cell>
          <cell r="H412">
            <v>0</v>
          </cell>
          <cell r="I412">
            <v>0</v>
          </cell>
        </row>
        <row r="413">
          <cell r="A413">
            <v>0</v>
          </cell>
          <cell r="B413">
            <v>0</v>
          </cell>
          <cell r="C413">
            <v>0</v>
          </cell>
          <cell r="D413">
            <v>3</v>
          </cell>
          <cell r="E413">
            <v>5</v>
          </cell>
          <cell r="F413" t="str">
            <v>06/20 - 06/24</v>
          </cell>
          <cell r="G413">
            <v>0</v>
          </cell>
          <cell r="H413">
            <v>0</v>
          </cell>
          <cell r="I413">
            <v>0</v>
          </cell>
        </row>
        <row r="414">
          <cell r="A414">
            <v>0</v>
          </cell>
          <cell r="B414">
            <v>0</v>
          </cell>
          <cell r="C414">
            <v>0</v>
          </cell>
          <cell r="D414">
            <v>4</v>
          </cell>
          <cell r="E414">
            <v>3</v>
          </cell>
          <cell r="F414" t="str">
            <v>06/27 - 06/30</v>
          </cell>
          <cell r="G414">
            <v>0</v>
          </cell>
          <cell r="H414">
            <v>0</v>
          </cell>
          <cell r="I414">
            <v>0</v>
          </cell>
        </row>
        <row r="415">
          <cell r="A415">
            <v>0</v>
          </cell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JUL</v>
          </cell>
          <cell r="B416">
            <v>22</v>
          </cell>
          <cell r="C416">
            <v>4</v>
          </cell>
          <cell r="D416">
            <v>1</v>
          </cell>
          <cell r="E416">
            <v>7</v>
          </cell>
          <cell r="F416" t="str">
            <v>07/01 - 07/08</v>
          </cell>
          <cell r="G416">
            <v>0</v>
          </cell>
          <cell r="H416">
            <v>0</v>
          </cell>
          <cell r="I416" t="str">
            <v>01/JUL ~ 29/JUL</v>
          </cell>
        </row>
        <row r="417">
          <cell r="A417">
            <v>0</v>
          </cell>
          <cell r="B417">
            <v>0</v>
          </cell>
          <cell r="C417">
            <v>0</v>
          </cell>
          <cell r="D417">
            <v>2</v>
          </cell>
          <cell r="E417">
            <v>5</v>
          </cell>
          <cell r="F417" t="str">
            <v>07/11 - 07/15</v>
          </cell>
          <cell r="G417">
            <v>0</v>
          </cell>
          <cell r="H417">
            <v>0</v>
          </cell>
          <cell r="I417">
            <v>0</v>
          </cell>
        </row>
        <row r="418">
          <cell r="A418">
            <v>0</v>
          </cell>
          <cell r="B418">
            <v>0</v>
          </cell>
          <cell r="C418">
            <v>0</v>
          </cell>
          <cell r="D418">
            <v>3</v>
          </cell>
          <cell r="E418">
            <v>5</v>
          </cell>
          <cell r="F418" t="str">
            <v>07/18 - 07/22</v>
          </cell>
          <cell r="G418">
            <v>0</v>
          </cell>
          <cell r="H418">
            <v>0</v>
          </cell>
          <cell r="I418">
            <v>0</v>
          </cell>
        </row>
        <row r="419">
          <cell r="A419">
            <v>0</v>
          </cell>
          <cell r="B419">
            <v>0</v>
          </cell>
          <cell r="C419">
            <v>0</v>
          </cell>
          <cell r="D419">
            <v>4</v>
          </cell>
          <cell r="E419">
            <v>5</v>
          </cell>
          <cell r="F419" t="str">
            <v>07/25 - 07/29</v>
          </cell>
          <cell r="G419">
            <v>0</v>
          </cell>
          <cell r="H419">
            <v>0</v>
          </cell>
          <cell r="I419">
            <v>0</v>
          </cell>
        </row>
        <row r="420">
          <cell r="A420">
            <v>0</v>
          </cell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AUG</v>
          </cell>
          <cell r="B421">
            <v>19</v>
          </cell>
          <cell r="C421">
            <v>4</v>
          </cell>
          <cell r="D421">
            <v>1</v>
          </cell>
          <cell r="E421">
            <v>5</v>
          </cell>
          <cell r="F421" t="str">
            <v>08/01 - 08/05</v>
          </cell>
          <cell r="G421">
            <v>0</v>
          </cell>
          <cell r="H421">
            <v>0</v>
          </cell>
          <cell r="I421" t="str">
            <v>01/AUG ~ 26/AUG</v>
          </cell>
        </row>
        <row r="422">
          <cell r="A422">
            <v>0</v>
          </cell>
          <cell r="B422">
            <v>0</v>
          </cell>
          <cell r="C422">
            <v>0</v>
          </cell>
          <cell r="D422">
            <v>2</v>
          </cell>
          <cell r="E422">
            <v>5</v>
          </cell>
          <cell r="F422" t="str">
            <v>08/8 - 08/12</v>
          </cell>
          <cell r="G422">
            <v>0</v>
          </cell>
          <cell r="H422">
            <v>0</v>
          </cell>
          <cell r="I422">
            <v>0</v>
          </cell>
        </row>
        <row r="423">
          <cell r="A423">
            <v>0</v>
          </cell>
          <cell r="B423">
            <v>0</v>
          </cell>
          <cell r="C423">
            <v>0</v>
          </cell>
          <cell r="D423">
            <v>3</v>
          </cell>
          <cell r="E423">
            <v>4</v>
          </cell>
          <cell r="F423" t="str">
            <v>08/15 - 08/20</v>
          </cell>
          <cell r="G423">
            <v>0</v>
          </cell>
          <cell r="H423">
            <v>0</v>
          </cell>
          <cell r="I423">
            <v>0</v>
          </cell>
        </row>
        <row r="424">
          <cell r="A424">
            <v>0</v>
          </cell>
          <cell r="B424">
            <v>0</v>
          </cell>
          <cell r="C424">
            <v>0</v>
          </cell>
          <cell r="D424">
            <v>4</v>
          </cell>
          <cell r="E424">
            <v>5</v>
          </cell>
          <cell r="F424" t="str">
            <v>08/22 - 08/26</v>
          </cell>
          <cell r="G424">
            <v>0</v>
          </cell>
          <cell r="H424">
            <v>0</v>
          </cell>
          <cell r="I424">
            <v>0</v>
          </cell>
        </row>
        <row r="425">
          <cell r="A425">
            <v>0</v>
          </cell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SEP</v>
          </cell>
          <cell r="B426">
            <v>20</v>
          </cell>
          <cell r="C426">
            <v>4</v>
          </cell>
          <cell r="D426">
            <v>1</v>
          </cell>
          <cell r="E426">
            <v>5</v>
          </cell>
          <cell r="F426" t="str">
            <v>09/05 - 09/10</v>
          </cell>
          <cell r="G426">
            <v>0</v>
          </cell>
          <cell r="H426">
            <v>0</v>
          </cell>
          <cell r="I426" t="str">
            <v>05/SEP ~ 30/SEP</v>
          </cell>
        </row>
        <row r="427">
          <cell r="A427">
            <v>0</v>
          </cell>
          <cell r="B427">
            <v>0</v>
          </cell>
          <cell r="C427">
            <v>0</v>
          </cell>
          <cell r="D427">
            <v>2</v>
          </cell>
          <cell r="E427">
            <v>5</v>
          </cell>
          <cell r="F427" t="str">
            <v>09/12 - 09/16</v>
          </cell>
          <cell r="G427">
            <v>0</v>
          </cell>
          <cell r="H427">
            <v>0</v>
          </cell>
          <cell r="I427">
            <v>0</v>
          </cell>
        </row>
        <row r="428">
          <cell r="A428">
            <v>0</v>
          </cell>
          <cell r="B428">
            <v>0</v>
          </cell>
          <cell r="C428">
            <v>0</v>
          </cell>
          <cell r="D428">
            <v>3</v>
          </cell>
          <cell r="E428">
            <v>5</v>
          </cell>
          <cell r="F428" t="str">
            <v>09/19 - 09/23</v>
          </cell>
          <cell r="G428">
            <v>0</v>
          </cell>
          <cell r="H428">
            <v>0</v>
          </cell>
          <cell r="I428">
            <v>0</v>
          </cell>
        </row>
        <row r="429">
          <cell r="A429">
            <v>0</v>
          </cell>
          <cell r="B429">
            <v>0</v>
          </cell>
          <cell r="C429">
            <v>0</v>
          </cell>
          <cell r="D429">
            <v>4</v>
          </cell>
          <cell r="E429">
            <v>5</v>
          </cell>
          <cell r="F429" t="str">
            <v>09/26 - 09/30</v>
          </cell>
          <cell r="G429">
            <v>0</v>
          </cell>
          <cell r="H429">
            <v>0</v>
          </cell>
          <cell r="I429">
            <v>0</v>
          </cell>
        </row>
        <row r="430">
          <cell r="A430">
            <v>0</v>
          </cell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OCT</v>
          </cell>
          <cell r="B431">
            <v>21</v>
          </cell>
          <cell r="C431">
            <v>4</v>
          </cell>
          <cell r="D431">
            <v>1</v>
          </cell>
          <cell r="E431">
            <v>5</v>
          </cell>
          <cell r="F431" t="str">
            <v>10/03 - 10/07</v>
          </cell>
          <cell r="G431">
            <v>0</v>
          </cell>
          <cell r="H431">
            <v>0</v>
          </cell>
          <cell r="I431" t="str">
            <v>03/OCT ~ 31/OCT</v>
          </cell>
        </row>
        <row r="432">
          <cell r="A432">
            <v>0</v>
          </cell>
          <cell r="B432">
            <v>0</v>
          </cell>
          <cell r="C432">
            <v>0</v>
          </cell>
          <cell r="D432">
            <v>2</v>
          </cell>
          <cell r="E432">
            <v>5</v>
          </cell>
          <cell r="F432" t="str">
            <v>10/10 - 10/14</v>
          </cell>
          <cell r="G432">
            <v>0</v>
          </cell>
          <cell r="H432">
            <v>0</v>
          </cell>
          <cell r="I432">
            <v>0</v>
          </cell>
        </row>
        <row r="433">
          <cell r="A433">
            <v>0</v>
          </cell>
          <cell r="B433">
            <v>0</v>
          </cell>
          <cell r="C433">
            <v>0</v>
          </cell>
          <cell r="D433">
            <v>3</v>
          </cell>
          <cell r="E433">
            <v>5</v>
          </cell>
          <cell r="F433" t="str">
            <v>10/17 - 10/21</v>
          </cell>
          <cell r="G433">
            <v>0</v>
          </cell>
          <cell r="H433">
            <v>0</v>
          </cell>
          <cell r="I433">
            <v>0</v>
          </cell>
        </row>
        <row r="434">
          <cell r="A434">
            <v>0</v>
          </cell>
          <cell r="B434">
            <v>0</v>
          </cell>
          <cell r="C434">
            <v>0</v>
          </cell>
          <cell r="D434">
            <v>4</v>
          </cell>
          <cell r="E434">
            <v>6</v>
          </cell>
          <cell r="F434" t="str">
            <v>10/24 - 10/31</v>
          </cell>
          <cell r="G434">
            <v>0</v>
          </cell>
          <cell r="H434">
            <v>0</v>
          </cell>
          <cell r="I434">
            <v>0</v>
          </cell>
        </row>
        <row r="435">
          <cell r="A435">
            <v>0</v>
          </cell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NOV</v>
          </cell>
          <cell r="B436">
            <v>22</v>
          </cell>
          <cell r="C436">
            <v>5</v>
          </cell>
          <cell r="D436">
            <v>1</v>
          </cell>
          <cell r="E436">
            <v>4</v>
          </cell>
          <cell r="F436" t="str">
            <v>11/01 - 11/04</v>
          </cell>
          <cell r="G436">
            <v>0</v>
          </cell>
          <cell r="H436">
            <v>0</v>
          </cell>
          <cell r="I436" t="str">
            <v>01/NOV ~ 30/NOV</v>
          </cell>
        </row>
        <row r="437">
          <cell r="A437">
            <v>0</v>
          </cell>
          <cell r="B437">
            <v>0</v>
          </cell>
          <cell r="C437">
            <v>0</v>
          </cell>
          <cell r="D437">
            <v>2</v>
          </cell>
          <cell r="E437">
            <v>5</v>
          </cell>
          <cell r="F437" t="str">
            <v>11/07 - 11/12</v>
          </cell>
          <cell r="G437">
            <v>0</v>
          </cell>
          <cell r="H437">
            <v>0</v>
          </cell>
          <cell r="I437">
            <v>0</v>
          </cell>
        </row>
        <row r="438">
          <cell r="A438">
            <v>0</v>
          </cell>
          <cell r="B438">
            <v>0</v>
          </cell>
          <cell r="C438">
            <v>0</v>
          </cell>
          <cell r="D438">
            <v>3</v>
          </cell>
          <cell r="E438">
            <v>5</v>
          </cell>
          <cell r="F438" t="str">
            <v>11/14 - 11/18</v>
          </cell>
          <cell r="G438">
            <v>0</v>
          </cell>
          <cell r="H438">
            <v>0</v>
          </cell>
          <cell r="I438">
            <v>0</v>
          </cell>
        </row>
        <row r="439">
          <cell r="A439">
            <v>0</v>
          </cell>
          <cell r="B439">
            <v>0</v>
          </cell>
          <cell r="C439">
            <v>0</v>
          </cell>
          <cell r="D439">
            <v>4</v>
          </cell>
          <cell r="E439">
            <v>5</v>
          </cell>
          <cell r="F439" t="str">
            <v>11/21 - 11/25</v>
          </cell>
          <cell r="G439">
            <v>0</v>
          </cell>
          <cell r="H439">
            <v>0</v>
          </cell>
          <cell r="I439">
            <v>0</v>
          </cell>
        </row>
        <row r="440">
          <cell r="A440">
            <v>0</v>
          </cell>
          <cell r="B440">
            <v>0</v>
          </cell>
          <cell r="C440">
            <v>0</v>
          </cell>
          <cell r="D440">
            <v>5</v>
          </cell>
          <cell r="E440">
            <v>3</v>
          </cell>
          <cell r="F440" t="str">
            <v>11/28 - 11/30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DEC</v>
          </cell>
          <cell r="B441">
            <v>21</v>
          </cell>
          <cell r="C441">
            <v>4</v>
          </cell>
          <cell r="D441">
            <v>1</v>
          </cell>
          <cell r="E441">
            <v>7</v>
          </cell>
          <cell r="F441" t="str">
            <v>12/01 - 12/01</v>
          </cell>
          <cell r="G441">
            <v>0</v>
          </cell>
          <cell r="H441">
            <v>0</v>
          </cell>
          <cell r="I441" t="str">
            <v>01/DEC ~ 31/DEC</v>
          </cell>
        </row>
        <row r="442">
          <cell r="A442">
            <v>0</v>
          </cell>
          <cell r="B442">
            <v>0</v>
          </cell>
          <cell r="C442">
            <v>0</v>
          </cell>
          <cell r="D442">
            <v>2</v>
          </cell>
          <cell r="E442">
            <v>5</v>
          </cell>
          <cell r="F442" t="str">
            <v>12/12 - 12/17</v>
          </cell>
          <cell r="G442">
            <v>0</v>
          </cell>
          <cell r="H442">
            <v>0</v>
          </cell>
          <cell r="I442">
            <v>0</v>
          </cell>
        </row>
        <row r="443">
          <cell r="A443">
            <v>0</v>
          </cell>
          <cell r="B443">
            <v>0</v>
          </cell>
          <cell r="C443">
            <v>0</v>
          </cell>
          <cell r="D443">
            <v>3</v>
          </cell>
          <cell r="E443">
            <v>5</v>
          </cell>
          <cell r="F443" t="str">
            <v>12/19 - 12/24</v>
          </cell>
          <cell r="G443">
            <v>0</v>
          </cell>
          <cell r="H443">
            <v>0</v>
          </cell>
          <cell r="I443">
            <v>0</v>
          </cell>
        </row>
        <row r="444">
          <cell r="A444">
            <v>0</v>
          </cell>
          <cell r="B444">
            <v>0</v>
          </cell>
          <cell r="C444">
            <v>0</v>
          </cell>
          <cell r="D444">
            <v>4</v>
          </cell>
          <cell r="E444">
            <v>4</v>
          </cell>
          <cell r="F444" t="str">
            <v>12/26 - 12/31</v>
          </cell>
          <cell r="G444">
            <v>0</v>
          </cell>
          <cell r="H444">
            <v>0</v>
          </cell>
          <cell r="I444">
            <v>0</v>
          </cell>
        </row>
        <row r="445">
          <cell r="A445">
            <v>0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MH Monthly"/>
      <sheetName val="UMH STP vs ACT"/>
      <sheetName val="UMH Detail for Jul-25 -- 202507"/>
      <sheetName val="Sheet1"/>
    </sheetNames>
    <sheetDataSet>
      <sheetData sheetId="0">
        <row r="4">
          <cell r="E4" t="e">
            <v>#REF!</v>
          </cell>
          <cell r="F4">
            <v>0</v>
          </cell>
          <cell r="G4" t="e">
            <v>#N/A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</row>
        <row r="5"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D6" t="str">
            <v>ASSY./ PART NUMBER (ORACLE)</v>
          </cell>
          <cell r="E6" t="str">
            <v>ASSY./PARTNUMBER(GCT)</v>
          </cell>
          <cell r="F6" t="str">
            <v>CU WEIGHT</v>
          </cell>
          <cell r="G6" t="str">
            <v>AL WEIGHT</v>
          </cell>
          <cell r="H6" t="str">
            <v>PROC_10</v>
          </cell>
          <cell r="I6" t="str">
            <v>PROC_20</v>
          </cell>
          <cell r="J6" t="str">
            <v>PROC_30</v>
          </cell>
          <cell r="K6" t="str">
            <v>PROC_40</v>
          </cell>
          <cell r="L6" t="str">
            <v>PROC_50</v>
          </cell>
          <cell r="M6" t="str">
            <v>PROC_60</v>
          </cell>
          <cell r="N6" t="str">
            <v>PROC_70</v>
          </cell>
          <cell r="O6" t="str">
            <v>PROC_80</v>
          </cell>
          <cell r="P6" t="str">
            <v>PROC_90</v>
          </cell>
          <cell r="Q6" t="str">
            <v>PROC_PA</v>
          </cell>
          <cell r="R6" t="str">
            <v>PROC_FA</v>
          </cell>
          <cell r="S6" t="str">
            <v>PROC_AB</v>
          </cell>
          <cell r="T6" t="str">
            <v>PROC_BC</v>
          </cell>
          <cell r="U6" t="str">
            <v>PROC_EV</v>
          </cell>
          <cell r="V6" t="str">
            <v>PROC_TOT</v>
          </cell>
        </row>
        <row r="7">
          <cell r="D7" t="str">
            <v>82113-76170 A 0002</v>
          </cell>
          <cell r="E7" t="str">
            <v>82113-76170</v>
          </cell>
          <cell r="F7">
            <v>47.160960000000003</v>
          </cell>
          <cell r="G7">
            <v>0</v>
          </cell>
          <cell r="H7">
            <v>1.9398333333333333E-2</v>
          </cell>
          <cell r="I7">
            <v>3.1591666666666664E-2</v>
          </cell>
          <cell r="J7">
            <v>0</v>
          </cell>
          <cell r="K7">
            <v>4.7904999999999996E-2</v>
          </cell>
          <cell r="L7">
            <v>0.21232333333333334</v>
          </cell>
          <cell r="M7">
            <v>0</v>
          </cell>
          <cell r="N7">
            <v>2.0334999999999999E-2</v>
          </cell>
          <cell r="O7">
            <v>1.3406666666666667E-2</v>
          </cell>
          <cell r="P7">
            <v>4.6049999999999997E-3</v>
          </cell>
          <cell r="Q7">
            <v>5.0989999999999994E-2</v>
          </cell>
          <cell r="R7">
            <v>0.29857500000000003</v>
          </cell>
          <cell r="S7">
            <v>0</v>
          </cell>
          <cell r="T7">
            <v>0</v>
          </cell>
          <cell r="U7">
            <v>0</v>
          </cell>
          <cell r="V7">
            <v>0.34956500000000001</v>
          </cell>
        </row>
        <row r="8">
          <cell r="D8" t="str">
            <v>82113-76180 A 0002</v>
          </cell>
          <cell r="E8" t="str">
            <v>82113-76180</v>
          </cell>
          <cell r="F8">
            <v>47.160960000000003</v>
          </cell>
          <cell r="G8">
            <v>0</v>
          </cell>
          <cell r="H8">
            <v>1.9816666666666666E-2</v>
          </cell>
          <cell r="I8">
            <v>3.1591666666666664E-2</v>
          </cell>
          <cell r="J8">
            <v>0</v>
          </cell>
          <cell r="K8">
            <v>4.7904999999999996E-2</v>
          </cell>
          <cell r="L8">
            <v>0.246005</v>
          </cell>
          <cell r="M8">
            <v>0</v>
          </cell>
          <cell r="N8">
            <v>2.0083333333333335E-2</v>
          </cell>
          <cell r="O8">
            <v>1.4525000000000001E-2</v>
          </cell>
          <cell r="P8">
            <v>5.3699999999999998E-3</v>
          </cell>
          <cell r="Q8">
            <v>5.1408333333333334E-2</v>
          </cell>
          <cell r="R8">
            <v>0.33388833333333334</v>
          </cell>
          <cell r="S8">
            <v>0</v>
          </cell>
          <cell r="T8">
            <v>0</v>
          </cell>
          <cell r="U8">
            <v>0</v>
          </cell>
          <cell r="V8">
            <v>0.38529666666666668</v>
          </cell>
        </row>
        <row r="9">
          <cell r="D9" t="str">
            <v>82113-76190 0101</v>
          </cell>
          <cell r="E9" t="str">
            <v>82113-76190</v>
          </cell>
          <cell r="F9">
            <v>28.853439999999999</v>
          </cell>
          <cell r="G9">
            <v>0</v>
          </cell>
          <cell r="H9">
            <v>7.9316666666666667E-3</v>
          </cell>
          <cell r="I9">
            <v>1.6673333333333332E-2</v>
          </cell>
          <cell r="J9">
            <v>0</v>
          </cell>
          <cell r="K9">
            <v>2.3704999999999997E-2</v>
          </cell>
          <cell r="L9">
            <v>7.011666666666666E-2</v>
          </cell>
          <cell r="M9">
            <v>0</v>
          </cell>
          <cell r="N9">
            <v>1.5224999999999999E-2</v>
          </cell>
          <cell r="O9">
            <v>9.6666666666666654E-3</v>
          </cell>
          <cell r="P9">
            <v>3.065E-3</v>
          </cell>
          <cell r="Q9">
            <v>2.4604999999999998E-2</v>
          </cell>
          <cell r="R9">
            <v>0.12177833333333334</v>
          </cell>
          <cell r="S9">
            <v>0</v>
          </cell>
          <cell r="T9">
            <v>0</v>
          </cell>
          <cell r="U9">
            <v>0</v>
          </cell>
          <cell r="V9">
            <v>0.14638333333333334</v>
          </cell>
        </row>
        <row r="10">
          <cell r="D10" t="str">
            <v>82113-76210 0002</v>
          </cell>
          <cell r="E10" t="str">
            <v>82113-76210</v>
          </cell>
          <cell r="F10">
            <v>47.76464</v>
          </cell>
          <cell r="G10">
            <v>0</v>
          </cell>
          <cell r="H10">
            <v>1.9431666666666667E-2</v>
          </cell>
          <cell r="I10">
            <v>3.168166666666667E-2</v>
          </cell>
          <cell r="J10">
            <v>0</v>
          </cell>
          <cell r="K10">
            <v>4.7904999999999996E-2</v>
          </cell>
          <cell r="L10">
            <v>0.21291333333333334</v>
          </cell>
          <cell r="M10">
            <v>0</v>
          </cell>
          <cell r="N10">
            <v>2.0338333333333333E-2</v>
          </cell>
          <cell r="O10">
            <v>1.3476666666666666E-2</v>
          </cell>
          <cell r="P10">
            <v>4.6533333333333331E-3</v>
          </cell>
          <cell r="Q10">
            <v>5.1113333333333337E-2</v>
          </cell>
          <cell r="R10">
            <v>0.2992866666666667</v>
          </cell>
          <cell r="S10">
            <v>0</v>
          </cell>
          <cell r="T10">
            <v>0</v>
          </cell>
          <cell r="U10">
            <v>0</v>
          </cell>
          <cell r="V10">
            <v>0.35040000000000004</v>
          </cell>
        </row>
        <row r="11">
          <cell r="D11" t="str">
            <v>82113-76220 0002</v>
          </cell>
          <cell r="E11" t="str">
            <v>82113-76220</v>
          </cell>
          <cell r="F11">
            <v>47.76464</v>
          </cell>
          <cell r="G11">
            <v>0</v>
          </cell>
          <cell r="H11">
            <v>1.985E-2</v>
          </cell>
          <cell r="I11">
            <v>3.168166666666667E-2</v>
          </cell>
          <cell r="J11">
            <v>0</v>
          </cell>
          <cell r="K11">
            <v>4.7904999999999996E-2</v>
          </cell>
          <cell r="L11">
            <v>0.24659666666666666</v>
          </cell>
          <cell r="M11">
            <v>0</v>
          </cell>
          <cell r="N11">
            <v>2.0086666666666666E-2</v>
          </cell>
          <cell r="O11">
            <v>1.4595E-2</v>
          </cell>
          <cell r="P11">
            <v>5.4166666666666669E-3</v>
          </cell>
          <cell r="Q11">
            <v>5.153166666666667E-2</v>
          </cell>
          <cell r="R11">
            <v>0.33460000000000001</v>
          </cell>
          <cell r="S11">
            <v>0</v>
          </cell>
          <cell r="T11">
            <v>0</v>
          </cell>
          <cell r="U11">
            <v>0</v>
          </cell>
          <cell r="V11">
            <v>0.38613166666666665</v>
          </cell>
        </row>
        <row r="12">
          <cell r="D12" t="str">
            <v>82125-12660 B 1201</v>
          </cell>
          <cell r="E12" t="str">
            <v>82125-12660</v>
          </cell>
          <cell r="F12">
            <v>19.307040000000001</v>
          </cell>
          <cell r="G12">
            <v>0</v>
          </cell>
          <cell r="H12">
            <v>1.0141666666666667E-2</v>
          </cell>
          <cell r="I12">
            <v>0</v>
          </cell>
          <cell r="J12">
            <v>1.302E-2</v>
          </cell>
          <cell r="K12">
            <v>2.6033333333333335E-2</v>
          </cell>
          <cell r="L12">
            <v>9.7705E-2</v>
          </cell>
          <cell r="M12">
            <v>1.0450000000000001E-3</v>
          </cell>
          <cell r="N12">
            <v>1.3483333333333335E-2</v>
          </cell>
          <cell r="O12">
            <v>8.4883333333333321E-3</v>
          </cell>
          <cell r="P12">
            <v>3.7383333333333335E-3</v>
          </cell>
          <cell r="Q12">
            <v>2.3161666666666667E-2</v>
          </cell>
          <cell r="R12">
            <v>0.15049333333333334</v>
          </cell>
          <cell r="S12">
            <v>0</v>
          </cell>
          <cell r="T12">
            <v>0</v>
          </cell>
          <cell r="U12">
            <v>0</v>
          </cell>
          <cell r="V12">
            <v>0.173655</v>
          </cell>
        </row>
        <row r="13">
          <cell r="D13" t="str">
            <v>82125-33180 0231</v>
          </cell>
          <cell r="E13" t="str">
            <v>82125-33180</v>
          </cell>
          <cell r="F13">
            <v>13.433160000000001</v>
          </cell>
          <cell r="G13">
            <v>0</v>
          </cell>
          <cell r="H13">
            <v>1.0136666666666665E-2</v>
          </cell>
          <cell r="I13">
            <v>0</v>
          </cell>
          <cell r="J13">
            <v>1.302E-2</v>
          </cell>
          <cell r="K13">
            <v>2.0313333333333336E-2</v>
          </cell>
          <cell r="L13">
            <v>9.212833333333334E-2</v>
          </cell>
          <cell r="M13">
            <v>1.0450000000000001E-3</v>
          </cell>
          <cell r="N13">
            <v>1.3481666666666666E-2</v>
          </cell>
          <cell r="O13">
            <v>7.906666666666666E-3</v>
          </cell>
          <cell r="P13">
            <v>3.7099999999999998E-3</v>
          </cell>
          <cell r="Q13">
            <v>2.3156666666666666E-2</v>
          </cell>
          <cell r="R13">
            <v>0.13858500000000001</v>
          </cell>
          <cell r="S13">
            <v>0</v>
          </cell>
          <cell r="T13">
            <v>0</v>
          </cell>
          <cell r="U13">
            <v>0</v>
          </cell>
          <cell r="V13">
            <v>0.16174166666666667</v>
          </cell>
        </row>
        <row r="14">
          <cell r="D14" t="str">
            <v>82125-52190 B 0001</v>
          </cell>
          <cell r="E14" t="str">
            <v>82125-52190</v>
          </cell>
          <cell r="F14">
            <v>7.0766400000000003</v>
          </cell>
          <cell r="G14">
            <v>0</v>
          </cell>
          <cell r="H14">
            <v>5.678333333333333E-3</v>
          </cell>
          <cell r="I14">
            <v>0</v>
          </cell>
          <cell r="J14">
            <v>1.1991666666666668E-2</v>
          </cell>
          <cell r="K14">
            <v>1.6023333333333334E-2</v>
          </cell>
          <cell r="L14">
            <v>6.617166666666667E-2</v>
          </cell>
          <cell r="M14">
            <v>1.0450000000000001E-3</v>
          </cell>
          <cell r="N14">
            <v>1.1741666666666668E-2</v>
          </cell>
          <cell r="O14">
            <v>6.7133333333333333E-3</v>
          </cell>
          <cell r="P14">
            <v>2.895E-3</v>
          </cell>
          <cell r="Q14">
            <v>1.7670000000000002E-2</v>
          </cell>
          <cell r="R14">
            <v>0.10459</v>
          </cell>
          <cell r="S14">
            <v>0</v>
          </cell>
          <cell r="T14">
            <v>0</v>
          </cell>
          <cell r="U14">
            <v>0</v>
          </cell>
          <cell r="V14">
            <v>0.12226000000000001</v>
          </cell>
        </row>
        <row r="15">
          <cell r="D15" t="str">
            <v>82126-12010 B 1001</v>
          </cell>
          <cell r="E15" t="str">
            <v>82126-12010</v>
          </cell>
          <cell r="F15">
            <v>27.472000000000001</v>
          </cell>
          <cell r="G15">
            <v>0</v>
          </cell>
          <cell r="H15">
            <v>7.7033333333333337E-3</v>
          </cell>
          <cell r="I15">
            <v>1.4534999999999999E-2</v>
          </cell>
          <cell r="J15">
            <v>0</v>
          </cell>
          <cell r="K15">
            <v>1.54E-2</v>
          </cell>
          <cell r="L15">
            <v>7.0035E-2</v>
          </cell>
          <cell r="M15">
            <v>0</v>
          </cell>
          <cell r="N15">
            <v>1.2110000000000001E-2</v>
          </cell>
          <cell r="O15">
            <v>7.6483333333333325E-3</v>
          </cell>
          <cell r="P15">
            <v>3.0733333333333333E-3</v>
          </cell>
          <cell r="Q15">
            <v>2.2238333333333332E-2</v>
          </cell>
          <cell r="R15">
            <v>0.10826666666666665</v>
          </cell>
          <cell r="S15">
            <v>0</v>
          </cell>
          <cell r="T15">
            <v>0</v>
          </cell>
          <cell r="U15">
            <v>0</v>
          </cell>
          <cell r="V15">
            <v>0.13050499999999998</v>
          </cell>
        </row>
        <row r="16">
          <cell r="D16" t="str">
            <v>82126-33050 B 0101</v>
          </cell>
          <cell r="E16" t="str">
            <v>82126-33050</v>
          </cell>
          <cell r="F16">
            <v>39.090479999999999</v>
          </cell>
          <cell r="G16">
            <v>0</v>
          </cell>
          <cell r="H16">
            <v>7.711666666666667E-3</v>
          </cell>
          <cell r="I16">
            <v>8.2633333333333343E-3</v>
          </cell>
          <cell r="J16">
            <v>0</v>
          </cell>
          <cell r="K16">
            <v>1.54E-2</v>
          </cell>
          <cell r="L16">
            <v>6.5471666666666664E-2</v>
          </cell>
          <cell r="M16">
            <v>0</v>
          </cell>
          <cell r="N16">
            <v>1.2116666666666666E-2</v>
          </cell>
          <cell r="O16">
            <v>7.8200000000000006E-3</v>
          </cell>
          <cell r="P16">
            <v>3.1916666666666669E-3</v>
          </cell>
          <cell r="Q16">
            <v>1.5975000000000003E-2</v>
          </cell>
          <cell r="R16">
            <v>0.104</v>
          </cell>
          <cell r="S16">
            <v>0</v>
          </cell>
          <cell r="T16">
            <v>0</v>
          </cell>
          <cell r="U16">
            <v>0</v>
          </cell>
          <cell r="V16">
            <v>0.119975</v>
          </cell>
        </row>
        <row r="17">
          <cell r="D17" t="str">
            <v>82219-12140 B 1001</v>
          </cell>
          <cell r="E17" t="str">
            <v>82219-12140</v>
          </cell>
          <cell r="F17">
            <v>13.566240000000001</v>
          </cell>
          <cell r="G17">
            <v>0</v>
          </cell>
          <cell r="H17">
            <v>9.4366666666666679E-3</v>
          </cell>
          <cell r="I17">
            <v>7.1383333333333333E-3</v>
          </cell>
          <cell r="J17">
            <v>0</v>
          </cell>
          <cell r="K17">
            <v>2.7298333333333331E-2</v>
          </cell>
          <cell r="L17">
            <v>0.10087666666666667</v>
          </cell>
          <cell r="M17">
            <v>0</v>
          </cell>
          <cell r="N17">
            <v>1.4631666666666666E-2</v>
          </cell>
          <cell r="O17">
            <v>8.2716666666666668E-3</v>
          </cell>
          <cell r="P17">
            <v>3.3149999999999998E-3</v>
          </cell>
          <cell r="Q17">
            <v>1.6574999999999999E-2</v>
          </cell>
          <cell r="R17">
            <v>0.15439333333333335</v>
          </cell>
          <cell r="S17">
            <v>0</v>
          </cell>
          <cell r="T17">
            <v>0</v>
          </cell>
          <cell r="U17">
            <v>0</v>
          </cell>
          <cell r="V17">
            <v>0.17096833333333336</v>
          </cell>
        </row>
        <row r="18">
          <cell r="D18" t="str">
            <v>82219-33140 D 0301</v>
          </cell>
          <cell r="E18" t="str">
            <v>82219-33140</v>
          </cell>
          <cell r="F18">
            <v>17.43261</v>
          </cell>
          <cell r="G18">
            <v>0</v>
          </cell>
          <cell r="H18">
            <v>1.1250000000000001E-2</v>
          </cell>
          <cell r="I18">
            <v>5.0054999999999995E-2</v>
          </cell>
          <cell r="J18">
            <v>7.4199999999999995E-3</v>
          </cell>
          <cell r="K18">
            <v>2.2421666666666666E-2</v>
          </cell>
          <cell r="L18">
            <v>0.10713166666666667</v>
          </cell>
          <cell r="M18">
            <v>0</v>
          </cell>
          <cell r="N18">
            <v>1.4713333333333333E-2</v>
          </cell>
          <cell r="O18">
            <v>8.331666666666666E-3</v>
          </cell>
          <cell r="P18">
            <v>3.3566666666666667E-3</v>
          </cell>
          <cell r="Q18">
            <v>6.8724999999999994E-2</v>
          </cell>
          <cell r="R18">
            <v>0.15595499999999998</v>
          </cell>
          <cell r="S18">
            <v>0</v>
          </cell>
          <cell r="T18">
            <v>0</v>
          </cell>
          <cell r="U18">
            <v>0</v>
          </cell>
          <cell r="V18">
            <v>0.22467999999999999</v>
          </cell>
        </row>
        <row r="19">
          <cell r="D19" t="str">
            <v>82219-33141 A 0101</v>
          </cell>
          <cell r="E19" t="str">
            <v>82219-33141</v>
          </cell>
          <cell r="F19">
            <v>15.385590000000001</v>
          </cell>
          <cell r="G19">
            <v>0</v>
          </cell>
          <cell r="H19">
            <v>9.3883333333333336E-3</v>
          </cell>
          <cell r="I19">
            <v>4.9259999999999998E-2</v>
          </cell>
          <cell r="J19">
            <v>7.4199999999999995E-3</v>
          </cell>
          <cell r="K19">
            <v>2.0735E-2</v>
          </cell>
          <cell r="L19">
            <v>9.7028333333333328E-2</v>
          </cell>
          <cell r="M19">
            <v>0</v>
          </cell>
          <cell r="N19">
            <v>1.3890000000000001E-2</v>
          </cell>
          <cell r="O19">
            <v>7.7383333333333332E-3</v>
          </cell>
          <cell r="P19">
            <v>3.0433333333333337E-3</v>
          </cell>
          <cell r="Q19">
            <v>6.6068333333333326E-2</v>
          </cell>
          <cell r="R19">
            <v>0.14243500000000003</v>
          </cell>
          <cell r="S19">
            <v>0</v>
          </cell>
          <cell r="T19">
            <v>0</v>
          </cell>
          <cell r="U19">
            <v>0</v>
          </cell>
          <cell r="V19">
            <v>0.20850333333333337</v>
          </cell>
        </row>
        <row r="20">
          <cell r="D20" t="str">
            <v>82219-76020 A 1501</v>
          </cell>
          <cell r="E20" t="str">
            <v>82219-76020</v>
          </cell>
          <cell r="F20">
            <v>10.9032</v>
          </cell>
          <cell r="G20">
            <v>0</v>
          </cell>
          <cell r="H20">
            <v>7.5733333333333338E-3</v>
          </cell>
          <cell r="I20">
            <v>4.0066666666666671E-3</v>
          </cell>
          <cell r="J20">
            <v>0</v>
          </cell>
          <cell r="K20">
            <v>2.5611666666666665E-2</v>
          </cell>
          <cell r="L20">
            <v>9.1294999999999987E-2</v>
          </cell>
          <cell r="M20">
            <v>0</v>
          </cell>
          <cell r="N20">
            <v>1.3806666666666667E-2</v>
          </cell>
          <cell r="O20">
            <v>7.6666666666666671E-3</v>
          </cell>
          <cell r="P20">
            <v>2.9949999999999998E-3</v>
          </cell>
          <cell r="Q20">
            <v>1.158E-2</v>
          </cell>
          <cell r="R20">
            <v>0.14137499999999997</v>
          </cell>
          <cell r="S20">
            <v>0</v>
          </cell>
          <cell r="T20">
            <v>0</v>
          </cell>
          <cell r="U20">
            <v>0</v>
          </cell>
          <cell r="V20">
            <v>0.15295499999999998</v>
          </cell>
        </row>
        <row r="21">
          <cell r="D21" t="str">
            <v>82111-1HX90 F 0401</v>
          </cell>
          <cell r="E21" t="str">
            <v>82111-1HX90</v>
          </cell>
          <cell r="F21">
            <v>3233.2741900000001</v>
          </cell>
          <cell r="G21">
            <v>0</v>
          </cell>
          <cell r="H21">
            <v>0.19661166666666666</v>
          </cell>
          <cell r="I21">
            <v>0.21136666666666667</v>
          </cell>
          <cell r="J21">
            <v>0.15854666666666667</v>
          </cell>
          <cell r="K21">
            <v>0.56253000000000009</v>
          </cell>
          <cell r="L21">
            <v>1.4212516666666666</v>
          </cell>
          <cell r="M21">
            <v>6.263500000000001E-2</v>
          </cell>
          <cell r="N21">
            <v>0.15764500000000001</v>
          </cell>
          <cell r="O21">
            <v>0.13317333333333334</v>
          </cell>
          <cell r="P21">
            <v>0.10004833333333335</v>
          </cell>
          <cell r="Q21">
            <v>0.56652499999999995</v>
          </cell>
          <cell r="R21">
            <v>2.4372833333333337</v>
          </cell>
          <cell r="S21">
            <v>2.7458333333333335E-2</v>
          </cell>
          <cell r="T21">
            <v>4.2031666666666669E-2</v>
          </cell>
          <cell r="U21">
            <v>0</v>
          </cell>
          <cell r="V21">
            <v>3.0732983333333332</v>
          </cell>
        </row>
        <row r="22">
          <cell r="D22" t="str">
            <v>82111-1KQ51 A 0001</v>
          </cell>
          <cell r="E22" t="str">
            <v>82111-1KQ51</v>
          </cell>
          <cell r="F22">
            <v>3312.8828400000002</v>
          </cell>
          <cell r="G22">
            <v>0</v>
          </cell>
          <cell r="H22">
            <v>0.19966333333333333</v>
          </cell>
          <cell r="I22">
            <v>0.20711000000000002</v>
          </cell>
          <cell r="J22">
            <v>0.19991</v>
          </cell>
          <cell r="K22">
            <v>0.57605166666666663</v>
          </cell>
          <cell r="L22">
            <v>1.4271233333333333</v>
          </cell>
          <cell r="M22">
            <v>6.6711666666666669E-2</v>
          </cell>
          <cell r="N22">
            <v>0.16921166666666665</v>
          </cell>
          <cell r="O22">
            <v>0.13324333333333332</v>
          </cell>
          <cell r="P22">
            <v>7.7143333333333314E-2</v>
          </cell>
          <cell r="Q22">
            <v>0.60668333333333335</v>
          </cell>
          <cell r="R22">
            <v>2.4494849999999992</v>
          </cell>
          <cell r="S22">
            <v>2.7458333333333335E-2</v>
          </cell>
          <cell r="T22">
            <v>4.2031666666666669E-2</v>
          </cell>
          <cell r="U22">
            <v>0</v>
          </cell>
          <cell r="V22">
            <v>3.1256583333333321</v>
          </cell>
        </row>
        <row r="23">
          <cell r="D23" t="str">
            <v>82111-1LA70 B 0401</v>
          </cell>
          <cell r="E23" t="str">
            <v>82111-1LA70</v>
          </cell>
          <cell r="F23">
            <v>3178.0711099999999</v>
          </cell>
          <cell r="G23">
            <v>0</v>
          </cell>
          <cell r="H23">
            <v>0.189695</v>
          </cell>
          <cell r="I23">
            <v>0.20292833333333335</v>
          </cell>
          <cell r="J23">
            <v>0.15854666666666667</v>
          </cell>
          <cell r="K23">
            <v>0.55178333333333329</v>
          </cell>
          <cell r="L23">
            <v>1.3678283333333332</v>
          </cell>
          <cell r="M23">
            <v>5.9353333333333334E-2</v>
          </cell>
          <cell r="N23">
            <v>0.15358333333333332</v>
          </cell>
          <cell r="O23">
            <v>0.13613833333333333</v>
          </cell>
          <cell r="P23">
            <v>7.9753333333333315E-2</v>
          </cell>
          <cell r="Q23">
            <v>0.55116999999999994</v>
          </cell>
          <cell r="R23">
            <v>2.3484399999999996</v>
          </cell>
          <cell r="S23">
            <v>2.7458333333333335E-2</v>
          </cell>
          <cell r="T23">
            <v>4.2031666666666669E-2</v>
          </cell>
          <cell r="U23">
            <v>0</v>
          </cell>
          <cell r="V23">
            <v>2.9690999999999992</v>
          </cell>
        </row>
        <row r="24">
          <cell r="D24" t="str">
            <v>82111-1LA71 0001</v>
          </cell>
          <cell r="E24" t="str">
            <v>82111-1LA71</v>
          </cell>
          <cell r="F24">
            <v>3129.03051</v>
          </cell>
          <cell r="G24">
            <v>0</v>
          </cell>
          <cell r="H24">
            <v>0.18823666666666666</v>
          </cell>
          <cell r="I24">
            <v>0.20292833333333335</v>
          </cell>
          <cell r="J24">
            <v>0.15854666666666667</v>
          </cell>
          <cell r="K24">
            <v>0.55757999999999996</v>
          </cell>
          <cell r="L24">
            <v>1.3644083333333334</v>
          </cell>
          <cell r="M24">
            <v>5.9353333333333334E-2</v>
          </cell>
          <cell r="N24">
            <v>0.15250666666666665</v>
          </cell>
          <cell r="O24">
            <v>0.13600333333333334</v>
          </cell>
          <cell r="P24">
            <v>0.10380666666666669</v>
          </cell>
          <cell r="Q24">
            <v>0.5497116666666666</v>
          </cell>
          <cell r="R24">
            <v>2.3736583333333336</v>
          </cell>
          <cell r="S24">
            <v>2.7458333333333335E-2</v>
          </cell>
          <cell r="T24">
            <v>4.2031666666666669E-2</v>
          </cell>
          <cell r="U24">
            <v>0</v>
          </cell>
          <cell r="V24">
            <v>2.9928599999999999</v>
          </cell>
        </row>
        <row r="25">
          <cell r="D25" t="str">
            <v>82111-1LA80 B 0301</v>
          </cell>
          <cell r="E25" t="str">
            <v>82111-1LA80</v>
          </cell>
          <cell r="F25">
            <v>3092.0333700000001</v>
          </cell>
          <cell r="G25">
            <v>0</v>
          </cell>
          <cell r="H25">
            <v>0.18045666666666668</v>
          </cell>
          <cell r="I25">
            <v>0.198825</v>
          </cell>
          <cell r="J25">
            <v>0.15854666666666667</v>
          </cell>
          <cell r="K25">
            <v>0.53156499999999995</v>
          </cell>
          <cell r="L25">
            <v>1.3310566666666666</v>
          </cell>
          <cell r="M25">
            <v>5.9248333333333333E-2</v>
          </cell>
          <cell r="N25">
            <v>0.15032166666666666</v>
          </cell>
          <cell r="O25">
            <v>0.13566666666666669</v>
          </cell>
          <cell r="P25">
            <v>0.10357833333333336</v>
          </cell>
          <cell r="Q25">
            <v>0.53782833333333335</v>
          </cell>
          <cell r="R25">
            <v>2.3114366666666668</v>
          </cell>
          <cell r="S25">
            <v>2.7458333333333335E-2</v>
          </cell>
          <cell r="T25">
            <v>4.2031666666666669E-2</v>
          </cell>
          <cell r="U25">
            <v>0</v>
          </cell>
          <cell r="V25">
            <v>2.9187549999999995</v>
          </cell>
        </row>
        <row r="26">
          <cell r="D26" t="str">
            <v>82111-1LA90 B 0301</v>
          </cell>
          <cell r="E26" t="str">
            <v>82111-1LA90</v>
          </cell>
          <cell r="F26">
            <v>3209.60016</v>
          </cell>
          <cell r="G26">
            <v>0</v>
          </cell>
          <cell r="H26">
            <v>0.18839499999999998</v>
          </cell>
          <cell r="I26">
            <v>0.198825</v>
          </cell>
          <cell r="J26">
            <v>0.16950999999999999</v>
          </cell>
          <cell r="K26">
            <v>0.55202666666666667</v>
          </cell>
          <cell r="L26">
            <v>1.3804883333333333</v>
          </cell>
          <cell r="M26">
            <v>5.9408333333333327E-2</v>
          </cell>
          <cell r="N26">
            <v>0.16344666666666668</v>
          </cell>
          <cell r="O26">
            <v>0.13684833333333335</v>
          </cell>
          <cell r="P26">
            <v>0.10409666666666667</v>
          </cell>
          <cell r="Q26">
            <v>0.55672999999999995</v>
          </cell>
          <cell r="R26">
            <v>2.396315</v>
          </cell>
          <cell r="S26">
            <v>2.7458333333333335E-2</v>
          </cell>
          <cell r="T26">
            <v>4.2031666666666669E-2</v>
          </cell>
          <cell r="U26">
            <v>0</v>
          </cell>
          <cell r="V26">
            <v>3.0225349999999995</v>
          </cell>
        </row>
        <row r="27">
          <cell r="D27" t="str">
            <v>82111-1LB00 C 0001</v>
          </cell>
          <cell r="E27" t="str">
            <v>82111-1LB00</v>
          </cell>
          <cell r="F27">
            <v>3192.0640400000002</v>
          </cell>
          <cell r="G27">
            <v>0</v>
          </cell>
          <cell r="H27">
            <v>0.18613500000000002</v>
          </cell>
          <cell r="I27">
            <v>0.19895500000000002</v>
          </cell>
          <cell r="J27">
            <v>0.16854333333333335</v>
          </cell>
          <cell r="K27">
            <v>0.54895666666666665</v>
          </cell>
          <cell r="L27">
            <v>1.3564333333333332</v>
          </cell>
          <cell r="M27">
            <v>6.3875000000000001E-2</v>
          </cell>
          <cell r="N27">
            <v>0.15245</v>
          </cell>
          <cell r="O27">
            <v>0.14025166666666669</v>
          </cell>
          <cell r="P27">
            <v>9.2835000000000001E-2</v>
          </cell>
          <cell r="Q27">
            <v>0.55363333333333342</v>
          </cell>
          <cell r="R27">
            <v>2.3548016666666665</v>
          </cell>
          <cell r="S27">
            <v>2.7458333333333335E-2</v>
          </cell>
          <cell r="T27">
            <v>4.2031666666666669E-2</v>
          </cell>
          <cell r="U27">
            <v>0</v>
          </cell>
          <cell r="V27">
            <v>2.9779249999999995</v>
          </cell>
        </row>
        <row r="28">
          <cell r="D28" t="str">
            <v>82111-1LB10 C 0001</v>
          </cell>
          <cell r="E28" t="str">
            <v>82111-1LB10</v>
          </cell>
          <cell r="F28">
            <v>3325.2766900000001</v>
          </cell>
          <cell r="G28">
            <v>0</v>
          </cell>
          <cell r="H28">
            <v>0.19652666666666668</v>
          </cell>
          <cell r="I28">
            <v>0.19895500000000002</v>
          </cell>
          <cell r="J28">
            <v>0.20921166666666666</v>
          </cell>
          <cell r="K28">
            <v>0.563245</v>
          </cell>
          <cell r="L28">
            <v>1.45445</v>
          </cell>
          <cell r="M28">
            <v>6.4395000000000008E-2</v>
          </cell>
          <cell r="N28">
            <v>0.16995333333333335</v>
          </cell>
          <cell r="O28">
            <v>0.14867833333333333</v>
          </cell>
          <cell r="P28">
            <v>9.482666666666667E-2</v>
          </cell>
          <cell r="Q28">
            <v>0.60469333333333342</v>
          </cell>
          <cell r="R28">
            <v>2.4955483333333333</v>
          </cell>
          <cell r="S28">
            <v>2.7458333333333335E-2</v>
          </cell>
          <cell r="T28">
            <v>4.2031666666666669E-2</v>
          </cell>
          <cell r="U28">
            <v>0</v>
          </cell>
          <cell r="V28">
            <v>3.1697316666666664</v>
          </cell>
        </row>
        <row r="29">
          <cell r="D29" t="str">
            <v>82111-1LB21 0001</v>
          </cell>
          <cell r="E29" t="str">
            <v>82111-1LB21</v>
          </cell>
          <cell r="F29">
            <v>3105.8778400000001</v>
          </cell>
          <cell r="G29">
            <v>0</v>
          </cell>
          <cell r="H29">
            <v>0.18483166666666667</v>
          </cell>
          <cell r="I29">
            <v>0.20292833333333335</v>
          </cell>
          <cell r="J29">
            <v>0.15854666666666667</v>
          </cell>
          <cell r="K29">
            <v>0.54850333333333334</v>
          </cell>
          <cell r="L29">
            <v>1.3580733333333332</v>
          </cell>
          <cell r="M29">
            <v>5.9353333333333334E-2</v>
          </cell>
          <cell r="N29">
            <v>0.15210666666666667</v>
          </cell>
          <cell r="O29">
            <v>0.13600333333333334</v>
          </cell>
          <cell r="P29">
            <v>0.10380666666666669</v>
          </cell>
          <cell r="Q29">
            <v>0.54630666666666672</v>
          </cell>
          <cell r="R29">
            <v>2.3578466666666671</v>
          </cell>
          <cell r="S29">
            <v>2.7458333333333335E-2</v>
          </cell>
          <cell r="T29">
            <v>4.2031666666666669E-2</v>
          </cell>
          <cell r="U29">
            <v>0</v>
          </cell>
          <cell r="V29">
            <v>2.9736433333333334</v>
          </cell>
        </row>
        <row r="30">
          <cell r="D30" t="str">
            <v>82111-4DL51 B 1202</v>
          </cell>
          <cell r="E30" t="str">
            <v>82111-4DL51</v>
          </cell>
          <cell r="F30">
            <v>4207.1127800000004</v>
          </cell>
          <cell r="G30">
            <v>499.34839999999997</v>
          </cell>
          <cell r="H30">
            <v>0.31540666666666667</v>
          </cell>
          <cell r="I30">
            <v>0.51601333333333332</v>
          </cell>
          <cell r="J30">
            <v>0.13108333333333333</v>
          </cell>
          <cell r="K30">
            <v>0.913995</v>
          </cell>
          <cell r="L30">
            <v>2.2471683333333332</v>
          </cell>
          <cell r="M30">
            <v>6.5091666666666673E-2</v>
          </cell>
          <cell r="N30">
            <v>0.24773666666666666</v>
          </cell>
          <cell r="O30">
            <v>0.31413166666666664</v>
          </cell>
          <cell r="P30">
            <v>9.5324999999999993E-2</v>
          </cell>
          <cell r="Q30">
            <v>0.96250333333333338</v>
          </cell>
          <cell r="R30">
            <v>3.8834483333333325</v>
          </cell>
          <cell r="S30">
            <v>0</v>
          </cell>
          <cell r="T30">
            <v>4.7293333333333333E-2</v>
          </cell>
          <cell r="U30">
            <v>0.47769</v>
          </cell>
          <cell r="V30">
            <v>5.3709349999999993</v>
          </cell>
        </row>
        <row r="31">
          <cell r="D31" t="str">
            <v>82111-4DL71 B 1202</v>
          </cell>
          <cell r="E31" t="str">
            <v>82111-4DL71</v>
          </cell>
          <cell r="F31">
            <v>3664.2193600000001</v>
          </cell>
          <cell r="G31">
            <v>452.36669999999998</v>
          </cell>
          <cell r="H31">
            <v>0.27123833333333336</v>
          </cell>
          <cell r="I31">
            <v>0.42968333333333331</v>
          </cell>
          <cell r="J31">
            <v>0.10049666666666666</v>
          </cell>
          <cell r="K31">
            <v>0.77810333333333337</v>
          </cell>
          <cell r="L31">
            <v>2.1319766666666666</v>
          </cell>
          <cell r="M31">
            <v>6.1561666666666667E-2</v>
          </cell>
          <cell r="N31">
            <v>0.23660833333333334</v>
          </cell>
          <cell r="O31">
            <v>0.2970133333333333</v>
          </cell>
          <cell r="P31">
            <v>9.4016666666666665E-2</v>
          </cell>
          <cell r="Q31">
            <v>0.80141833333333334</v>
          </cell>
          <cell r="R31">
            <v>3.5992799999999994</v>
          </cell>
          <cell r="S31">
            <v>0</v>
          </cell>
          <cell r="T31">
            <v>4.7293333333333333E-2</v>
          </cell>
          <cell r="U31">
            <v>0.45492833333333332</v>
          </cell>
          <cell r="V31">
            <v>4.9029199999999991</v>
          </cell>
        </row>
        <row r="32">
          <cell r="D32" t="str">
            <v>82111-4DM31 B 1102</v>
          </cell>
          <cell r="E32" t="str">
            <v>82111-4DM31</v>
          </cell>
          <cell r="F32">
            <v>5159.4093400000002</v>
          </cell>
          <cell r="G32">
            <v>502.53579999999999</v>
          </cell>
          <cell r="H32">
            <v>0.43009666666666668</v>
          </cell>
          <cell r="I32">
            <v>0.88381166666666666</v>
          </cell>
          <cell r="J32">
            <v>0.25437166666666666</v>
          </cell>
          <cell r="K32">
            <v>1.1937166666666668</v>
          </cell>
          <cell r="L32">
            <v>2.7537466666666663</v>
          </cell>
          <cell r="M32">
            <v>7.345666666666667E-2</v>
          </cell>
          <cell r="N32">
            <v>0.28783500000000001</v>
          </cell>
          <cell r="O32">
            <v>0.35625499999999999</v>
          </cell>
          <cell r="P32">
            <v>0.10439833333333332</v>
          </cell>
          <cell r="Q32">
            <v>1.5682800000000001</v>
          </cell>
          <cell r="R32">
            <v>4.7694083333333337</v>
          </cell>
          <cell r="S32">
            <v>0</v>
          </cell>
          <cell r="T32">
            <v>3.8100000000000002E-2</v>
          </cell>
          <cell r="U32">
            <v>0.57308999999999999</v>
          </cell>
          <cell r="V32">
            <v>6.9488783333333339</v>
          </cell>
        </row>
        <row r="33">
          <cell r="D33" t="str">
            <v>82111-4DM41 B 1102</v>
          </cell>
          <cell r="E33" t="str">
            <v>82111-4DM41</v>
          </cell>
          <cell r="F33">
            <v>5136.26314</v>
          </cell>
          <cell r="G33">
            <v>508.42329999999998</v>
          </cell>
          <cell r="H33">
            <v>0.43026833333333331</v>
          </cell>
          <cell r="I33">
            <v>0.87471333333333334</v>
          </cell>
          <cell r="J33">
            <v>0.25437166666666666</v>
          </cell>
          <cell r="K33">
            <v>1.2006399999999999</v>
          </cell>
          <cell r="L33">
            <v>2.7827866666666665</v>
          </cell>
          <cell r="M33">
            <v>7.3681666666666659E-2</v>
          </cell>
          <cell r="N33">
            <v>0.28922333333333333</v>
          </cell>
          <cell r="O33">
            <v>0.35810166666666665</v>
          </cell>
          <cell r="P33">
            <v>0.10545500000000002</v>
          </cell>
          <cell r="Q33">
            <v>1.5593533333333334</v>
          </cell>
          <cell r="R33">
            <v>4.8098883333333324</v>
          </cell>
          <cell r="S33">
            <v>0</v>
          </cell>
          <cell r="T33">
            <v>3.8100000000000002E-2</v>
          </cell>
          <cell r="U33">
            <v>0.57971500000000009</v>
          </cell>
          <cell r="V33">
            <v>6.9870566666666658</v>
          </cell>
        </row>
        <row r="34">
          <cell r="D34" t="str">
            <v>82111-4DM51 B 1301</v>
          </cell>
          <cell r="E34" t="str">
            <v>82111-4DM51</v>
          </cell>
          <cell r="F34">
            <v>4404.28629</v>
          </cell>
          <cell r="G34">
            <v>514.84429999999998</v>
          </cell>
          <cell r="H34">
            <v>0.37289999999999995</v>
          </cell>
          <cell r="I34">
            <v>0.73692999999999997</v>
          </cell>
          <cell r="J34">
            <v>0.19677</v>
          </cell>
          <cell r="K34">
            <v>1.0484566666666668</v>
          </cell>
          <cell r="L34">
            <v>2.3572016666666666</v>
          </cell>
          <cell r="M34">
            <v>6.9816666666666666E-2</v>
          </cell>
          <cell r="N34">
            <v>0.28019833333333338</v>
          </cell>
          <cell r="O34">
            <v>0.33684833333333331</v>
          </cell>
          <cell r="P34">
            <v>9.846000000000002E-2</v>
          </cell>
          <cell r="Q34">
            <v>1.3066</v>
          </cell>
          <cell r="R34">
            <v>4.1909816666666666</v>
          </cell>
          <cell r="S34">
            <v>0</v>
          </cell>
          <cell r="T34">
            <v>5.0180000000000002E-2</v>
          </cell>
          <cell r="U34">
            <v>0.5508249999999999</v>
          </cell>
          <cell r="V34">
            <v>6.0985866666666668</v>
          </cell>
        </row>
        <row r="35">
          <cell r="D35" t="str">
            <v>82111-4DM61 B 1301</v>
          </cell>
          <cell r="E35" t="str">
            <v>82111-4DM61</v>
          </cell>
          <cell r="F35">
            <v>4286.55285</v>
          </cell>
          <cell r="G35">
            <v>511.20369999999997</v>
          </cell>
          <cell r="H35">
            <v>0.36957666666666672</v>
          </cell>
          <cell r="I35">
            <v>0.74919833333333341</v>
          </cell>
          <cell r="J35">
            <v>0.19543166666666664</v>
          </cell>
          <cell r="K35">
            <v>1.0444433333333334</v>
          </cell>
          <cell r="L35">
            <v>2.3097416666666666</v>
          </cell>
          <cell r="M35">
            <v>6.8301666666666663E-2</v>
          </cell>
          <cell r="N35">
            <v>0.27582499999999999</v>
          </cell>
          <cell r="O35">
            <v>0.33451166666666665</v>
          </cell>
          <cell r="P35">
            <v>9.6540000000000015E-2</v>
          </cell>
          <cell r="Q35">
            <v>1.3142066666666667</v>
          </cell>
          <cell r="R35">
            <v>4.1293633333333339</v>
          </cell>
          <cell r="S35">
            <v>0</v>
          </cell>
          <cell r="T35">
            <v>5.0180000000000002E-2</v>
          </cell>
          <cell r="U35">
            <v>0.5314549999999999</v>
          </cell>
          <cell r="V35">
            <v>6.0252050000000015</v>
          </cell>
        </row>
        <row r="36">
          <cell r="D36" t="str">
            <v>82111-4DN61 B 1301</v>
          </cell>
          <cell r="E36" t="str">
            <v>82111-4DN61</v>
          </cell>
          <cell r="F36">
            <v>4483.9888700000001</v>
          </cell>
          <cell r="G36">
            <v>521.4325</v>
          </cell>
          <cell r="H36">
            <v>0.36428166666666667</v>
          </cell>
          <cell r="I36">
            <v>0.71434500000000001</v>
          </cell>
          <cell r="J36">
            <v>0.20508000000000001</v>
          </cell>
          <cell r="K36">
            <v>1.0247166666666667</v>
          </cell>
          <cell r="L36">
            <v>2.2648766666666664</v>
          </cell>
          <cell r="M36">
            <v>5.9404999999999999E-2</v>
          </cell>
          <cell r="N36">
            <v>0.27615166666666663</v>
          </cell>
          <cell r="O36">
            <v>0.35030166666666668</v>
          </cell>
          <cell r="P36">
            <v>8.4423333333333336E-2</v>
          </cell>
          <cell r="Q36">
            <v>1.2837066666666666</v>
          </cell>
          <cell r="R36">
            <v>4.0598749999999999</v>
          </cell>
          <cell r="S36">
            <v>0</v>
          </cell>
          <cell r="T36">
            <v>5.018333333333333E-2</v>
          </cell>
          <cell r="U36">
            <v>0.52799166666666664</v>
          </cell>
          <cell r="V36">
            <v>5.9217566666666661</v>
          </cell>
        </row>
        <row r="37">
          <cell r="D37" t="str">
            <v>82111-4DQ01 B 1202</v>
          </cell>
          <cell r="E37" t="str">
            <v>82111-4DQ01</v>
          </cell>
          <cell r="F37">
            <v>4273.2708499999999</v>
          </cell>
          <cell r="G37">
            <v>554.30330000000004</v>
          </cell>
          <cell r="H37">
            <v>0.32711666666666667</v>
          </cell>
          <cell r="I37">
            <v>0.53058833333333333</v>
          </cell>
          <cell r="J37">
            <v>0.13108333333333333</v>
          </cell>
          <cell r="K37">
            <v>0.94496166666666659</v>
          </cell>
          <cell r="L37">
            <v>2.2988383333333333</v>
          </cell>
          <cell r="M37">
            <v>6.528666666666666E-2</v>
          </cell>
          <cell r="N37">
            <v>0.25210500000000002</v>
          </cell>
          <cell r="O37">
            <v>0.33335500000000001</v>
          </cell>
          <cell r="P37">
            <v>9.6040000000000014E-2</v>
          </cell>
          <cell r="Q37">
            <v>0.98878833333333327</v>
          </cell>
          <cell r="R37">
            <v>3.9905866666666667</v>
          </cell>
          <cell r="S37">
            <v>0</v>
          </cell>
          <cell r="T37">
            <v>4.7293333333333333E-2</v>
          </cell>
          <cell r="U37">
            <v>0.47769</v>
          </cell>
          <cell r="V37">
            <v>5.5043583333333332</v>
          </cell>
        </row>
        <row r="38">
          <cell r="D38" t="str">
            <v>82111-4DR50 B 1102</v>
          </cell>
          <cell r="E38" t="str">
            <v>82111-4DR50</v>
          </cell>
          <cell r="F38">
            <v>5269.2038899999998</v>
          </cell>
          <cell r="G38">
            <v>480.11719999999997</v>
          </cell>
          <cell r="H38">
            <v>0.42401833333333333</v>
          </cell>
          <cell r="I38">
            <v>0.85441499999999992</v>
          </cell>
          <cell r="J38">
            <v>0.25437166666666666</v>
          </cell>
          <cell r="K38">
            <v>1.1819266666666666</v>
          </cell>
          <cell r="L38">
            <v>2.7712583333333334</v>
          </cell>
          <cell r="M38">
            <v>7.3656666666666676E-2</v>
          </cell>
          <cell r="N38">
            <v>0.28809666666666661</v>
          </cell>
          <cell r="O38">
            <v>0.34467666666666663</v>
          </cell>
          <cell r="P38">
            <v>0.10533000000000001</v>
          </cell>
          <cell r="Q38">
            <v>1.532805</v>
          </cell>
          <cell r="R38">
            <v>4.764945</v>
          </cell>
          <cell r="S38">
            <v>0</v>
          </cell>
          <cell r="T38">
            <v>3.8100000000000002E-2</v>
          </cell>
          <cell r="U38">
            <v>0.55321500000000001</v>
          </cell>
          <cell r="V38">
            <v>6.8890649999999996</v>
          </cell>
        </row>
        <row r="39">
          <cell r="D39" t="str">
            <v>82111-4DT30 0121</v>
          </cell>
          <cell r="E39" t="str">
            <v>82111-4DT30</v>
          </cell>
          <cell r="F39">
            <v>4066.63474</v>
          </cell>
          <cell r="G39">
            <v>439.06790000000001</v>
          </cell>
          <cell r="H39">
            <v>0.33465499999999998</v>
          </cell>
          <cell r="I39">
            <v>0.70283666666666667</v>
          </cell>
          <cell r="J39">
            <v>0.20016999999999999</v>
          </cell>
          <cell r="K39">
            <v>0.960005</v>
          </cell>
          <cell r="L39">
            <v>2.2787833333333336</v>
          </cell>
          <cell r="M39">
            <v>6.3491666666666668E-2</v>
          </cell>
          <cell r="N39">
            <v>0.257415</v>
          </cell>
          <cell r="O39">
            <v>0.30915499999999996</v>
          </cell>
          <cell r="P39">
            <v>9.4656666666666694E-2</v>
          </cell>
          <cell r="Q39">
            <v>1.2376616666666667</v>
          </cell>
          <cell r="R39">
            <v>3.9635066666666674</v>
          </cell>
          <cell r="S39">
            <v>0</v>
          </cell>
          <cell r="T39">
            <v>3.520333333333333E-2</v>
          </cell>
          <cell r="U39">
            <v>0.46271666666666661</v>
          </cell>
          <cell r="V39">
            <v>5.699088333333334</v>
          </cell>
        </row>
        <row r="40">
          <cell r="D40" t="str">
            <v>82111-4DT40 0112</v>
          </cell>
          <cell r="E40" t="str">
            <v>82111-4DT40</v>
          </cell>
          <cell r="F40">
            <v>4739.3144199999997</v>
          </cell>
          <cell r="G40">
            <v>475.44240000000002</v>
          </cell>
          <cell r="H40">
            <v>0.39407333333333333</v>
          </cell>
          <cell r="I40">
            <v>0.85972833333333332</v>
          </cell>
          <cell r="J40">
            <v>0.25047666666666668</v>
          </cell>
          <cell r="K40">
            <v>1.0926183333333335</v>
          </cell>
          <cell r="L40">
            <v>2.6264483333333337</v>
          </cell>
          <cell r="M40">
            <v>7.2126666666666672E-2</v>
          </cell>
          <cell r="N40">
            <v>0.28004333333333337</v>
          </cell>
          <cell r="O40">
            <v>0.34109166666666663</v>
          </cell>
          <cell r="P40">
            <v>0.10333333333333336</v>
          </cell>
          <cell r="Q40">
            <v>1.5042783333333334</v>
          </cell>
          <cell r="R40">
            <v>4.5156616666666674</v>
          </cell>
          <cell r="S40">
            <v>0</v>
          </cell>
          <cell r="T40">
            <v>3.8100000000000002E-2</v>
          </cell>
          <cell r="U40">
            <v>0.58633999999999997</v>
          </cell>
          <cell r="V40">
            <v>6.6443800000000008</v>
          </cell>
        </row>
        <row r="41">
          <cell r="D41" t="str">
            <v>82111-4DT50 0112</v>
          </cell>
          <cell r="E41" t="str">
            <v>82111-4DT50</v>
          </cell>
          <cell r="F41">
            <v>4716.1682199999996</v>
          </cell>
          <cell r="G41">
            <v>475.44240000000002</v>
          </cell>
          <cell r="H41">
            <v>0.39212666666666668</v>
          </cell>
          <cell r="I41">
            <v>0.85063</v>
          </cell>
          <cell r="J41">
            <v>0.25047666666666668</v>
          </cell>
          <cell r="K41">
            <v>1.0870250000000001</v>
          </cell>
          <cell r="L41">
            <v>2.6240016666666666</v>
          </cell>
          <cell r="M41">
            <v>7.2126666666666672E-2</v>
          </cell>
          <cell r="N41">
            <v>0.27996333333333329</v>
          </cell>
          <cell r="O41">
            <v>0.34109166666666663</v>
          </cell>
          <cell r="P41">
            <v>0.10333333333333336</v>
          </cell>
          <cell r="Q41">
            <v>1.4932333333333334</v>
          </cell>
          <cell r="R41">
            <v>4.5075416666666666</v>
          </cell>
          <cell r="S41">
            <v>0</v>
          </cell>
          <cell r="T41">
            <v>3.8100000000000002E-2</v>
          </cell>
          <cell r="U41">
            <v>0.58633999999999997</v>
          </cell>
          <cell r="V41">
            <v>6.6252149999999999</v>
          </cell>
        </row>
        <row r="42">
          <cell r="D42" t="str">
            <v>82111-4DT60 0122</v>
          </cell>
          <cell r="E42" t="str">
            <v>82111-4DT60</v>
          </cell>
          <cell r="F42">
            <v>4089.99296</v>
          </cell>
          <cell r="G42">
            <v>501.44279999999998</v>
          </cell>
          <cell r="H42">
            <v>0.31600166666666668</v>
          </cell>
          <cell r="I42">
            <v>0.52087499999999998</v>
          </cell>
          <cell r="J42">
            <v>0.129745</v>
          </cell>
          <cell r="K42">
            <v>0.91769333333333336</v>
          </cell>
          <cell r="L42">
            <v>2.22987</v>
          </cell>
          <cell r="M42">
            <v>6.492666666666666E-2</v>
          </cell>
          <cell r="N42">
            <v>0.24589333333333335</v>
          </cell>
          <cell r="O42">
            <v>0.31642333333333333</v>
          </cell>
          <cell r="P42">
            <v>9.4766666666666666E-2</v>
          </cell>
          <cell r="Q42">
            <v>0.96662166666666671</v>
          </cell>
          <cell r="R42">
            <v>3.8695733333333333</v>
          </cell>
          <cell r="S42">
            <v>0</v>
          </cell>
          <cell r="T42">
            <v>4.7293333333333333E-2</v>
          </cell>
          <cell r="U42">
            <v>0.46817833333333331</v>
          </cell>
          <cell r="V42">
            <v>5.3516666666666666</v>
          </cell>
        </row>
        <row r="43">
          <cell r="D43" t="str">
            <v>82111-4DT70 0121</v>
          </cell>
          <cell r="E43" t="str">
            <v>82111-4DT70</v>
          </cell>
          <cell r="F43">
            <v>4334.9264199999998</v>
          </cell>
          <cell r="G43">
            <v>455.84890000000001</v>
          </cell>
          <cell r="H43">
            <v>0.35935499999999998</v>
          </cell>
          <cell r="I43">
            <v>0.73741666666666661</v>
          </cell>
          <cell r="J43">
            <v>0.20964833333333335</v>
          </cell>
          <cell r="K43">
            <v>1.0200500000000001</v>
          </cell>
          <cell r="L43">
            <v>2.4168166666666666</v>
          </cell>
          <cell r="M43">
            <v>6.6436666666666672E-2</v>
          </cell>
          <cell r="N43">
            <v>0.27016166666666669</v>
          </cell>
          <cell r="O43">
            <v>0.33274999999999999</v>
          </cell>
          <cell r="P43">
            <v>9.7966666666666674E-2</v>
          </cell>
          <cell r="Q43">
            <v>1.3064200000000001</v>
          </cell>
          <cell r="R43">
            <v>4.2041816666666669</v>
          </cell>
          <cell r="S43">
            <v>0</v>
          </cell>
          <cell r="T43">
            <v>3.520333333333333E-2</v>
          </cell>
          <cell r="U43">
            <v>0.48547833333333329</v>
          </cell>
          <cell r="V43">
            <v>6.0312833333333336</v>
          </cell>
        </row>
        <row r="44">
          <cell r="D44" t="str">
            <v>82111-4DT80 0121</v>
          </cell>
          <cell r="E44" t="str">
            <v>82111-4DT80</v>
          </cell>
          <cell r="F44">
            <v>4217.1923800000004</v>
          </cell>
          <cell r="G44">
            <v>452.20979999999997</v>
          </cell>
          <cell r="H44">
            <v>0.35603166666666664</v>
          </cell>
          <cell r="I44">
            <v>0.74964333333333333</v>
          </cell>
          <cell r="J44">
            <v>0.20831</v>
          </cell>
          <cell r="K44">
            <v>1.0169166666666667</v>
          </cell>
          <cell r="L44">
            <v>2.3648533333333335</v>
          </cell>
          <cell r="M44">
            <v>6.604666666666667E-2</v>
          </cell>
          <cell r="N44">
            <v>0.26645000000000002</v>
          </cell>
          <cell r="O44">
            <v>0.33319500000000002</v>
          </cell>
          <cell r="P44">
            <v>9.6351666666666669E-2</v>
          </cell>
          <cell r="Q44">
            <v>1.313985</v>
          </cell>
          <cell r="R44">
            <v>4.143813333333334</v>
          </cell>
          <cell r="S44">
            <v>0</v>
          </cell>
          <cell r="T44">
            <v>3.520333333333333E-2</v>
          </cell>
          <cell r="U44">
            <v>0.46934166666666666</v>
          </cell>
          <cell r="V44">
            <v>5.962343333333334</v>
          </cell>
        </row>
        <row r="45">
          <cell r="D45" t="str">
            <v>82111-4DT90 0121</v>
          </cell>
          <cell r="E45" t="str">
            <v>82111-4DT90</v>
          </cell>
          <cell r="F45">
            <v>4202.8672999999999</v>
          </cell>
          <cell r="G45">
            <v>458.09730000000002</v>
          </cell>
          <cell r="H45">
            <v>0.35696666666666665</v>
          </cell>
          <cell r="I45">
            <v>0.7405449999999999</v>
          </cell>
          <cell r="J45">
            <v>0.20831</v>
          </cell>
          <cell r="K45">
            <v>1.0159066666666667</v>
          </cell>
          <cell r="L45">
            <v>2.3958316666666666</v>
          </cell>
          <cell r="M45">
            <v>6.6271666666666673E-2</v>
          </cell>
          <cell r="N45">
            <v>0.26791833333333331</v>
          </cell>
          <cell r="O45">
            <v>0.33504166666666663</v>
          </cell>
          <cell r="P45">
            <v>9.7408333333333347E-2</v>
          </cell>
          <cell r="Q45">
            <v>1.3058216666666667</v>
          </cell>
          <cell r="R45">
            <v>4.1783783333333329</v>
          </cell>
          <cell r="S45">
            <v>0</v>
          </cell>
          <cell r="T45">
            <v>3.520333333333333E-2</v>
          </cell>
          <cell r="U45">
            <v>0.47596666666666665</v>
          </cell>
          <cell r="V45">
            <v>5.9953699999999994</v>
          </cell>
        </row>
        <row r="46">
          <cell r="D46" t="str">
            <v>82111-4DU00 0121</v>
          </cell>
          <cell r="E46" t="str">
            <v>82111-4DU00</v>
          </cell>
          <cell r="F46">
            <v>4166.8648599999997</v>
          </cell>
          <cell r="G46">
            <v>454.70260000000002</v>
          </cell>
          <cell r="H46">
            <v>0.35456333333333334</v>
          </cell>
          <cell r="I46">
            <v>0.75835333333333332</v>
          </cell>
          <cell r="J46">
            <v>0.21735000000000002</v>
          </cell>
          <cell r="K46">
            <v>1.0089433333333333</v>
          </cell>
          <cell r="L46">
            <v>2.3530833333333332</v>
          </cell>
          <cell r="M46">
            <v>6.5956666666666663E-2</v>
          </cell>
          <cell r="N46">
            <v>0.262795</v>
          </cell>
          <cell r="O46">
            <v>0.32052333333333333</v>
          </cell>
          <cell r="P46">
            <v>9.6020000000000022E-2</v>
          </cell>
          <cell r="Q46">
            <v>1.3302666666666665</v>
          </cell>
          <cell r="R46">
            <v>4.1073216666666665</v>
          </cell>
          <cell r="S46">
            <v>0</v>
          </cell>
          <cell r="T46">
            <v>3.520333333333333E-2</v>
          </cell>
          <cell r="U46">
            <v>0.48921666666666669</v>
          </cell>
          <cell r="V46">
            <v>5.9620083333333334</v>
          </cell>
        </row>
        <row r="47">
          <cell r="D47" t="str">
            <v>82111-4DU10 0121</v>
          </cell>
          <cell r="E47" t="str">
            <v>82111-4DU10</v>
          </cell>
          <cell r="F47">
            <v>4098.9313300000003</v>
          </cell>
          <cell r="G47">
            <v>454.70260000000002</v>
          </cell>
          <cell r="H47">
            <v>0.34500833333333336</v>
          </cell>
          <cell r="I47">
            <v>0.72780166666666668</v>
          </cell>
          <cell r="J47">
            <v>0.21735000000000002</v>
          </cell>
          <cell r="K47">
            <v>0.99177333333333328</v>
          </cell>
          <cell r="L47">
            <v>2.3393766666666664</v>
          </cell>
          <cell r="M47">
            <v>6.5956666666666663E-2</v>
          </cell>
          <cell r="N47">
            <v>0.262235</v>
          </cell>
          <cell r="O47">
            <v>0.32052333333333333</v>
          </cell>
          <cell r="P47">
            <v>9.6020000000000022E-2</v>
          </cell>
          <cell r="Q47">
            <v>1.29016</v>
          </cell>
          <cell r="R47">
            <v>4.0758849999999995</v>
          </cell>
          <cell r="S47">
            <v>0</v>
          </cell>
          <cell r="T47">
            <v>3.520333333333333E-2</v>
          </cell>
          <cell r="U47">
            <v>0.48921666666666669</v>
          </cell>
          <cell r="V47">
            <v>5.8904649999999998</v>
          </cell>
        </row>
        <row r="48">
          <cell r="D48" t="str">
            <v>82111-4DU20 0131</v>
          </cell>
          <cell r="E48" t="str">
            <v>82111-4DU20</v>
          </cell>
          <cell r="F48">
            <v>4272.2308499999999</v>
          </cell>
          <cell r="G48">
            <v>517.09269999999992</v>
          </cell>
          <cell r="H48">
            <v>0.37051333333333331</v>
          </cell>
          <cell r="I48">
            <v>0.74010166666666666</v>
          </cell>
          <cell r="J48">
            <v>0.19543166666666664</v>
          </cell>
          <cell r="K48">
            <v>1.04148</v>
          </cell>
          <cell r="L48">
            <v>2.3403883333333337</v>
          </cell>
          <cell r="M48">
            <v>6.8521666666666661E-2</v>
          </cell>
          <cell r="N48">
            <v>0.27729166666666666</v>
          </cell>
          <cell r="O48">
            <v>0.33635166666666666</v>
          </cell>
          <cell r="P48">
            <v>9.7596666666666665E-2</v>
          </cell>
          <cell r="Q48">
            <v>1.3060466666666666</v>
          </cell>
          <cell r="R48">
            <v>4.1616300000000006</v>
          </cell>
          <cell r="S48">
            <v>0</v>
          </cell>
          <cell r="T48">
            <v>5.1096666666666672E-2</v>
          </cell>
          <cell r="U48">
            <v>0.53807999999999989</v>
          </cell>
          <cell r="V48">
            <v>6.0568533333333345</v>
          </cell>
        </row>
        <row r="49">
          <cell r="D49" t="str">
            <v>82111-4DU30 0131</v>
          </cell>
          <cell r="E49" t="str">
            <v>82111-4DU30</v>
          </cell>
          <cell r="F49">
            <v>4311.3809499999998</v>
          </cell>
          <cell r="G49">
            <v>517.60969999999998</v>
          </cell>
          <cell r="H49">
            <v>0.37457333333333331</v>
          </cell>
          <cell r="I49">
            <v>0.75490166666666669</v>
          </cell>
          <cell r="J49">
            <v>0.20260999999999998</v>
          </cell>
          <cell r="K49">
            <v>1.0460800000000001</v>
          </cell>
          <cell r="L49">
            <v>2.3463966666666667</v>
          </cell>
          <cell r="M49">
            <v>6.857166666666667E-2</v>
          </cell>
          <cell r="N49">
            <v>0.27543000000000001</v>
          </cell>
          <cell r="O49">
            <v>0.33616666666666667</v>
          </cell>
          <cell r="P49">
            <v>9.7516666666666668E-2</v>
          </cell>
          <cell r="Q49">
            <v>1.332085</v>
          </cell>
          <cell r="R49">
            <v>4.170161666666667</v>
          </cell>
          <cell r="S49">
            <v>0</v>
          </cell>
          <cell r="T49">
            <v>5.1096666666666672E-2</v>
          </cell>
          <cell r="U49">
            <v>0.55710333333333328</v>
          </cell>
          <cell r="V49">
            <v>6.1104466666666672</v>
          </cell>
        </row>
        <row r="50">
          <cell r="D50" t="str">
            <v>82111-4DU40 0131</v>
          </cell>
          <cell r="E50" t="str">
            <v>82111-4DU40</v>
          </cell>
          <cell r="F50">
            <v>4433.2994600000002</v>
          </cell>
          <cell r="G50">
            <v>523.49869999999999</v>
          </cell>
          <cell r="H50">
            <v>0.37799666666666665</v>
          </cell>
          <cell r="I50">
            <v>0.75295000000000001</v>
          </cell>
          <cell r="J50">
            <v>0.20260999999999998</v>
          </cell>
          <cell r="K50">
            <v>1.0600416666666665</v>
          </cell>
          <cell r="L50">
            <v>2.3816883333333334</v>
          </cell>
          <cell r="M50">
            <v>6.8791666666666668E-2</v>
          </cell>
          <cell r="N50">
            <v>0.28088333333333337</v>
          </cell>
          <cell r="O50">
            <v>0.33854666666666666</v>
          </cell>
          <cell r="P50">
            <v>9.8571666666666669E-2</v>
          </cell>
          <cell r="Q50">
            <v>1.3335566666666665</v>
          </cell>
          <cell r="R50">
            <v>4.2285233333333334</v>
          </cell>
          <cell r="S50">
            <v>0</v>
          </cell>
          <cell r="T50">
            <v>5.1096666666666672E-2</v>
          </cell>
          <cell r="U50">
            <v>0.56372833333333328</v>
          </cell>
          <cell r="V50">
            <v>6.1769050000000005</v>
          </cell>
        </row>
        <row r="51">
          <cell r="D51" t="str">
            <v>82111-4DU60 A 0101</v>
          </cell>
          <cell r="E51" t="str">
            <v>82111-4DU60</v>
          </cell>
          <cell r="F51">
            <v>4429.7222599999996</v>
          </cell>
          <cell r="G51">
            <v>461.86090000000002</v>
          </cell>
          <cell r="H51">
            <v>0.35436166666666669</v>
          </cell>
          <cell r="I51">
            <v>0.72872999999999999</v>
          </cell>
          <cell r="J51">
            <v>0.20979500000000001</v>
          </cell>
          <cell r="K51">
            <v>1.0090699999999999</v>
          </cell>
          <cell r="L51">
            <v>2.3306933333333335</v>
          </cell>
          <cell r="M51">
            <v>5.9490000000000001E-2</v>
          </cell>
          <cell r="N51">
            <v>0.26429166666666665</v>
          </cell>
          <cell r="O51">
            <v>0.35850833333333332</v>
          </cell>
          <cell r="P51">
            <v>8.5073333333333348E-2</v>
          </cell>
          <cell r="Q51">
            <v>1.2928866666666667</v>
          </cell>
          <cell r="R51">
            <v>4.1071266666666668</v>
          </cell>
          <cell r="S51">
            <v>0</v>
          </cell>
          <cell r="T51">
            <v>3.5206666666666664E-2</v>
          </cell>
          <cell r="U51">
            <v>0.46911166666666665</v>
          </cell>
          <cell r="V51">
            <v>5.9043316666666668</v>
          </cell>
        </row>
        <row r="52">
          <cell r="D52" t="str">
            <v>82111-4DU70 A 0002</v>
          </cell>
          <cell r="E52" t="str">
            <v>82111-4DU70</v>
          </cell>
          <cell r="F52">
            <v>5140.6722099999997</v>
          </cell>
          <cell r="G52">
            <v>484.24849999999998</v>
          </cell>
          <cell r="H52">
            <v>0.41385166666666667</v>
          </cell>
          <cell r="I52">
            <v>0.82877166666666668</v>
          </cell>
          <cell r="J52">
            <v>0.24079833333333334</v>
          </cell>
          <cell r="K52">
            <v>1.1574766666666667</v>
          </cell>
          <cell r="L52">
            <v>2.6906633333333332</v>
          </cell>
          <cell r="M52">
            <v>6.6814999999999999E-2</v>
          </cell>
          <cell r="N52">
            <v>0.278665</v>
          </cell>
          <cell r="O52">
            <v>0.38264500000000001</v>
          </cell>
          <cell r="P52">
            <v>9.3003333333333368E-2</v>
          </cell>
          <cell r="Q52">
            <v>1.4834216666666666</v>
          </cell>
          <cell r="R52">
            <v>4.669268333333334</v>
          </cell>
          <cell r="S52">
            <v>0</v>
          </cell>
          <cell r="T52">
            <v>3.8103333333333336E-2</v>
          </cell>
          <cell r="U52">
            <v>0.5074616666666667</v>
          </cell>
          <cell r="V52">
            <v>6.6982550000000005</v>
          </cell>
        </row>
        <row r="53">
          <cell r="D53" t="str">
            <v>82111-4DU80 A 0002</v>
          </cell>
          <cell r="E53" t="str">
            <v>82111-4DU80</v>
          </cell>
          <cell r="F53">
            <v>5029.7187800000002</v>
          </cell>
          <cell r="G53">
            <v>491.38670000000002</v>
          </cell>
          <cell r="H53">
            <v>0.403115</v>
          </cell>
          <cell r="I53">
            <v>0.80843333333333334</v>
          </cell>
          <cell r="J53">
            <v>0.23707333333333333</v>
          </cell>
          <cell r="K53">
            <v>1.13327</v>
          </cell>
          <cell r="L53">
            <v>2.6523033333333337</v>
          </cell>
          <cell r="M53">
            <v>6.6665000000000002E-2</v>
          </cell>
          <cell r="N53">
            <v>0.27419666666666664</v>
          </cell>
          <cell r="O53">
            <v>0.37816666666666671</v>
          </cell>
          <cell r="P53">
            <v>9.2516666666666678E-2</v>
          </cell>
          <cell r="Q53">
            <v>1.4486216666666667</v>
          </cell>
          <cell r="R53">
            <v>4.5971183333333343</v>
          </cell>
          <cell r="S53">
            <v>0</v>
          </cell>
          <cell r="T53">
            <v>3.8103333333333336E-2</v>
          </cell>
          <cell r="U53">
            <v>0.51408666666666658</v>
          </cell>
          <cell r="V53">
            <v>6.5979300000000007</v>
          </cell>
        </row>
        <row r="54">
          <cell r="D54" t="str">
            <v>82111-4DU90 A 0101</v>
          </cell>
          <cell r="E54" t="str">
            <v>82111-4DU90</v>
          </cell>
          <cell r="F54">
            <v>4244.8501900000001</v>
          </cell>
          <cell r="G54">
            <v>528.56150000000002</v>
          </cell>
          <cell r="H54">
            <v>0.35142999999999996</v>
          </cell>
          <cell r="I54">
            <v>0.6897133333333334</v>
          </cell>
          <cell r="J54">
            <v>0.19761666666666666</v>
          </cell>
          <cell r="K54">
            <v>0.98771999999999993</v>
          </cell>
          <cell r="L54">
            <v>2.2141916666666663</v>
          </cell>
          <cell r="M54">
            <v>5.9254999999999995E-2</v>
          </cell>
          <cell r="N54">
            <v>0.26861333333333337</v>
          </cell>
          <cell r="O54">
            <v>0.34225333333333335</v>
          </cell>
          <cell r="P54">
            <v>8.3936666666666673E-2</v>
          </cell>
          <cell r="Q54">
            <v>1.2387600000000001</v>
          </cell>
          <cell r="R54">
            <v>3.9559699999999998</v>
          </cell>
          <cell r="S54">
            <v>0</v>
          </cell>
          <cell r="T54">
            <v>5.018333333333333E-2</v>
          </cell>
          <cell r="U54">
            <v>0.53461666666666663</v>
          </cell>
          <cell r="V54">
            <v>5.7795299999999994</v>
          </cell>
        </row>
        <row r="55">
          <cell r="D55" t="str">
            <v>82111-4DV00 0122</v>
          </cell>
          <cell r="E55" t="str">
            <v>82111-4DV00</v>
          </cell>
          <cell r="F55">
            <v>4156.15103</v>
          </cell>
          <cell r="G55">
            <v>556.40539999999999</v>
          </cell>
          <cell r="H55">
            <v>0.32771500000000003</v>
          </cell>
          <cell r="I55">
            <v>0.53545000000000009</v>
          </cell>
          <cell r="J55">
            <v>0.129745</v>
          </cell>
          <cell r="K55">
            <v>0.94475333333333333</v>
          </cell>
          <cell r="L55">
            <v>2.281543333333333</v>
          </cell>
          <cell r="M55">
            <v>6.5121666666666675E-2</v>
          </cell>
          <cell r="N55">
            <v>0.25026166666666666</v>
          </cell>
          <cell r="O55">
            <v>0.33564500000000003</v>
          </cell>
          <cell r="P55">
            <v>9.5481666666666687E-2</v>
          </cell>
          <cell r="Q55">
            <v>0.99291000000000018</v>
          </cell>
          <cell r="R55">
            <v>3.9728066666666666</v>
          </cell>
          <cell r="S55">
            <v>0</v>
          </cell>
          <cell r="T55">
            <v>4.7293333333333333E-2</v>
          </cell>
          <cell r="U55">
            <v>0.46817833333333331</v>
          </cell>
          <cell r="V55">
            <v>5.4811883333333338</v>
          </cell>
        </row>
        <row r="56">
          <cell r="D56" t="str">
            <v>82111-4DV10 0121</v>
          </cell>
          <cell r="E56" t="str">
            <v>82111-4DV10</v>
          </cell>
          <cell r="F56">
            <v>4302.0597900000002</v>
          </cell>
          <cell r="G56">
            <v>445.41969999999998</v>
          </cell>
          <cell r="H56">
            <v>0.34922499999999995</v>
          </cell>
          <cell r="I56">
            <v>0.73269333333333331</v>
          </cell>
          <cell r="J56">
            <v>0.19563333333333333</v>
          </cell>
          <cell r="K56">
            <v>0.98608166666666675</v>
          </cell>
          <cell r="L56">
            <v>2.3138750000000003</v>
          </cell>
          <cell r="M56">
            <v>6.3681666666666664E-2</v>
          </cell>
          <cell r="N56">
            <v>0.26401333333333332</v>
          </cell>
          <cell r="O56">
            <v>0.32252333333333338</v>
          </cell>
          <cell r="P56">
            <v>9.5340000000000008E-2</v>
          </cell>
          <cell r="Q56">
            <v>1.2775516666666666</v>
          </cell>
          <cell r="R56">
            <v>4.045515</v>
          </cell>
          <cell r="S56">
            <v>0</v>
          </cell>
          <cell r="T56">
            <v>3.520333333333333E-2</v>
          </cell>
          <cell r="U56">
            <v>0.45609166666666667</v>
          </cell>
          <cell r="V56">
            <v>5.8143616666666667</v>
          </cell>
        </row>
        <row r="57">
          <cell r="D57" t="str">
            <v>82111-4DV30 A 0101</v>
          </cell>
          <cell r="E57" t="str">
            <v>82111-4DV30</v>
          </cell>
          <cell r="F57">
            <v>4187.3800499999998</v>
          </cell>
          <cell r="G57">
            <v>468.99599999999998</v>
          </cell>
          <cell r="H57">
            <v>0.340225</v>
          </cell>
          <cell r="I57">
            <v>0.69834166666666664</v>
          </cell>
          <cell r="J57">
            <v>0.20232999999999998</v>
          </cell>
          <cell r="K57">
            <v>0.97621999999999998</v>
          </cell>
          <cell r="L57">
            <v>2.2866466666666669</v>
          </cell>
          <cell r="M57">
            <v>5.9339999999999997E-2</v>
          </cell>
          <cell r="N57">
            <v>0.25667333333333331</v>
          </cell>
          <cell r="O57">
            <v>0.35045999999999999</v>
          </cell>
          <cell r="P57">
            <v>8.4586666666666685E-2</v>
          </cell>
          <cell r="Q57">
            <v>1.2408966666666665</v>
          </cell>
          <cell r="R57">
            <v>4.0139266666666673</v>
          </cell>
          <cell r="S57">
            <v>0</v>
          </cell>
          <cell r="T57">
            <v>3.5206666666666664E-2</v>
          </cell>
          <cell r="U57">
            <v>0.47573666666666664</v>
          </cell>
          <cell r="V57">
            <v>5.7657666666666669</v>
          </cell>
        </row>
        <row r="58">
          <cell r="D58" t="str">
            <v>82111-4DV80 0121</v>
          </cell>
          <cell r="E58" t="str">
            <v>82111-4DV80</v>
          </cell>
          <cell r="F58">
            <v>4207.1127800000004</v>
          </cell>
          <cell r="G58">
            <v>496.69689999999997</v>
          </cell>
          <cell r="H58">
            <v>0.31473666666666666</v>
          </cell>
          <cell r="I58">
            <v>0.51601333333333332</v>
          </cell>
          <cell r="J58">
            <v>0.13108333333333333</v>
          </cell>
          <cell r="K58">
            <v>0.9083</v>
          </cell>
          <cell r="L58">
            <v>2.2449616666666667</v>
          </cell>
          <cell r="M58">
            <v>6.5091666666666673E-2</v>
          </cell>
          <cell r="N58">
            <v>0.24765666666666669</v>
          </cell>
          <cell r="O58">
            <v>0.31413166666666664</v>
          </cell>
          <cell r="P58">
            <v>9.5324999999999993E-2</v>
          </cell>
          <cell r="Q58">
            <v>0.96183333333333332</v>
          </cell>
          <cell r="R58">
            <v>3.8754666666666666</v>
          </cell>
          <cell r="S58">
            <v>0</v>
          </cell>
          <cell r="T58">
            <v>4.2983333333333332E-2</v>
          </cell>
          <cell r="U58">
            <v>0.47769</v>
          </cell>
          <cell r="V58">
            <v>5.3579733333333328</v>
          </cell>
        </row>
        <row r="59">
          <cell r="D59" t="str">
            <v>82111-4DV90 0131</v>
          </cell>
          <cell r="E59" t="str">
            <v>82111-4DV90</v>
          </cell>
          <cell r="F59">
            <v>3664.2</v>
          </cell>
          <cell r="G59">
            <v>449.71519999999998</v>
          </cell>
          <cell r="H59">
            <v>0.27057000000000003</v>
          </cell>
          <cell r="I59">
            <v>0.42968333333333331</v>
          </cell>
          <cell r="J59">
            <v>0.10049666666666666</v>
          </cell>
          <cell r="K59">
            <v>0.78022166666666659</v>
          </cell>
          <cell r="L59">
            <v>2.1297600000000001</v>
          </cell>
          <cell r="M59">
            <v>6.1561666666666667E-2</v>
          </cell>
          <cell r="N59">
            <v>0.23652833333333334</v>
          </cell>
          <cell r="O59">
            <v>0.2970133333333333</v>
          </cell>
          <cell r="P59">
            <v>9.4016666666666665E-2</v>
          </cell>
          <cell r="Q59">
            <v>0.80075000000000007</v>
          </cell>
          <cell r="R59">
            <v>3.5991016666666664</v>
          </cell>
          <cell r="S59">
            <v>0</v>
          </cell>
          <cell r="T59">
            <v>4.2983333333333332E-2</v>
          </cell>
          <cell r="U59">
            <v>0.45492833333333332</v>
          </cell>
          <cell r="V59">
            <v>4.8977633333333328</v>
          </cell>
        </row>
        <row r="60">
          <cell r="D60" t="str">
            <v>82111-4DW00 0131</v>
          </cell>
          <cell r="E60" t="str">
            <v>82111-4DW00</v>
          </cell>
          <cell r="F60">
            <v>5159.5</v>
          </cell>
          <cell r="G60">
            <v>502.53579999999999</v>
          </cell>
          <cell r="H60">
            <v>0.43010000000000004</v>
          </cell>
          <cell r="I60">
            <v>0.88287833333333343</v>
          </cell>
          <cell r="J60">
            <v>0.25437166666666666</v>
          </cell>
          <cell r="K60">
            <v>1.1976233333333333</v>
          </cell>
          <cell r="L60">
            <v>2.7481966666666664</v>
          </cell>
          <cell r="M60">
            <v>7.3101666666666662E-2</v>
          </cell>
          <cell r="N60">
            <v>0.28652500000000003</v>
          </cell>
          <cell r="O60">
            <v>0.35479500000000003</v>
          </cell>
          <cell r="P60">
            <v>0.10312499999999999</v>
          </cell>
          <cell r="Q60">
            <v>1.5673500000000002</v>
          </cell>
          <cell r="R60">
            <v>4.7633666666666672</v>
          </cell>
          <cell r="S60">
            <v>0</v>
          </cell>
          <cell r="T60">
            <v>3.3790000000000001E-2</v>
          </cell>
          <cell r="U60">
            <v>0.57308999999999999</v>
          </cell>
          <cell r="V60">
            <v>6.9375966666666669</v>
          </cell>
        </row>
        <row r="61">
          <cell r="D61" t="str">
            <v>82111-4DW10 0131</v>
          </cell>
          <cell r="E61" t="str">
            <v>82111-4DW10</v>
          </cell>
          <cell r="F61">
            <v>5136.3</v>
          </cell>
          <cell r="G61">
            <v>508.42329999999998</v>
          </cell>
          <cell r="H61">
            <v>0.43027166666666666</v>
          </cell>
          <cell r="I61">
            <v>0.87378</v>
          </cell>
          <cell r="J61">
            <v>0.25437166666666666</v>
          </cell>
          <cell r="K61">
            <v>1.1928266666666665</v>
          </cell>
          <cell r="L61">
            <v>2.7772349999999997</v>
          </cell>
          <cell r="M61">
            <v>7.3321666666666674E-2</v>
          </cell>
          <cell r="N61">
            <v>0.28791166666666668</v>
          </cell>
          <cell r="O61">
            <v>0.3566333333333333</v>
          </cell>
          <cell r="P61">
            <v>0.10417999999999999</v>
          </cell>
          <cell r="Q61">
            <v>1.5584233333333333</v>
          </cell>
          <cell r="R61">
            <v>4.7921083333333332</v>
          </cell>
          <cell r="S61">
            <v>0</v>
          </cell>
          <cell r="T61">
            <v>3.3790000000000001E-2</v>
          </cell>
          <cell r="U61">
            <v>0.57971500000000009</v>
          </cell>
          <cell r="V61">
            <v>6.9640366666666669</v>
          </cell>
        </row>
        <row r="62">
          <cell r="D62" t="str">
            <v>82111-4DW20 0121</v>
          </cell>
          <cell r="E62" t="str">
            <v>82111-4DW20</v>
          </cell>
          <cell r="F62">
            <v>4273.3</v>
          </cell>
          <cell r="G62">
            <v>551.65179999999998</v>
          </cell>
          <cell r="H62">
            <v>0.32644833333333334</v>
          </cell>
          <cell r="I62">
            <v>0.53058833333333333</v>
          </cell>
          <cell r="J62">
            <v>0.13108333333333333</v>
          </cell>
          <cell r="K62">
            <v>0.93926666666666669</v>
          </cell>
          <cell r="L62">
            <v>2.2966316666666668</v>
          </cell>
          <cell r="M62">
            <v>6.528666666666666E-2</v>
          </cell>
          <cell r="N62">
            <v>0.252025</v>
          </cell>
          <cell r="O62">
            <v>0.33335500000000001</v>
          </cell>
          <cell r="P62">
            <v>9.6040000000000014E-2</v>
          </cell>
          <cell r="Q62">
            <v>0.98812</v>
          </cell>
          <cell r="R62">
            <v>3.9826050000000004</v>
          </cell>
          <cell r="S62">
            <v>0</v>
          </cell>
          <cell r="T62">
            <v>4.2983333333333332E-2</v>
          </cell>
          <cell r="U62">
            <v>0.47769</v>
          </cell>
          <cell r="V62">
            <v>5.4913983333333336</v>
          </cell>
        </row>
        <row r="63">
          <cell r="D63" t="str">
            <v>82111-4DW30 0131</v>
          </cell>
          <cell r="E63" t="str">
            <v>82111-4DW30</v>
          </cell>
          <cell r="F63">
            <v>5269.2715200000002</v>
          </cell>
          <cell r="G63">
            <v>480.11719999999997</v>
          </cell>
          <cell r="H63">
            <v>0.42402166666666663</v>
          </cell>
          <cell r="I63">
            <v>0.85348166666666669</v>
          </cell>
          <cell r="J63">
            <v>0.25437166666666666</v>
          </cell>
          <cell r="K63">
            <v>1.1760666666666666</v>
          </cell>
          <cell r="L63">
            <v>2.7657066666666665</v>
          </cell>
          <cell r="M63">
            <v>7.3301666666666668E-2</v>
          </cell>
          <cell r="N63">
            <v>0.28678666666666669</v>
          </cell>
          <cell r="O63">
            <v>0.34321499999999999</v>
          </cell>
          <cell r="P63">
            <v>0.10405666666666669</v>
          </cell>
          <cell r="Q63">
            <v>1.5318749999999999</v>
          </cell>
          <cell r="R63">
            <v>4.749133333333333</v>
          </cell>
          <cell r="S63">
            <v>0</v>
          </cell>
          <cell r="T63">
            <v>3.3790000000000001E-2</v>
          </cell>
          <cell r="U63">
            <v>0.55321500000000001</v>
          </cell>
          <cell r="V63">
            <v>6.868013333333332</v>
          </cell>
        </row>
        <row r="64">
          <cell r="D64" t="str">
            <v>82111-4DW50 0121</v>
          </cell>
          <cell r="E64" t="str">
            <v>82111-4DW50</v>
          </cell>
          <cell r="F64">
            <v>4066.7</v>
          </cell>
          <cell r="G64">
            <v>439.06790000000001</v>
          </cell>
          <cell r="H64">
            <v>0.33465833333333334</v>
          </cell>
          <cell r="I64">
            <v>0.70446500000000001</v>
          </cell>
          <cell r="J64">
            <v>0.20016999999999999</v>
          </cell>
          <cell r="K64">
            <v>0.960005</v>
          </cell>
          <cell r="L64">
            <v>2.2814899999999998</v>
          </cell>
          <cell r="M64">
            <v>6.3491666666666668E-2</v>
          </cell>
          <cell r="N64">
            <v>0.257415</v>
          </cell>
          <cell r="O64">
            <v>0.30915499999999996</v>
          </cell>
          <cell r="P64">
            <v>9.4656666666666694E-2</v>
          </cell>
          <cell r="Q64">
            <v>1.2392933333333334</v>
          </cell>
          <cell r="R64">
            <v>3.9662133333333331</v>
          </cell>
          <cell r="S64">
            <v>0</v>
          </cell>
          <cell r="T64">
            <v>3.0893333333333328E-2</v>
          </cell>
          <cell r="U64">
            <v>0.46271666666666661</v>
          </cell>
          <cell r="V64">
            <v>5.6991166666666659</v>
          </cell>
        </row>
        <row r="65">
          <cell r="D65" t="str">
            <v>82111-4DW60 0131</v>
          </cell>
          <cell r="E65" t="str">
            <v>82111-4DW60</v>
          </cell>
          <cell r="F65">
            <v>4759.0767299999998</v>
          </cell>
          <cell r="G65">
            <v>475.44240000000002</v>
          </cell>
          <cell r="H65">
            <v>0.39537333333333335</v>
          </cell>
          <cell r="I65">
            <v>0.85879500000000009</v>
          </cell>
          <cell r="J65">
            <v>0.25047666666666668</v>
          </cell>
          <cell r="K65">
            <v>1.093075</v>
          </cell>
          <cell r="L65">
            <v>2.623251666666667</v>
          </cell>
          <cell r="M65">
            <v>7.1766666666666673E-2</v>
          </cell>
          <cell r="N65">
            <v>0.280725</v>
          </cell>
          <cell r="O65">
            <v>0.339895</v>
          </cell>
          <cell r="P65">
            <v>0.10205999999999998</v>
          </cell>
          <cell r="Q65">
            <v>1.504645</v>
          </cell>
          <cell r="R65">
            <v>4.5107733333333337</v>
          </cell>
          <cell r="S65">
            <v>0</v>
          </cell>
          <cell r="T65">
            <v>3.3790000000000001E-2</v>
          </cell>
          <cell r="U65">
            <v>0.58633999999999997</v>
          </cell>
          <cell r="V65">
            <v>6.6355483333333334</v>
          </cell>
        </row>
        <row r="66">
          <cell r="D66" t="str">
            <v>82111-4DW70 0131</v>
          </cell>
          <cell r="E66" t="str">
            <v>82111-4DW70</v>
          </cell>
          <cell r="F66">
            <v>4735.9305299999996</v>
          </cell>
          <cell r="G66">
            <v>475.44240000000002</v>
          </cell>
          <cell r="H66">
            <v>0.39342666666666665</v>
          </cell>
          <cell r="I66">
            <v>0.84969666666666666</v>
          </cell>
          <cell r="J66">
            <v>0.25047666666666668</v>
          </cell>
          <cell r="K66">
            <v>1.0913883333333334</v>
          </cell>
          <cell r="L66">
            <v>2.6208049999999998</v>
          </cell>
          <cell r="M66">
            <v>7.1766666666666673E-2</v>
          </cell>
          <cell r="N66">
            <v>0.28064499999999998</v>
          </cell>
          <cell r="O66">
            <v>0.339895</v>
          </cell>
          <cell r="P66">
            <v>0.10205999999999998</v>
          </cell>
          <cell r="Q66">
            <v>1.4936</v>
          </cell>
          <cell r="R66">
            <v>4.5065600000000003</v>
          </cell>
          <cell r="S66">
            <v>0</v>
          </cell>
          <cell r="T66">
            <v>3.3790000000000001E-2</v>
          </cell>
          <cell r="U66">
            <v>0.58633999999999997</v>
          </cell>
          <cell r="V66">
            <v>6.6202899999999998</v>
          </cell>
        </row>
        <row r="67">
          <cell r="D67" t="str">
            <v>82111-4DW80 0121</v>
          </cell>
          <cell r="E67" t="str">
            <v>82111-4DW80</v>
          </cell>
          <cell r="F67">
            <v>4090</v>
          </cell>
          <cell r="G67">
            <v>498.93759999999997</v>
          </cell>
          <cell r="H67">
            <v>0.31534000000000001</v>
          </cell>
          <cell r="I67">
            <v>0.52087499999999998</v>
          </cell>
          <cell r="J67">
            <v>0.129745</v>
          </cell>
          <cell r="K67">
            <v>0.91808666666666672</v>
          </cell>
          <cell r="L67">
            <v>2.2283466666666665</v>
          </cell>
          <cell r="M67">
            <v>6.492666666666666E-2</v>
          </cell>
          <cell r="N67">
            <v>0.24581333333333333</v>
          </cell>
          <cell r="O67">
            <v>0.31642333333333333</v>
          </cell>
          <cell r="P67">
            <v>9.4766666666666666E-2</v>
          </cell>
          <cell r="Q67">
            <v>0.96595999999999993</v>
          </cell>
          <cell r="R67">
            <v>3.8683633333333334</v>
          </cell>
          <cell r="S67">
            <v>0</v>
          </cell>
          <cell r="T67">
            <v>4.2983333333333332E-2</v>
          </cell>
          <cell r="U67">
            <v>0.46817833333333331</v>
          </cell>
          <cell r="V67">
            <v>5.345485</v>
          </cell>
        </row>
        <row r="68">
          <cell r="D68" t="str">
            <v>82111-4DW90 0121</v>
          </cell>
          <cell r="E68" t="str">
            <v>82111-4DW90</v>
          </cell>
          <cell r="F68">
            <v>4334.9940500000002</v>
          </cell>
          <cell r="G68">
            <v>455.84890000000001</v>
          </cell>
          <cell r="H68">
            <v>0.35935999999999996</v>
          </cell>
          <cell r="I68">
            <v>0.73906833333333333</v>
          </cell>
          <cell r="J68">
            <v>0.20964833333333335</v>
          </cell>
          <cell r="K68">
            <v>1.0180966666666666</v>
          </cell>
          <cell r="L68">
            <v>2.417125</v>
          </cell>
          <cell r="M68">
            <v>6.6436666666666672E-2</v>
          </cell>
          <cell r="N68">
            <v>0.27016166666666669</v>
          </cell>
          <cell r="O68">
            <v>0.33274999999999999</v>
          </cell>
          <cell r="P68">
            <v>9.7966666666666674E-2</v>
          </cell>
          <cell r="Q68">
            <v>1.3080766666666668</v>
          </cell>
          <cell r="R68">
            <v>4.2025366666666661</v>
          </cell>
          <cell r="S68">
            <v>0</v>
          </cell>
          <cell r="T68">
            <v>3.0893333333333328E-2</v>
          </cell>
          <cell r="U68">
            <v>0.48547833333333329</v>
          </cell>
          <cell r="V68">
            <v>6.0269849999999989</v>
          </cell>
        </row>
        <row r="69">
          <cell r="D69" t="str">
            <v>82111-4DX00 0121</v>
          </cell>
          <cell r="E69" t="str">
            <v>82111-4DX00</v>
          </cell>
          <cell r="F69">
            <v>4217.26001</v>
          </cell>
          <cell r="G69">
            <v>452.20979999999997</v>
          </cell>
          <cell r="H69">
            <v>0.35603500000000005</v>
          </cell>
          <cell r="I69">
            <v>0.75129500000000005</v>
          </cell>
          <cell r="J69">
            <v>0.20831</v>
          </cell>
          <cell r="K69">
            <v>1.0091033333333332</v>
          </cell>
          <cell r="L69">
            <v>2.3651616666666664</v>
          </cell>
          <cell r="M69">
            <v>6.604666666666667E-2</v>
          </cell>
          <cell r="N69">
            <v>0.26645000000000002</v>
          </cell>
          <cell r="O69">
            <v>0.33319500000000002</v>
          </cell>
          <cell r="P69">
            <v>9.6351666666666669E-2</v>
          </cell>
          <cell r="Q69">
            <v>1.3156400000000001</v>
          </cell>
          <cell r="R69">
            <v>4.136308333333333</v>
          </cell>
          <cell r="S69">
            <v>0</v>
          </cell>
          <cell r="T69">
            <v>3.0893333333333328E-2</v>
          </cell>
          <cell r="U69">
            <v>0.46934166666666666</v>
          </cell>
          <cell r="V69">
            <v>5.9521833333333332</v>
          </cell>
        </row>
        <row r="70">
          <cell r="D70" t="str">
            <v>82111-4DX10 0121</v>
          </cell>
          <cell r="E70" t="str">
            <v>82111-4DX10</v>
          </cell>
          <cell r="F70">
            <v>4202.8999999999996</v>
          </cell>
          <cell r="G70">
            <v>458.09730000000002</v>
          </cell>
          <cell r="H70">
            <v>0.35696999999999995</v>
          </cell>
          <cell r="I70">
            <v>0.74219666666666662</v>
          </cell>
          <cell r="J70">
            <v>0.20831</v>
          </cell>
          <cell r="K70">
            <v>1.0198133333333332</v>
          </cell>
          <cell r="L70">
            <v>2.3961416666666664</v>
          </cell>
          <cell r="M70">
            <v>6.6271666666666673E-2</v>
          </cell>
          <cell r="N70">
            <v>0.26791833333333331</v>
          </cell>
          <cell r="O70">
            <v>0.33504166666666663</v>
          </cell>
          <cell r="P70">
            <v>9.7408333333333347E-2</v>
          </cell>
          <cell r="Q70">
            <v>1.3074766666666666</v>
          </cell>
          <cell r="R70">
            <v>4.1825949999999992</v>
          </cell>
          <cell r="S70">
            <v>0</v>
          </cell>
          <cell r="T70">
            <v>3.0893333333333328E-2</v>
          </cell>
          <cell r="U70">
            <v>0.47596666666666665</v>
          </cell>
          <cell r="V70">
            <v>5.996931666666665</v>
          </cell>
        </row>
        <row r="71">
          <cell r="D71" t="str">
            <v>82111-4DX20 0121</v>
          </cell>
          <cell r="E71" t="str">
            <v>82111-4DX20</v>
          </cell>
          <cell r="F71">
            <v>4166.9324900000001</v>
          </cell>
          <cell r="G71">
            <v>454.70260000000002</v>
          </cell>
          <cell r="H71">
            <v>0.3545666666666667</v>
          </cell>
          <cell r="I71">
            <v>0.76000499999999993</v>
          </cell>
          <cell r="J71">
            <v>0.21735000000000002</v>
          </cell>
          <cell r="K71">
            <v>1.0089433333333333</v>
          </cell>
          <cell r="L71">
            <v>2.3558033333333332</v>
          </cell>
          <cell r="M71">
            <v>6.5956666666666663E-2</v>
          </cell>
          <cell r="N71">
            <v>0.262795</v>
          </cell>
          <cell r="O71">
            <v>0.32052333333333333</v>
          </cell>
          <cell r="P71">
            <v>9.6020000000000022E-2</v>
          </cell>
          <cell r="Q71">
            <v>1.3319216666666664</v>
          </cell>
          <cell r="R71">
            <v>4.1100416666666666</v>
          </cell>
          <cell r="S71">
            <v>0</v>
          </cell>
          <cell r="T71">
            <v>3.0893333333333328E-2</v>
          </cell>
          <cell r="U71">
            <v>0.48921666666666669</v>
          </cell>
          <cell r="V71">
            <v>5.9620733333333327</v>
          </cell>
        </row>
        <row r="72">
          <cell r="D72" t="str">
            <v>82111-4DX30 0121</v>
          </cell>
          <cell r="E72" t="str">
            <v>82111-4DX30</v>
          </cell>
          <cell r="F72">
            <v>4098.9989599999999</v>
          </cell>
          <cell r="G72">
            <v>454.70260000000002</v>
          </cell>
          <cell r="H72">
            <v>0.34501166666666666</v>
          </cell>
          <cell r="I72">
            <v>0.7294533333333334</v>
          </cell>
          <cell r="J72">
            <v>0.21735000000000002</v>
          </cell>
          <cell r="K72">
            <v>0.99177333333333328</v>
          </cell>
          <cell r="L72">
            <v>2.3420966666666669</v>
          </cell>
          <cell r="M72">
            <v>6.5956666666666663E-2</v>
          </cell>
          <cell r="N72">
            <v>0.262235</v>
          </cell>
          <cell r="O72">
            <v>0.32052333333333333</v>
          </cell>
          <cell r="P72">
            <v>9.6020000000000022E-2</v>
          </cell>
          <cell r="Q72">
            <v>1.2918149999999999</v>
          </cell>
          <cell r="R72">
            <v>4.0786050000000005</v>
          </cell>
          <cell r="S72">
            <v>0</v>
          </cell>
          <cell r="T72">
            <v>3.0893333333333328E-2</v>
          </cell>
          <cell r="U72">
            <v>0.48921666666666669</v>
          </cell>
          <cell r="V72">
            <v>5.89053</v>
          </cell>
        </row>
        <row r="73">
          <cell r="D73" t="str">
            <v>82111-4DX50 0121</v>
          </cell>
          <cell r="E73" t="str">
            <v>82111-4DX50</v>
          </cell>
          <cell r="F73">
            <v>4419.1000000000004</v>
          </cell>
          <cell r="G73">
            <v>461.8546</v>
          </cell>
          <cell r="H73">
            <v>0.35401333333333335</v>
          </cell>
          <cell r="I73">
            <v>0.73027666666666669</v>
          </cell>
          <cell r="J73">
            <v>0.19915166666666667</v>
          </cell>
          <cell r="K73">
            <v>1.0071166666666667</v>
          </cell>
          <cell r="L73">
            <v>2.3155416666666668</v>
          </cell>
          <cell r="M73">
            <v>5.9490000000000001E-2</v>
          </cell>
          <cell r="N73">
            <v>0.26429166666666665</v>
          </cell>
          <cell r="O73">
            <v>0.35850833333333332</v>
          </cell>
          <cell r="P73">
            <v>8.5073333333333334E-2</v>
          </cell>
          <cell r="Q73">
            <v>1.2834416666666666</v>
          </cell>
          <cell r="R73">
            <v>4.0900216666666669</v>
          </cell>
          <cell r="S73">
            <v>0</v>
          </cell>
          <cell r="T73">
            <v>3.829833333333333E-2</v>
          </cell>
          <cell r="U73">
            <v>0.46911166666666665</v>
          </cell>
          <cell r="V73">
            <v>5.8808733333333336</v>
          </cell>
        </row>
        <row r="74">
          <cell r="D74" t="str">
            <v>82111-4DX60 0121</v>
          </cell>
          <cell r="E74" t="str">
            <v>82111-4DX60</v>
          </cell>
          <cell r="F74">
            <v>5124.0991000000004</v>
          </cell>
          <cell r="G74">
            <v>484.22609999999997</v>
          </cell>
          <cell r="H74">
            <v>0.413325</v>
          </cell>
          <cell r="I74">
            <v>0.83288833333333334</v>
          </cell>
          <cell r="J74">
            <v>0.23216999999999999</v>
          </cell>
          <cell r="K74">
            <v>1.1633366666666667</v>
          </cell>
          <cell r="L74">
            <v>2.67625</v>
          </cell>
          <cell r="M74">
            <v>6.6475000000000006E-2</v>
          </cell>
          <cell r="N74">
            <v>0.27840500000000001</v>
          </cell>
          <cell r="O74">
            <v>0.37440333333333337</v>
          </cell>
          <cell r="P74">
            <v>9.182333333333334E-2</v>
          </cell>
          <cell r="Q74">
            <v>1.4783833333333334</v>
          </cell>
          <cell r="R74">
            <v>4.6506933333333329</v>
          </cell>
          <cell r="S74">
            <v>0</v>
          </cell>
          <cell r="T74">
            <v>4.1195000000000002E-2</v>
          </cell>
          <cell r="U74">
            <v>0.5074616666666667</v>
          </cell>
          <cell r="V74">
            <v>6.6777333333333333</v>
          </cell>
        </row>
        <row r="75">
          <cell r="D75" t="str">
            <v>82111-4DX70 0121</v>
          </cell>
          <cell r="E75" t="str">
            <v>82111-4DX70</v>
          </cell>
          <cell r="F75">
            <v>5013.1456699999999</v>
          </cell>
          <cell r="G75">
            <v>491.36430000000001</v>
          </cell>
          <cell r="H75">
            <v>0.40258833333333333</v>
          </cell>
          <cell r="I75">
            <v>0.80966666666666665</v>
          </cell>
          <cell r="J75">
            <v>0.22844499999999998</v>
          </cell>
          <cell r="K75">
            <v>1.1352233333333333</v>
          </cell>
          <cell r="L75">
            <v>2.637891666666667</v>
          </cell>
          <cell r="M75">
            <v>6.6324999999999995E-2</v>
          </cell>
          <cell r="N75">
            <v>0.27393666666666666</v>
          </cell>
          <cell r="O75">
            <v>0.36662499999999998</v>
          </cell>
          <cell r="P75">
            <v>9.1336666666666649E-2</v>
          </cell>
          <cell r="Q75">
            <v>1.4406999999999999</v>
          </cell>
          <cell r="R75">
            <v>4.5713383333333333</v>
          </cell>
          <cell r="S75">
            <v>0</v>
          </cell>
          <cell r="T75">
            <v>4.1195000000000002E-2</v>
          </cell>
          <cell r="U75">
            <v>0.51408666666666658</v>
          </cell>
          <cell r="V75">
            <v>6.5673199999999996</v>
          </cell>
        </row>
        <row r="76">
          <cell r="D76" t="str">
            <v>82111-4DX80 0121</v>
          </cell>
          <cell r="E76" t="str">
            <v>82111-4DX80</v>
          </cell>
          <cell r="F76">
            <v>4156.2</v>
          </cell>
          <cell r="G76">
            <v>553.90020000000004</v>
          </cell>
          <cell r="H76">
            <v>0.32705166666666668</v>
          </cell>
          <cell r="I76">
            <v>0.53545000000000009</v>
          </cell>
          <cell r="J76">
            <v>0.129745</v>
          </cell>
          <cell r="K76">
            <v>0.94124000000000008</v>
          </cell>
          <cell r="L76">
            <v>2.2801150000000003</v>
          </cell>
          <cell r="M76">
            <v>6.5121666666666675E-2</v>
          </cell>
          <cell r="N76">
            <v>0.25018166666666664</v>
          </cell>
          <cell r="O76">
            <v>0.33564500000000003</v>
          </cell>
          <cell r="P76">
            <v>9.5481666666666687E-2</v>
          </cell>
          <cell r="Q76">
            <v>0.99224666666666672</v>
          </cell>
          <cell r="R76">
            <v>3.9677850000000006</v>
          </cell>
          <cell r="S76">
            <v>0</v>
          </cell>
          <cell r="T76">
            <v>4.2983333333333332E-2</v>
          </cell>
          <cell r="U76">
            <v>0.46817833333333331</v>
          </cell>
          <cell r="V76">
            <v>5.4711933333333338</v>
          </cell>
        </row>
        <row r="77">
          <cell r="D77" t="str">
            <v>82111-4DX90 0121</v>
          </cell>
          <cell r="E77" t="str">
            <v>82111-4DX90</v>
          </cell>
          <cell r="F77">
            <v>4302.1274199999998</v>
          </cell>
          <cell r="G77">
            <v>445.41969999999998</v>
          </cell>
          <cell r="H77">
            <v>0.34922833333333336</v>
          </cell>
          <cell r="I77">
            <v>0.73434499999999991</v>
          </cell>
          <cell r="J77">
            <v>0.19563333333333333</v>
          </cell>
          <cell r="K77">
            <v>0.98608166666666675</v>
          </cell>
          <cell r="L77">
            <v>2.3141716666666667</v>
          </cell>
          <cell r="M77">
            <v>6.3681666666666664E-2</v>
          </cell>
          <cell r="N77">
            <v>0.26401333333333332</v>
          </cell>
          <cell r="O77">
            <v>0.32252333333333338</v>
          </cell>
          <cell r="P77">
            <v>9.5340000000000008E-2</v>
          </cell>
          <cell r="Q77">
            <v>1.2792066666666666</v>
          </cell>
          <cell r="R77">
            <v>4.0458116666666664</v>
          </cell>
          <cell r="S77">
            <v>0</v>
          </cell>
          <cell r="T77">
            <v>3.0893333333333328E-2</v>
          </cell>
          <cell r="U77">
            <v>0.45609166666666667</v>
          </cell>
          <cell r="V77">
            <v>5.8120033333333323</v>
          </cell>
        </row>
        <row r="78">
          <cell r="D78" t="str">
            <v>82111-4DY10 0121</v>
          </cell>
          <cell r="E78" t="str">
            <v>82111-4DY10</v>
          </cell>
          <cell r="F78">
            <v>4176.7820499999998</v>
          </cell>
          <cell r="G78">
            <v>468.98969999999997</v>
          </cell>
          <cell r="H78">
            <v>0.33987666666666672</v>
          </cell>
          <cell r="I78">
            <v>0.69992333333333323</v>
          </cell>
          <cell r="J78">
            <v>0.19168666666666667</v>
          </cell>
          <cell r="K78">
            <v>0.96840666666666664</v>
          </cell>
          <cell r="L78">
            <v>2.2714966666666667</v>
          </cell>
          <cell r="M78">
            <v>5.9339999999999997E-2</v>
          </cell>
          <cell r="N78">
            <v>0.25667333333333331</v>
          </cell>
          <cell r="O78">
            <v>0.35045999999999999</v>
          </cell>
          <cell r="P78">
            <v>8.4586666666666671E-2</v>
          </cell>
          <cell r="Q78">
            <v>1.2314866666666666</v>
          </cell>
          <cell r="R78">
            <v>3.9909633333333332</v>
          </cell>
          <cell r="S78">
            <v>0</v>
          </cell>
          <cell r="T78">
            <v>3.829833333333333E-2</v>
          </cell>
          <cell r="U78">
            <v>0.47573666666666664</v>
          </cell>
          <cell r="V78">
            <v>5.7364850000000001</v>
          </cell>
        </row>
        <row r="79">
          <cell r="D79" t="str">
            <v>82111-76Z11 A 1101</v>
          </cell>
          <cell r="E79" t="str">
            <v>82111-76Z11</v>
          </cell>
          <cell r="F79">
            <v>4284.1361999999999</v>
          </cell>
          <cell r="G79">
            <v>27.536999999999999</v>
          </cell>
          <cell r="H79">
            <v>0.27890666666666669</v>
          </cell>
          <cell r="I79">
            <v>0.51476</v>
          </cell>
          <cell r="J79">
            <v>0.25136833333333336</v>
          </cell>
          <cell r="K79">
            <v>0.79775499999999999</v>
          </cell>
          <cell r="L79">
            <v>1.8736583333333334</v>
          </cell>
          <cell r="M79">
            <v>8.0321666666666666E-2</v>
          </cell>
          <cell r="N79">
            <v>0.22015333333333331</v>
          </cell>
          <cell r="O79">
            <v>0.16947499999999999</v>
          </cell>
          <cell r="P79">
            <v>8.1393333333333318E-2</v>
          </cell>
          <cell r="Q79">
            <v>1.0450350000000002</v>
          </cell>
          <cell r="R79">
            <v>3.2227566666666667</v>
          </cell>
          <cell r="S79">
            <v>3.9266666666666665E-2</v>
          </cell>
          <cell r="T79">
            <v>1.5238333333333333E-2</v>
          </cell>
          <cell r="U79">
            <v>0</v>
          </cell>
          <cell r="V79">
            <v>4.3222966666666665</v>
          </cell>
        </row>
        <row r="80">
          <cell r="D80" t="str">
            <v>82111-76Z21 A 1101</v>
          </cell>
          <cell r="E80" t="str">
            <v>82111-76Z21</v>
          </cell>
          <cell r="F80">
            <v>4601.6244100000004</v>
          </cell>
          <cell r="G80">
            <v>20.572600000000001</v>
          </cell>
          <cell r="H80">
            <v>0.298205</v>
          </cell>
          <cell r="I80">
            <v>0.53080166666666662</v>
          </cell>
          <cell r="J80">
            <v>0.25692166666666666</v>
          </cell>
          <cell r="K80">
            <v>0.87941166666666659</v>
          </cell>
          <cell r="L80">
            <v>1.9546950000000001</v>
          </cell>
          <cell r="M80">
            <v>8.1958333333333341E-2</v>
          </cell>
          <cell r="N80">
            <v>0.22662166666666667</v>
          </cell>
          <cell r="O80">
            <v>0.17261833333333335</v>
          </cell>
          <cell r="P80">
            <v>8.1713333333333332E-2</v>
          </cell>
          <cell r="Q80">
            <v>1.0859283333333334</v>
          </cell>
          <cell r="R80">
            <v>3.397018333333333</v>
          </cell>
          <cell r="S80">
            <v>3.9266666666666665E-2</v>
          </cell>
          <cell r="T80">
            <v>1.5238333333333333E-2</v>
          </cell>
          <cell r="U80">
            <v>0</v>
          </cell>
          <cell r="V80">
            <v>4.5374516666666667</v>
          </cell>
        </row>
        <row r="81">
          <cell r="D81" t="str">
            <v>82111-76Z31 A 1101</v>
          </cell>
          <cell r="E81" t="str">
            <v>82111-76Z31</v>
          </cell>
          <cell r="F81">
            <v>4578.6532299999999</v>
          </cell>
          <cell r="G81">
            <v>20.572600000000001</v>
          </cell>
          <cell r="H81">
            <v>0.29448999999999997</v>
          </cell>
          <cell r="I81">
            <v>0.52669833333333338</v>
          </cell>
          <cell r="J81">
            <v>0.25692166666666666</v>
          </cell>
          <cell r="K81">
            <v>0.86941999999999997</v>
          </cell>
          <cell r="L81">
            <v>1.9233166666666668</v>
          </cell>
          <cell r="M81">
            <v>8.1863333333333344E-2</v>
          </cell>
          <cell r="N81">
            <v>0.22403999999999999</v>
          </cell>
          <cell r="O81">
            <v>0.17180833333333334</v>
          </cell>
          <cell r="P81">
            <v>8.1353333333333333E-2</v>
          </cell>
          <cell r="Q81">
            <v>1.0781100000000001</v>
          </cell>
          <cell r="R81">
            <v>3.3518016666666668</v>
          </cell>
          <cell r="S81">
            <v>3.9266666666666665E-2</v>
          </cell>
          <cell r="T81">
            <v>1.5238333333333333E-2</v>
          </cell>
          <cell r="U81">
            <v>0</v>
          </cell>
          <cell r="V81">
            <v>4.4844166666666672</v>
          </cell>
        </row>
        <row r="82">
          <cell r="D82" t="str">
            <v>82111-76Z41 A 1101</v>
          </cell>
          <cell r="E82" t="str">
            <v>82111-76Z41</v>
          </cell>
          <cell r="F82">
            <v>4625.9127500000004</v>
          </cell>
          <cell r="G82">
            <v>20.572600000000001</v>
          </cell>
          <cell r="H82">
            <v>0.30274000000000001</v>
          </cell>
          <cell r="I82">
            <v>0.53506166666666677</v>
          </cell>
          <cell r="J82">
            <v>0.25795000000000001</v>
          </cell>
          <cell r="K82">
            <v>0.87990666666666673</v>
          </cell>
          <cell r="L82">
            <v>1.9792099999999999</v>
          </cell>
          <cell r="M82">
            <v>8.2831666666666665E-2</v>
          </cell>
          <cell r="N82">
            <v>0.22741166666666668</v>
          </cell>
          <cell r="O82">
            <v>0.17827833333333334</v>
          </cell>
          <cell r="P82">
            <v>8.2496666666666663E-2</v>
          </cell>
          <cell r="Q82">
            <v>1.0957516666666667</v>
          </cell>
          <cell r="R82">
            <v>3.4301350000000004</v>
          </cell>
          <cell r="S82">
            <v>3.9266666666666665E-2</v>
          </cell>
          <cell r="T82">
            <v>1.5238333333333333E-2</v>
          </cell>
          <cell r="U82">
            <v>0</v>
          </cell>
          <cell r="V82">
            <v>4.5803916666666664</v>
          </cell>
        </row>
        <row r="83">
          <cell r="D83" t="str">
            <v>82111-76Z51 A 1101</v>
          </cell>
          <cell r="E83" t="str">
            <v>82111-76Z51</v>
          </cell>
          <cell r="F83">
            <v>4585.3680000000004</v>
          </cell>
          <cell r="G83">
            <v>20.572600000000001</v>
          </cell>
          <cell r="H83">
            <v>0.29385166666666668</v>
          </cell>
          <cell r="I83">
            <v>0.52736833333333333</v>
          </cell>
          <cell r="J83">
            <v>0.25692166666666666</v>
          </cell>
          <cell r="K83">
            <v>0.85805833333333337</v>
          </cell>
          <cell r="L83">
            <v>1.9623950000000001</v>
          </cell>
          <cell r="M83">
            <v>8.2831666666666665E-2</v>
          </cell>
          <cell r="N83">
            <v>0.22836500000000001</v>
          </cell>
          <cell r="O83">
            <v>0.17854833333333334</v>
          </cell>
          <cell r="P83">
            <v>8.2496666666666663E-2</v>
          </cell>
          <cell r="Q83">
            <v>1.0781416666666668</v>
          </cell>
          <cell r="R83">
            <v>3.3926950000000007</v>
          </cell>
          <cell r="S83">
            <v>3.9266666666666665E-2</v>
          </cell>
          <cell r="T83">
            <v>1.5238333333333333E-2</v>
          </cell>
          <cell r="U83">
            <v>0</v>
          </cell>
          <cell r="V83">
            <v>4.5253416666666668</v>
          </cell>
        </row>
        <row r="84">
          <cell r="D84" t="str">
            <v>82111-76Z81 A 1101</v>
          </cell>
          <cell r="E84" t="str">
            <v>82111-76Z81</v>
          </cell>
          <cell r="F84">
            <v>4226.2575699999998</v>
          </cell>
          <cell r="G84">
            <v>17.264500000000002</v>
          </cell>
          <cell r="H84">
            <v>0.28601333333333329</v>
          </cell>
          <cell r="I84">
            <v>0.53188333333333337</v>
          </cell>
          <cell r="J84">
            <v>0.24140333333333333</v>
          </cell>
          <cell r="K84">
            <v>0.84681999999999991</v>
          </cell>
          <cell r="L84">
            <v>1.9059566666666667</v>
          </cell>
          <cell r="M84">
            <v>8.1736666666666666E-2</v>
          </cell>
          <cell r="N84">
            <v>0.22460166666666667</v>
          </cell>
          <cell r="O84">
            <v>0.18220833333333333</v>
          </cell>
          <cell r="P84">
            <v>8.1551666666666633E-2</v>
          </cell>
          <cell r="Q84">
            <v>1.0593000000000001</v>
          </cell>
          <cell r="R84">
            <v>3.3228749999999998</v>
          </cell>
          <cell r="S84">
            <v>3.9289999999999999E-2</v>
          </cell>
          <cell r="T84">
            <v>1.5138333333333335E-2</v>
          </cell>
          <cell r="U84">
            <v>0</v>
          </cell>
          <cell r="V84">
            <v>4.4366033333333341</v>
          </cell>
        </row>
        <row r="85">
          <cell r="D85" t="str">
            <v>82111-76Z91 A 1101</v>
          </cell>
          <cell r="E85" t="str">
            <v>82111-76Z91</v>
          </cell>
          <cell r="F85">
            <v>4584.6951399999998</v>
          </cell>
          <cell r="G85">
            <v>17.264500000000002</v>
          </cell>
          <cell r="H85">
            <v>0.29607833333333333</v>
          </cell>
          <cell r="I85">
            <v>0.53416166666666665</v>
          </cell>
          <cell r="J85">
            <v>0.25112499999999999</v>
          </cell>
          <cell r="K85">
            <v>0.88099333333333329</v>
          </cell>
          <cell r="L85">
            <v>1.9437450000000001</v>
          </cell>
          <cell r="M85">
            <v>8.3228333333333321E-2</v>
          </cell>
          <cell r="N85">
            <v>0.23042666666666667</v>
          </cell>
          <cell r="O85">
            <v>0.18126499999999998</v>
          </cell>
          <cell r="P85">
            <v>8.2099999999999979E-2</v>
          </cell>
          <cell r="Q85">
            <v>1.0813649999999999</v>
          </cell>
          <cell r="R85">
            <v>3.4017583333333334</v>
          </cell>
          <cell r="S85">
            <v>3.9289999999999999E-2</v>
          </cell>
          <cell r="T85">
            <v>1.5138333333333335E-2</v>
          </cell>
          <cell r="U85">
            <v>0</v>
          </cell>
          <cell r="V85">
            <v>4.5375516666666673</v>
          </cell>
        </row>
        <row r="86">
          <cell r="D86" t="str">
            <v>82126-K0040 B 1101</v>
          </cell>
          <cell r="E86" t="str">
            <v>82126-K0040</v>
          </cell>
          <cell r="F86">
            <v>9.9453200000000006</v>
          </cell>
          <cell r="G86">
            <v>0</v>
          </cell>
          <cell r="H86">
            <v>5.7350000000000005E-3</v>
          </cell>
          <cell r="I86">
            <v>5.8666666666666667E-3</v>
          </cell>
          <cell r="J86">
            <v>0</v>
          </cell>
          <cell r="K86">
            <v>1.155E-2</v>
          </cell>
          <cell r="L86">
            <v>6.8783333333333335E-2</v>
          </cell>
          <cell r="M86">
            <v>0</v>
          </cell>
          <cell r="N86">
            <v>1.1361666666666666E-2</v>
          </cell>
          <cell r="O86">
            <v>8.8699999999999994E-3</v>
          </cell>
          <cell r="P86">
            <v>2.7000000000000001E-3</v>
          </cell>
          <cell r="Q86">
            <v>1.1601666666666666E-2</v>
          </cell>
          <cell r="R86">
            <v>0.103265</v>
          </cell>
          <cell r="S86">
            <v>0</v>
          </cell>
          <cell r="T86">
            <v>0</v>
          </cell>
          <cell r="U86">
            <v>0</v>
          </cell>
          <cell r="V86">
            <v>0.11486666666666666</v>
          </cell>
        </row>
        <row r="87">
          <cell r="D87" t="str">
            <v>82219-K0050 B 1101</v>
          </cell>
          <cell r="E87" t="str">
            <v>82219-K0050</v>
          </cell>
          <cell r="F87">
            <v>12.550560000000001</v>
          </cell>
          <cell r="G87">
            <v>0</v>
          </cell>
          <cell r="H87">
            <v>9.1733333333333337E-3</v>
          </cell>
          <cell r="I87">
            <v>8.1583333333333334E-3</v>
          </cell>
          <cell r="J87">
            <v>0</v>
          </cell>
          <cell r="K87">
            <v>2.2494999999999998E-2</v>
          </cell>
          <cell r="L87">
            <v>9.8680000000000004E-2</v>
          </cell>
          <cell r="M87">
            <v>0</v>
          </cell>
          <cell r="N87">
            <v>1.3265000000000001E-2</v>
          </cell>
          <cell r="O87">
            <v>7.083333333333333E-3</v>
          </cell>
          <cell r="P87">
            <v>3.1483333333333337E-3</v>
          </cell>
          <cell r="Q87">
            <v>1.7331666666666669E-2</v>
          </cell>
          <cell r="R87">
            <v>0.14467166666666667</v>
          </cell>
          <cell r="S87">
            <v>0</v>
          </cell>
          <cell r="T87">
            <v>0</v>
          </cell>
          <cell r="U87">
            <v>0</v>
          </cell>
          <cell r="V87">
            <v>0.16200333333333333</v>
          </cell>
        </row>
        <row r="88">
          <cell r="D88" t="str">
            <v>82219-K0060 B 1101</v>
          </cell>
          <cell r="E88" t="str">
            <v>82219-K0060</v>
          </cell>
          <cell r="F88">
            <v>5.4432</v>
          </cell>
          <cell r="G88">
            <v>0</v>
          </cell>
          <cell r="H88">
            <v>4.7549999999999997E-3</v>
          </cell>
          <cell r="I88">
            <v>3.8533333333333332E-3</v>
          </cell>
          <cell r="J88">
            <v>0</v>
          </cell>
          <cell r="K88">
            <v>1.2869999999999999E-2</v>
          </cell>
          <cell r="L88">
            <v>7.1153333333333332E-2</v>
          </cell>
          <cell r="M88">
            <v>0</v>
          </cell>
          <cell r="N88">
            <v>1.1091666666666666E-2</v>
          </cell>
          <cell r="O88">
            <v>5.901666666666667E-3</v>
          </cell>
          <cell r="P88">
            <v>2.4350000000000001E-3</v>
          </cell>
          <cell r="Q88">
            <v>8.6083333333333324E-3</v>
          </cell>
          <cell r="R88">
            <v>0.10345166666666668</v>
          </cell>
          <cell r="S88">
            <v>0</v>
          </cell>
          <cell r="T88">
            <v>0</v>
          </cell>
          <cell r="U88">
            <v>0</v>
          </cell>
          <cell r="V88">
            <v>0.11206000000000001</v>
          </cell>
        </row>
        <row r="89">
          <cell r="D89" t="str">
            <v>K0V8-67030 1202</v>
          </cell>
          <cell r="E89" t="str">
            <v>K0V867030</v>
          </cell>
          <cell r="F89">
            <v>1816.8014800000001</v>
          </cell>
          <cell r="G89">
            <v>33.107799999999997</v>
          </cell>
          <cell r="H89">
            <v>0.23423666666666668</v>
          </cell>
          <cell r="I89">
            <v>0.34717999999999999</v>
          </cell>
          <cell r="J89">
            <v>0.10551166666666667</v>
          </cell>
          <cell r="K89">
            <v>0.59792000000000001</v>
          </cell>
          <cell r="L89">
            <v>1.3618966666666668</v>
          </cell>
          <cell r="M89">
            <v>1.5675000000000001E-2</v>
          </cell>
          <cell r="N89">
            <v>0.12717333333333333</v>
          </cell>
          <cell r="O89">
            <v>9.3143333333333328E-2</v>
          </cell>
          <cell r="P89">
            <v>0.10519333333333333</v>
          </cell>
          <cell r="Q89">
            <v>0.68692833333333336</v>
          </cell>
          <cell r="R89">
            <v>2.3010016666666666</v>
          </cell>
          <cell r="S89">
            <v>2.5163333333333329E-2</v>
          </cell>
          <cell r="T89">
            <v>0</v>
          </cell>
          <cell r="U89">
            <v>0</v>
          </cell>
          <cell r="V89">
            <v>3.0130933333333334</v>
          </cell>
        </row>
        <row r="90">
          <cell r="D90" t="str">
            <v>K1A3-67030 0842</v>
          </cell>
          <cell r="E90" t="str">
            <v>K1A367030</v>
          </cell>
          <cell r="F90">
            <v>1816.8014800000001</v>
          </cell>
          <cell r="G90">
            <v>33.107799999999997</v>
          </cell>
          <cell r="H90">
            <v>0.23451666666666665</v>
          </cell>
          <cell r="I90">
            <v>0.34717999999999999</v>
          </cell>
          <cell r="J90">
            <v>0.10551166666666667</v>
          </cell>
          <cell r="K90">
            <v>0.59792000000000001</v>
          </cell>
          <cell r="L90">
            <v>1.376115</v>
          </cell>
          <cell r="M90">
            <v>1.5675000000000001E-2</v>
          </cell>
          <cell r="N90">
            <v>0.12789</v>
          </cell>
          <cell r="O90">
            <v>9.3701666666666655E-2</v>
          </cell>
          <cell r="P90">
            <v>0.10558333333333333</v>
          </cell>
          <cell r="Q90">
            <v>0.68720833333333331</v>
          </cell>
          <cell r="R90">
            <v>2.3168849999999996</v>
          </cell>
          <cell r="S90">
            <v>2.5163333333333329E-2</v>
          </cell>
          <cell r="T90">
            <v>0</v>
          </cell>
          <cell r="U90">
            <v>0</v>
          </cell>
          <cell r="V90">
            <v>3.0292566666666665</v>
          </cell>
        </row>
        <row r="91">
          <cell r="D91" t="str">
            <v>K1B1-67030 0842</v>
          </cell>
          <cell r="E91" t="str">
            <v>K1B167030</v>
          </cell>
          <cell r="F91">
            <v>1942.5699500000001</v>
          </cell>
          <cell r="G91">
            <v>33.107799999999997</v>
          </cell>
          <cell r="H91">
            <v>0.24352166666666666</v>
          </cell>
          <cell r="I91">
            <v>0.36186333333333331</v>
          </cell>
          <cell r="J91">
            <v>0.13475500000000001</v>
          </cell>
          <cell r="K91">
            <v>0.61524500000000004</v>
          </cell>
          <cell r="L91">
            <v>1.4292450000000001</v>
          </cell>
          <cell r="M91">
            <v>1.5675000000000001E-2</v>
          </cell>
          <cell r="N91">
            <v>0.13334833333333332</v>
          </cell>
          <cell r="O91">
            <v>9.8394999999999996E-2</v>
          </cell>
          <cell r="P91">
            <v>0.11286333333333333</v>
          </cell>
          <cell r="Q91">
            <v>0.74014000000000002</v>
          </cell>
          <cell r="R91">
            <v>2.4047716666666665</v>
          </cell>
          <cell r="S91">
            <v>2.5163333333333329E-2</v>
          </cell>
          <cell r="T91">
            <v>0</v>
          </cell>
          <cell r="U91">
            <v>0</v>
          </cell>
          <cell r="V91">
            <v>3.1700749999999998</v>
          </cell>
        </row>
        <row r="92">
          <cell r="D92" t="str">
            <v>K1B3-67030 0842</v>
          </cell>
          <cell r="E92" t="str">
            <v>K1B367030</v>
          </cell>
          <cell r="F92">
            <v>2003.20028</v>
          </cell>
          <cell r="G92">
            <v>33.107799999999997</v>
          </cell>
          <cell r="H92">
            <v>0.24949333333333332</v>
          </cell>
          <cell r="I92">
            <v>0.39425833333333332</v>
          </cell>
          <cell r="J92">
            <v>0.14122166666666666</v>
          </cell>
          <cell r="K92">
            <v>0.62885333333333338</v>
          </cell>
          <cell r="L92">
            <v>1.4379016666666666</v>
          </cell>
          <cell r="M92">
            <v>1.5675000000000001E-2</v>
          </cell>
          <cell r="N92">
            <v>0.134265</v>
          </cell>
          <cell r="O92">
            <v>9.9213333333333334E-2</v>
          </cell>
          <cell r="P92">
            <v>0.11336833333333333</v>
          </cell>
          <cell r="Q92">
            <v>0.7849733333333333</v>
          </cell>
          <cell r="R92">
            <v>2.4292766666666665</v>
          </cell>
          <cell r="S92">
            <v>2.5163333333333329E-2</v>
          </cell>
          <cell r="T92">
            <v>0</v>
          </cell>
          <cell r="U92">
            <v>0</v>
          </cell>
          <cell r="V92">
            <v>3.2394133333333333</v>
          </cell>
        </row>
        <row r="93">
          <cell r="D93" t="str">
            <v>K1B4-67030 0842</v>
          </cell>
          <cell r="E93" t="str">
            <v>K1B467030</v>
          </cell>
          <cell r="F93">
            <v>2009.68298</v>
          </cell>
          <cell r="G93">
            <v>33.107799999999997</v>
          </cell>
          <cell r="H93">
            <v>0.2506133333333333</v>
          </cell>
          <cell r="I93">
            <v>0.396675</v>
          </cell>
          <cell r="J93">
            <v>0.14122166666666666</v>
          </cell>
          <cell r="K93">
            <v>0.63141999999999998</v>
          </cell>
          <cell r="L93">
            <v>1.44062</v>
          </cell>
          <cell r="M93">
            <v>1.5675000000000001E-2</v>
          </cell>
          <cell r="N93">
            <v>0.13508333333333333</v>
          </cell>
          <cell r="O93">
            <v>9.9568333333333328E-2</v>
          </cell>
          <cell r="P93">
            <v>0.11356833333333333</v>
          </cell>
          <cell r="Q93">
            <v>0.78850999999999993</v>
          </cell>
          <cell r="R93">
            <v>2.4359349999999997</v>
          </cell>
          <cell r="S93">
            <v>2.5163333333333329E-2</v>
          </cell>
          <cell r="T93">
            <v>0</v>
          </cell>
          <cell r="U93">
            <v>0</v>
          </cell>
          <cell r="V93">
            <v>3.2496083333333332</v>
          </cell>
        </row>
        <row r="94">
          <cell r="D94" t="str">
            <v>K1D7-67030 0801</v>
          </cell>
          <cell r="E94" t="str">
            <v>K1D767030</v>
          </cell>
          <cell r="F94">
            <v>1126.1260600000001</v>
          </cell>
          <cell r="G94">
            <v>35.584400000000002</v>
          </cell>
          <cell r="H94">
            <v>0.15974166666666667</v>
          </cell>
          <cell r="I94">
            <v>0.19779333333333332</v>
          </cell>
          <cell r="J94">
            <v>2.551833333333333E-2</v>
          </cell>
          <cell r="K94">
            <v>0.46524833333333332</v>
          </cell>
          <cell r="L94">
            <v>1.19126</v>
          </cell>
          <cell r="M94">
            <v>8.3600000000000011E-3</v>
          </cell>
          <cell r="N94">
            <v>9.4448333333333329E-2</v>
          </cell>
          <cell r="O94">
            <v>6.7523333333333338E-2</v>
          </cell>
          <cell r="P94">
            <v>9.837333333333334E-2</v>
          </cell>
          <cell r="Q94">
            <v>0.3830533333333333</v>
          </cell>
          <cell r="R94">
            <v>1.9252133333333332</v>
          </cell>
          <cell r="S94">
            <v>0</v>
          </cell>
          <cell r="T94">
            <v>0</v>
          </cell>
          <cell r="U94">
            <v>0</v>
          </cell>
          <cell r="V94">
            <v>2.3082666666666665</v>
          </cell>
        </row>
        <row r="95">
          <cell r="D95" t="str">
            <v>K1R2-67030 0801</v>
          </cell>
          <cell r="E95" t="str">
            <v>K1R267030</v>
          </cell>
          <cell r="F95">
            <v>1043.9958899999999</v>
          </cell>
          <cell r="G95">
            <v>35.584400000000002</v>
          </cell>
          <cell r="H95">
            <v>0.14953666666666668</v>
          </cell>
          <cell r="I95">
            <v>0.17560666666666666</v>
          </cell>
          <cell r="J95">
            <v>2.551833333333333E-2</v>
          </cell>
          <cell r="K95">
            <v>0.44031500000000001</v>
          </cell>
          <cell r="L95">
            <v>1.1116783333333333</v>
          </cell>
          <cell r="M95">
            <v>8.3600000000000011E-3</v>
          </cell>
          <cell r="N95">
            <v>8.9749999999999996E-2</v>
          </cell>
          <cell r="O95">
            <v>6.532333333333333E-2</v>
          </cell>
          <cell r="P95">
            <v>9.1128333333333325E-2</v>
          </cell>
          <cell r="Q95">
            <v>0.35066166666666665</v>
          </cell>
          <cell r="R95">
            <v>1.8065549999999999</v>
          </cell>
          <cell r="S95">
            <v>0</v>
          </cell>
          <cell r="T95">
            <v>0</v>
          </cell>
          <cell r="U95">
            <v>0</v>
          </cell>
          <cell r="V95">
            <v>2.1572166666666668</v>
          </cell>
        </row>
        <row r="96">
          <cell r="D96" t="str">
            <v>K616-67120A 0601</v>
          </cell>
          <cell r="E96" t="str">
            <v>K61667120A</v>
          </cell>
          <cell r="F96">
            <v>29.7</v>
          </cell>
          <cell r="G96">
            <v>0</v>
          </cell>
          <cell r="H96">
            <v>1.0561666666666667E-2</v>
          </cell>
          <cell r="I96">
            <v>5.2800000000000008E-3</v>
          </cell>
          <cell r="J96">
            <v>0</v>
          </cell>
          <cell r="K96">
            <v>1.6500000000000001E-2</v>
          </cell>
          <cell r="L96">
            <v>0.24413499999999999</v>
          </cell>
          <cell r="M96">
            <v>1.0450000000000001E-3</v>
          </cell>
          <cell r="N96">
            <v>2.1149999999999999E-2</v>
          </cell>
          <cell r="O96">
            <v>1.2648333333333334E-2</v>
          </cell>
          <cell r="P96">
            <v>6.4083333333333336E-3</v>
          </cell>
          <cell r="Q96">
            <v>1.5841666666666667E-2</v>
          </cell>
          <cell r="R96">
            <v>0.30188666666666669</v>
          </cell>
          <cell r="S96">
            <v>0</v>
          </cell>
          <cell r="T96">
            <v>0</v>
          </cell>
          <cell r="U96">
            <v>0</v>
          </cell>
          <cell r="V96">
            <v>0.31772833333333333</v>
          </cell>
        </row>
        <row r="97">
          <cell r="D97" t="str">
            <v>K616-67240A 1112</v>
          </cell>
          <cell r="E97" t="str">
            <v>K61667240A</v>
          </cell>
          <cell r="F97">
            <v>66.189800000000005</v>
          </cell>
          <cell r="G97">
            <v>0</v>
          </cell>
          <cell r="H97">
            <v>1.196E-2</v>
          </cell>
          <cell r="I97">
            <v>0</v>
          </cell>
          <cell r="J97">
            <v>0</v>
          </cell>
          <cell r="K97">
            <v>2.9883333333333331E-2</v>
          </cell>
          <cell r="L97">
            <v>0.15431</v>
          </cell>
          <cell r="M97">
            <v>2.0900000000000003E-3</v>
          </cell>
          <cell r="N97">
            <v>2.2381666666666668E-2</v>
          </cell>
          <cell r="O97">
            <v>1.3015000000000001E-2</v>
          </cell>
          <cell r="P97">
            <v>4.9816666666666664E-3</v>
          </cell>
          <cell r="Q97">
            <v>1.196E-2</v>
          </cell>
          <cell r="R97">
            <v>0.22666166666666665</v>
          </cell>
          <cell r="S97">
            <v>0</v>
          </cell>
          <cell r="T97">
            <v>0</v>
          </cell>
          <cell r="U97">
            <v>0</v>
          </cell>
          <cell r="V97">
            <v>0.23862166666666665</v>
          </cell>
        </row>
        <row r="98">
          <cell r="D98" t="str">
            <v>K616-67SJ0D 0901</v>
          </cell>
          <cell r="E98" t="str">
            <v>K61667SJ0D</v>
          </cell>
          <cell r="F98">
            <v>98.916039999999995</v>
          </cell>
          <cell r="G98">
            <v>0</v>
          </cell>
          <cell r="H98">
            <v>2.6025000000000003E-2</v>
          </cell>
          <cell r="I98">
            <v>0.11806</v>
          </cell>
          <cell r="J98">
            <v>2.5866666666666666E-2</v>
          </cell>
          <cell r="K98">
            <v>6.4111666666666664E-2</v>
          </cell>
          <cell r="L98">
            <v>7.4486666666666659E-2</v>
          </cell>
          <cell r="M98">
            <v>0</v>
          </cell>
          <cell r="N98">
            <v>2.0355000000000002E-2</v>
          </cell>
          <cell r="O98">
            <v>7.3750000000000005E-3</v>
          </cell>
          <cell r="P98">
            <v>3.8983333333333331E-3</v>
          </cell>
          <cell r="Q98">
            <v>0.16995166666666667</v>
          </cell>
          <cell r="R98">
            <v>0.17022666666666667</v>
          </cell>
          <cell r="S98">
            <v>0</v>
          </cell>
          <cell r="T98">
            <v>0</v>
          </cell>
          <cell r="U98">
            <v>0</v>
          </cell>
          <cell r="V98">
            <v>0.34017833333333336</v>
          </cell>
        </row>
        <row r="99">
          <cell r="D99" t="str">
            <v>K63K-67030C 1402</v>
          </cell>
          <cell r="E99" t="str">
            <v>K63K67030C</v>
          </cell>
          <cell r="F99">
            <v>1218.9890499999999</v>
          </cell>
          <cell r="G99">
            <v>0</v>
          </cell>
          <cell r="H99">
            <v>0.20063</v>
          </cell>
          <cell r="I99">
            <v>0.32570833333333332</v>
          </cell>
          <cell r="J99">
            <v>0.10789833333333335</v>
          </cell>
          <cell r="K99">
            <v>0.4841166666666667</v>
          </cell>
          <cell r="L99">
            <v>1.1245283333333334</v>
          </cell>
          <cell r="M99">
            <v>9.4050000000000002E-3</v>
          </cell>
          <cell r="N99">
            <v>0.10603166666666668</v>
          </cell>
          <cell r="O99">
            <v>6.371333333333333E-2</v>
          </cell>
          <cell r="P99">
            <v>7.6395000000000005E-2</v>
          </cell>
          <cell r="Q99">
            <v>0.63423666666666667</v>
          </cell>
          <cell r="R99">
            <v>1.8641900000000002</v>
          </cell>
          <cell r="S99">
            <v>0</v>
          </cell>
          <cell r="T99">
            <v>0</v>
          </cell>
          <cell r="U99">
            <v>0</v>
          </cell>
          <cell r="V99">
            <v>2.498426666666667</v>
          </cell>
        </row>
        <row r="100">
          <cell r="D100" t="str">
            <v>K63K-67120A 0601</v>
          </cell>
          <cell r="E100" t="str">
            <v>K63K67120A</v>
          </cell>
          <cell r="F100">
            <v>29.7</v>
          </cell>
          <cell r="G100">
            <v>0</v>
          </cell>
          <cell r="H100">
            <v>1.1254999999999999E-2</v>
          </cell>
          <cell r="I100">
            <v>5.2800000000000008E-3</v>
          </cell>
          <cell r="J100">
            <v>0</v>
          </cell>
          <cell r="K100">
            <v>1.6500000000000001E-2</v>
          </cell>
          <cell r="L100">
            <v>0.26664333333333334</v>
          </cell>
          <cell r="M100">
            <v>1.0450000000000001E-3</v>
          </cell>
          <cell r="N100">
            <v>2.1871666666666668E-2</v>
          </cell>
          <cell r="O100">
            <v>1.3238333333333333E-2</v>
          </cell>
          <cell r="P100">
            <v>6.9033333333333334E-3</v>
          </cell>
          <cell r="Q100">
            <v>1.6535000000000001E-2</v>
          </cell>
          <cell r="R100">
            <v>0.32620166666666672</v>
          </cell>
          <cell r="S100">
            <v>0</v>
          </cell>
          <cell r="T100">
            <v>0</v>
          </cell>
          <cell r="U100">
            <v>0</v>
          </cell>
          <cell r="V100">
            <v>0.34273666666666674</v>
          </cell>
        </row>
        <row r="101">
          <cell r="D101" t="str">
            <v>K63K-67240A 1112</v>
          </cell>
          <cell r="E101" t="str">
            <v>K63K67240A</v>
          </cell>
          <cell r="F101">
            <v>77.136830000000003</v>
          </cell>
          <cell r="G101">
            <v>0</v>
          </cell>
          <cell r="H101">
            <v>1.4193333333333334E-2</v>
          </cell>
          <cell r="I101">
            <v>0</v>
          </cell>
          <cell r="J101">
            <v>0</v>
          </cell>
          <cell r="K101">
            <v>3.5108333333333332E-2</v>
          </cell>
          <cell r="L101">
            <v>0.16990833333333333</v>
          </cell>
          <cell r="M101">
            <v>2.0900000000000003E-3</v>
          </cell>
          <cell r="N101">
            <v>2.3890000000000002E-2</v>
          </cell>
          <cell r="O101">
            <v>1.3721666666666667E-2</v>
          </cell>
          <cell r="P101">
            <v>5.3699999999999998E-3</v>
          </cell>
          <cell r="Q101">
            <v>1.4193333333333334E-2</v>
          </cell>
          <cell r="R101">
            <v>0.2500883333333333</v>
          </cell>
          <cell r="S101">
            <v>0</v>
          </cell>
          <cell r="T101">
            <v>0</v>
          </cell>
          <cell r="U101">
            <v>0</v>
          </cell>
          <cell r="V101">
            <v>0.26428166666666664</v>
          </cell>
        </row>
        <row r="102">
          <cell r="D102" t="str">
            <v>K63L-67240A 1112</v>
          </cell>
          <cell r="E102" t="str">
            <v>K63L67240A</v>
          </cell>
          <cell r="F102">
            <v>73.079949999999997</v>
          </cell>
          <cell r="G102">
            <v>0</v>
          </cell>
          <cell r="H102">
            <v>1.3161666666666665E-2</v>
          </cell>
          <cell r="I102">
            <v>0</v>
          </cell>
          <cell r="J102">
            <v>0</v>
          </cell>
          <cell r="K102">
            <v>3.3366666666666663E-2</v>
          </cell>
          <cell r="L102">
            <v>0.16112333333333334</v>
          </cell>
          <cell r="M102">
            <v>2.0900000000000003E-3</v>
          </cell>
          <cell r="N102">
            <v>2.3198333333333331E-2</v>
          </cell>
          <cell r="O102">
            <v>1.3278333333333333E-2</v>
          </cell>
          <cell r="P102">
            <v>5.1599999999999997E-3</v>
          </cell>
          <cell r="Q102">
            <v>1.3161666666666665E-2</v>
          </cell>
          <cell r="R102">
            <v>0.23821666666666666</v>
          </cell>
          <cell r="S102">
            <v>0</v>
          </cell>
          <cell r="T102">
            <v>0</v>
          </cell>
          <cell r="U102">
            <v>0</v>
          </cell>
          <cell r="V102">
            <v>0.25137833333333331</v>
          </cell>
        </row>
        <row r="103">
          <cell r="D103" t="str">
            <v>K63M-67240A 1112</v>
          </cell>
          <cell r="E103" t="str">
            <v>K63M67240A</v>
          </cell>
          <cell r="F103">
            <v>84.026979999999995</v>
          </cell>
          <cell r="G103">
            <v>0</v>
          </cell>
          <cell r="H103">
            <v>1.5394999999999999E-2</v>
          </cell>
          <cell r="I103">
            <v>0</v>
          </cell>
          <cell r="J103">
            <v>0</v>
          </cell>
          <cell r="K103">
            <v>3.859166666666667E-2</v>
          </cell>
          <cell r="L103">
            <v>0.17672166666666669</v>
          </cell>
          <cell r="M103">
            <v>2.0900000000000003E-3</v>
          </cell>
          <cell r="N103">
            <v>2.4704999999999998E-2</v>
          </cell>
          <cell r="O103">
            <v>1.3981666666666667E-2</v>
          </cell>
          <cell r="P103">
            <v>5.5483333333333331E-3</v>
          </cell>
          <cell r="Q103">
            <v>1.5394999999999999E-2</v>
          </cell>
          <cell r="R103">
            <v>0.26163833333333336</v>
          </cell>
          <cell r="S103">
            <v>0</v>
          </cell>
          <cell r="T103">
            <v>0</v>
          </cell>
          <cell r="U103">
            <v>0</v>
          </cell>
          <cell r="V103">
            <v>0.27703333333333335</v>
          </cell>
        </row>
        <row r="104">
          <cell r="D104" t="str">
            <v>K63N-67120A 0532</v>
          </cell>
          <cell r="E104" t="str">
            <v>K63N67120A</v>
          </cell>
          <cell r="F104">
            <v>47.585619999999999</v>
          </cell>
          <cell r="G104">
            <v>0</v>
          </cell>
          <cell r="H104">
            <v>1.3921666666666667E-2</v>
          </cell>
          <cell r="I104">
            <v>1.0534999999999999E-2</v>
          </cell>
          <cell r="J104">
            <v>0</v>
          </cell>
          <cell r="K104">
            <v>2.7445000000000001E-2</v>
          </cell>
          <cell r="L104">
            <v>0.2728983333333333</v>
          </cell>
          <cell r="M104">
            <v>1.0450000000000001E-3</v>
          </cell>
          <cell r="N104">
            <v>2.3405000000000002E-2</v>
          </cell>
          <cell r="O104">
            <v>1.3888333333333334E-2</v>
          </cell>
          <cell r="P104">
            <v>7.1633333333333332E-3</v>
          </cell>
          <cell r="Q104">
            <v>2.4456666666666668E-2</v>
          </cell>
          <cell r="R104">
            <v>0.34584500000000001</v>
          </cell>
          <cell r="S104">
            <v>0</v>
          </cell>
          <cell r="T104">
            <v>0</v>
          </cell>
          <cell r="U104">
            <v>0</v>
          </cell>
          <cell r="V104">
            <v>0.3703016666666667</v>
          </cell>
        </row>
        <row r="105">
          <cell r="D105" t="str">
            <v>K63N-67240A 1122</v>
          </cell>
          <cell r="E105" t="str">
            <v>K63N67240A</v>
          </cell>
          <cell r="F105">
            <v>81.880350000000007</v>
          </cell>
          <cell r="G105">
            <v>0</v>
          </cell>
          <cell r="H105">
            <v>1.4633333333333333E-2</v>
          </cell>
          <cell r="I105">
            <v>0</v>
          </cell>
          <cell r="J105">
            <v>0</v>
          </cell>
          <cell r="K105">
            <v>3.7033333333333335E-2</v>
          </cell>
          <cell r="L105">
            <v>0.16532666666666668</v>
          </cell>
          <cell r="M105">
            <v>2.0900000000000003E-3</v>
          </cell>
          <cell r="N105">
            <v>2.4018333333333333E-2</v>
          </cell>
          <cell r="O105">
            <v>1.363E-2</v>
          </cell>
          <cell r="P105">
            <v>5.398333333333334E-3</v>
          </cell>
          <cell r="Q105">
            <v>1.4633333333333333E-2</v>
          </cell>
          <cell r="R105">
            <v>0.2474966666666667</v>
          </cell>
          <cell r="S105">
            <v>0</v>
          </cell>
          <cell r="T105">
            <v>0</v>
          </cell>
          <cell r="U105">
            <v>0</v>
          </cell>
          <cell r="V105">
            <v>0.26213000000000003</v>
          </cell>
        </row>
        <row r="106">
          <cell r="D106" t="str">
            <v>K63P-67120A 0532</v>
          </cell>
          <cell r="E106" t="str">
            <v>K63P67120A</v>
          </cell>
          <cell r="F106">
            <v>81.146529999999998</v>
          </cell>
          <cell r="G106">
            <v>0</v>
          </cell>
          <cell r="H106">
            <v>2.0453333333333334E-2</v>
          </cell>
          <cell r="I106">
            <v>2.257E-2</v>
          </cell>
          <cell r="J106">
            <v>0</v>
          </cell>
          <cell r="K106">
            <v>4.1928333333333331E-2</v>
          </cell>
          <cell r="L106">
            <v>0.32918833333333336</v>
          </cell>
          <cell r="M106">
            <v>1.0450000000000001E-3</v>
          </cell>
          <cell r="N106">
            <v>2.6536666666666667E-2</v>
          </cell>
          <cell r="O106">
            <v>1.5608333333333333E-2</v>
          </cell>
          <cell r="P106">
            <v>8.3366666666666658E-3</v>
          </cell>
          <cell r="Q106">
            <v>4.302333333333333E-2</v>
          </cell>
          <cell r="R106">
            <v>0.42264333333333337</v>
          </cell>
          <cell r="S106">
            <v>0</v>
          </cell>
          <cell r="T106">
            <v>0</v>
          </cell>
          <cell r="U106">
            <v>0</v>
          </cell>
          <cell r="V106">
            <v>0.46566666666666667</v>
          </cell>
        </row>
        <row r="107">
          <cell r="D107" t="str">
            <v>K63P-67240A 1122</v>
          </cell>
          <cell r="E107" t="str">
            <v>K63P67240A</v>
          </cell>
          <cell r="F107">
            <v>92.827380000000005</v>
          </cell>
          <cell r="G107">
            <v>0</v>
          </cell>
          <cell r="H107">
            <v>1.6866666666666665E-2</v>
          </cell>
          <cell r="I107">
            <v>0</v>
          </cell>
          <cell r="J107">
            <v>0</v>
          </cell>
          <cell r="K107">
            <v>4.2258333333333328E-2</v>
          </cell>
          <cell r="L107">
            <v>0.18092499999999997</v>
          </cell>
          <cell r="M107">
            <v>2.0900000000000003E-3</v>
          </cell>
          <cell r="N107">
            <v>2.5525000000000003E-2</v>
          </cell>
          <cell r="O107">
            <v>1.4333333333333333E-2</v>
          </cell>
          <cell r="P107">
            <v>5.7883333333333337E-3</v>
          </cell>
          <cell r="Q107">
            <v>1.6866666666666665E-2</v>
          </cell>
          <cell r="R107">
            <v>0.27091999999999994</v>
          </cell>
          <cell r="S107">
            <v>0</v>
          </cell>
          <cell r="T107">
            <v>0</v>
          </cell>
          <cell r="U107">
            <v>0</v>
          </cell>
          <cell r="V107">
            <v>0.28778666666666658</v>
          </cell>
        </row>
        <row r="108">
          <cell r="D108" t="str">
            <v>K63R-67120A 0601</v>
          </cell>
          <cell r="E108" t="str">
            <v>K63R67120A</v>
          </cell>
          <cell r="F108">
            <v>47.7</v>
          </cell>
          <cell r="G108">
            <v>0</v>
          </cell>
          <cell r="H108">
            <v>1.4618333333333334E-2</v>
          </cell>
          <cell r="I108">
            <v>1.0534999999999999E-2</v>
          </cell>
          <cell r="J108">
            <v>0</v>
          </cell>
          <cell r="K108">
            <v>2.7445000000000001E-2</v>
          </cell>
          <cell r="L108">
            <v>0.29229500000000003</v>
          </cell>
          <cell r="M108">
            <v>1.0450000000000001E-3</v>
          </cell>
          <cell r="N108">
            <v>2.4126666666666668E-2</v>
          </cell>
          <cell r="O108">
            <v>1.448E-2</v>
          </cell>
          <cell r="P108">
            <v>7.6583333333333338E-3</v>
          </cell>
          <cell r="Q108">
            <v>2.5153333333333333E-2</v>
          </cell>
          <cell r="R108">
            <v>0.36705000000000004</v>
          </cell>
          <cell r="S108">
            <v>0</v>
          </cell>
          <cell r="T108">
            <v>0</v>
          </cell>
          <cell r="U108">
            <v>0</v>
          </cell>
          <cell r="V108">
            <v>0.39220333333333335</v>
          </cell>
        </row>
        <row r="109">
          <cell r="D109" t="str">
            <v>K63S-67120A 0601</v>
          </cell>
          <cell r="E109" t="str">
            <v>K63S67120A</v>
          </cell>
          <cell r="F109">
            <v>81.400000000000006</v>
          </cell>
          <cell r="G109">
            <v>0</v>
          </cell>
          <cell r="H109">
            <v>2.1149999999999999E-2</v>
          </cell>
          <cell r="I109">
            <v>2.2608333333333334E-2</v>
          </cell>
          <cell r="J109">
            <v>0</v>
          </cell>
          <cell r="K109">
            <v>4.1928333333333331E-2</v>
          </cell>
          <cell r="L109">
            <v>0.34907333333333335</v>
          </cell>
          <cell r="M109">
            <v>1.0450000000000001E-3</v>
          </cell>
          <cell r="N109">
            <v>2.726E-2</v>
          </cell>
          <cell r="O109">
            <v>1.6199999999999999E-2</v>
          </cell>
          <cell r="P109">
            <v>8.8316666666666665E-3</v>
          </cell>
          <cell r="Q109">
            <v>4.375833333333333E-2</v>
          </cell>
          <cell r="R109">
            <v>0.44433833333333339</v>
          </cell>
          <cell r="S109">
            <v>0</v>
          </cell>
          <cell r="T109">
            <v>0</v>
          </cell>
          <cell r="U109">
            <v>0</v>
          </cell>
          <cell r="V109">
            <v>0.48809666666666673</v>
          </cell>
        </row>
        <row r="110">
          <cell r="D110" t="str">
            <v>K63V-67030C 1402</v>
          </cell>
          <cell r="E110" t="str">
            <v>K63V67030C</v>
          </cell>
          <cell r="F110">
            <v>1234.33977</v>
          </cell>
          <cell r="G110">
            <v>0</v>
          </cell>
          <cell r="H110">
            <v>0.20419333333333334</v>
          </cell>
          <cell r="I110">
            <v>0.34098499999999998</v>
          </cell>
          <cell r="J110">
            <v>0.10789833333333335</v>
          </cell>
          <cell r="K110">
            <v>0.4951166666666667</v>
          </cell>
          <cell r="L110">
            <v>1.126895</v>
          </cell>
          <cell r="M110">
            <v>9.4050000000000002E-3</v>
          </cell>
          <cell r="N110">
            <v>0.10627166666666667</v>
          </cell>
          <cell r="O110">
            <v>6.371333333333333E-2</v>
          </cell>
          <cell r="P110">
            <v>7.6395000000000005E-2</v>
          </cell>
          <cell r="Q110">
            <v>0.65307666666666664</v>
          </cell>
          <cell r="R110">
            <v>1.8777966666666668</v>
          </cell>
          <cell r="S110">
            <v>0</v>
          </cell>
          <cell r="T110">
            <v>0</v>
          </cell>
          <cell r="U110">
            <v>0</v>
          </cell>
          <cell r="V110">
            <v>2.5308733333333335</v>
          </cell>
        </row>
        <row r="111">
          <cell r="D111" t="str">
            <v>K64A-67030C 1402</v>
          </cell>
          <cell r="E111" t="str">
            <v>K64A67030C</v>
          </cell>
          <cell r="F111">
            <v>1275.3</v>
          </cell>
          <cell r="G111">
            <v>0</v>
          </cell>
          <cell r="H111">
            <v>0.20818499999999998</v>
          </cell>
          <cell r="I111">
            <v>0.34689166666666671</v>
          </cell>
          <cell r="J111">
            <v>0.11411333333333333</v>
          </cell>
          <cell r="K111">
            <v>0.5017166666666667</v>
          </cell>
          <cell r="L111">
            <v>1.1318866666666667</v>
          </cell>
          <cell r="M111">
            <v>9.4050000000000002E-3</v>
          </cell>
          <cell r="N111">
            <v>0.10733666666666666</v>
          </cell>
          <cell r="O111">
            <v>6.4229999999999995E-2</v>
          </cell>
          <cell r="P111">
            <v>7.8716666666666671E-2</v>
          </cell>
          <cell r="Q111">
            <v>0.66918999999999995</v>
          </cell>
          <cell r="R111">
            <v>1.8932916666666668</v>
          </cell>
          <cell r="S111">
            <v>0</v>
          </cell>
          <cell r="T111">
            <v>0</v>
          </cell>
          <cell r="U111">
            <v>0</v>
          </cell>
          <cell r="V111">
            <v>2.5624816666666668</v>
          </cell>
        </row>
        <row r="112">
          <cell r="D112" t="str">
            <v>K64B-67120A 0601</v>
          </cell>
          <cell r="E112" t="str">
            <v>K64B67120A</v>
          </cell>
          <cell r="F112">
            <v>52.1</v>
          </cell>
          <cell r="G112">
            <v>0</v>
          </cell>
          <cell r="H112">
            <v>1.5385000000000001E-2</v>
          </cell>
          <cell r="I112">
            <v>1.0534999999999999E-2</v>
          </cell>
          <cell r="J112">
            <v>0</v>
          </cell>
          <cell r="K112">
            <v>3.0928333333333332E-2</v>
          </cell>
          <cell r="L112">
            <v>0.28898833333333335</v>
          </cell>
          <cell r="M112">
            <v>1.0450000000000001E-3</v>
          </cell>
          <cell r="N112">
            <v>2.4838333333333334E-2</v>
          </cell>
          <cell r="O112">
            <v>1.4738333333333332E-2</v>
          </cell>
          <cell r="P112">
            <v>7.6516666666666669E-3</v>
          </cell>
          <cell r="Q112">
            <v>2.5919999999999999E-2</v>
          </cell>
          <cell r="R112">
            <v>0.36819000000000007</v>
          </cell>
          <cell r="S112">
            <v>0</v>
          </cell>
          <cell r="T112">
            <v>0</v>
          </cell>
          <cell r="U112">
            <v>0</v>
          </cell>
          <cell r="V112">
            <v>0.39411000000000007</v>
          </cell>
        </row>
        <row r="113">
          <cell r="D113" t="str">
            <v>K64C-67120A 0601</v>
          </cell>
          <cell r="E113" t="str">
            <v>K64C67120A</v>
          </cell>
          <cell r="F113">
            <v>85.8</v>
          </cell>
          <cell r="G113">
            <v>0</v>
          </cell>
          <cell r="H113">
            <v>2.1918333333333331E-2</v>
          </cell>
          <cell r="I113">
            <v>2.2608333333333334E-2</v>
          </cell>
          <cell r="J113">
            <v>0</v>
          </cell>
          <cell r="K113">
            <v>4.5411666666666663E-2</v>
          </cell>
          <cell r="L113">
            <v>0.34529333333333334</v>
          </cell>
          <cell r="M113">
            <v>1.0450000000000001E-3</v>
          </cell>
          <cell r="N113">
            <v>2.7969999999999998E-2</v>
          </cell>
          <cell r="O113">
            <v>1.6456666666666668E-2</v>
          </cell>
          <cell r="P113">
            <v>8.8249999999999995E-3</v>
          </cell>
          <cell r="Q113">
            <v>4.4526666666666666E-2</v>
          </cell>
          <cell r="R113">
            <v>0.44500166666666674</v>
          </cell>
          <cell r="S113">
            <v>0</v>
          </cell>
          <cell r="T113">
            <v>0</v>
          </cell>
          <cell r="U113">
            <v>0</v>
          </cell>
          <cell r="V113">
            <v>0.4895283333333334</v>
          </cell>
        </row>
        <row r="114">
          <cell r="D114" t="str">
            <v>K64E-67030C 1501</v>
          </cell>
          <cell r="E114" t="str">
            <v>K64E67030C</v>
          </cell>
          <cell r="F114">
            <v>1329.6</v>
          </cell>
          <cell r="G114">
            <v>0</v>
          </cell>
          <cell r="H114">
            <v>0.21326499999999998</v>
          </cell>
          <cell r="I114">
            <v>0.37914500000000001</v>
          </cell>
          <cell r="J114">
            <v>0.12057999999999999</v>
          </cell>
          <cell r="K114">
            <v>0.51444000000000001</v>
          </cell>
          <cell r="L114">
            <v>1.1493600000000002</v>
          </cell>
          <cell r="M114">
            <v>9.4050000000000002E-3</v>
          </cell>
          <cell r="N114">
            <v>0.108155</v>
          </cell>
          <cell r="O114">
            <v>6.4608333333333337E-2</v>
          </cell>
          <cell r="P114">
            <v>7.8933333333333328E-2</v>
          </cell>
          <cell r="Q114">
            <v>0.71299000000000001</v>
          </cell>
          <cell r="R114">
            <v>1.924901666666667</v>
          </cell>
          <cell r="S114">
            <v>0</v>
          </cell>
          <cell r="T114">
            <v>0</v>
          </cell>
          <cell r="U114">
            <v>0</v>
          </cell>
          <cell r="V114">
            <v>2.637891666666667</v>
          </cell>
        </row>
        <row r="115">
          <cell r="D115" t="str">
            <v>K64E-67120A 0542</v>
          </cell>
          <cell r="E115" t="str">
            <v>K64E67120A</v>
          </cell>
          <cell r="F115">
            <v>85.680289999999999</v>
          </cell>
          <cell r="G115">
            <v>0</v>
          </cell>
          <cell r="H115">
            <v>2.2608333333333334E-2</v>
          </cell>
          <cell r="I115">
            <v>2.257E-2</v>
          </cell>
          <cell r="J115">
            <v>0</v>
          </cell>
          <cell r="K115">
            <v>4.5411666666666663E-2</v>
          </cell>
          <cell r="L115">
            <v>0.37139666666666665</v>
          </cell>
          <cell r="M115">
            <v>1.0450000000000001E-3</v>
          </cell>
          <cell r="N115">
            <v>2.8693333333333335E-2</v>
          </cell>
          <cell r="O115">
            <v>1.7049999999999999E-2</v>
          </cell>
          <cell r="P115">
            <v>9.3200000000000002E-3</v>
          </cell>
          <cell r="Q115">
            <v>4.5178333333333334E-2</v>
          </cell>
          <cell r="R115">
            <v>0.47291666666666671</v>
          </cell>
          <cell r="S115">
            <v>0</v>
          </cell>
          <cell r="T115">
            <v>0</v>
          </cell>
          <cell r="U115">
            <v>0</v>
          </cell>
          <cell r="V115">
            <v>0.51809500000000008</v>
          </cell>
        </row>
        <row r="116">
          <cell r="D116" t="str">
            <v>K64K-67120A 0601</v>
          </cell>
          <cell r="E116" t="str">
            <v>K64K67120A</v>
          </cell>
          <cell r="F116">
            <v>60.2</v>
          </cell>
          <cell r="G116">
            <v>0</v>
          </cell>
          <cell r="H116">
            <v>1.6453333333333334E-2</v>
          </cell>
          <cell r="I116">
            <v>1.0534999999999999E-2</v>
          </cell>
          <cell r="J116">
            <v>0</v>
          </cell>
          <cell r="K116">
            <v>3.2761666666666668E-2</v>
          </cell>
          <cell r="L116">
            <v>0.29832666666666668</v>
          </cell>
          <cell r="M116">
            <v>2.0900000000000003E-3</v>
          </cell>
          <cell r="N116">
            <v>2.7375E-2</v>
          </cell>
          <cell r="O116">
            <v>1.7845E-2</v>
          </cell>
          <cell r="P116">
            <v>7.9183333333333345E-3</v>
          </cell>
          <cell r="Q116">
            <v>2.6988333333333333E-2</v>
          </cell>
          <cell r="R116">
            <v>0.3863166666666667</v>
          </cell>
          <cell r="S116">
            <v>0</v>
          </cell>
          <cell r="T116">
            <v>0</v>
          </cell>
          <cell r="U116">
            <v>0</v>
          </cell>
          <cell r="V116">
            <v>0.41330500000000003</v>
          </cell>
        </row>
        <row r="117">
          <cell r="D117" t="str">
            <v>K64S-67030B 1501</v>
          </cell>
          <cell r="E117" t="str">
            <v>K64S67030B</v>
          </cell>
          <cell r="F117">
            <v>1219</v>
          </cell>
          <cell r="G117">
            <v>0</v>
          </cell>
          <cell r="H117">
            <v>0.20056666666666667</v>
          </cell>
          <cell r="I117">
            <v>0.32570833333333332</v>
          </cell>
          <cell r="J117">
            <v>0.10789833333333335</v>
          </cell>
          <cell r="K117">
            <v>0.48620666666666668</v>
          </cell>
          <cell r="L117">
            <v>1.1161633333333334</v>
          </cell>
          <cell r="M117">
            <v>9.4050000000000002E-3</v>
          </cell>
          <cell r="N117">
            <v>0.10603166666666668</v>
          </cell>
          <cell r="O117">
            <v>6.1403333333333338E-2</v>
          </cell>
          <cell r="P117">
            <v>7.6395000000000005E-2</v>
          </cell>
          <cell r="Q117">
            <v>0.63417333333333337</v>
          </cell>
          <cell r="R117">
            <v>1.8556050000000002</v>
          </cell>
          <cell r="S117">
            <v>0</v>
          </cell>
          <cell r="T117">
            <v>0</v>
          </cell>
          <cell r="U117">
            <v>0</v>
          </cell>
          <cell r="V117">
            <v>2.4897783333333336</v>
          </cell>
        </row>
        <row r="118">
          <cell r="D118" t="str">
            <v>K64V-67120A 0542</v>
          </cell>
          <cell r="E118" t="str">
            <v>K64V67120A</v>
          </cell>
          <cell r="F118">
            <v>64.462429999999998</v>
          </cell>
          <cell r="G118">
            <v>0</v>
          </cell>
          <cell r="H118">
            <v>1.7911666666666666E-2</v>
          </cell>
          <cell r="I118">
            <v>1.0534999999999999E-2</v>
          </cell>
          <cell r="J118">
            <v>0</v>
          </cell>
          <cell r="K118">
            <v>3.6244999999999999E-2</v>
          </cell>
          <cell r="L118">
            <v>0.32063999999999998</v>
          </cell>
          <cell r="M118">
            <v>2.0900000000000003E-3</v>
          </cell>
          <cell r="N118">
            <v>2.8808333333333332E-2</v>
          </cell>
          <cell r="O118">
            <v>1.8695E-2</v>
          </cell>
          <cell r="P118">
            <v>8.4066666666666665E-3</v>
          </cell>
          <cell r="Q118">
            <v>2.8446666666666665E-2</v>
          </cell>
          <cell r="R118">
            <v>0.414885</v>
          </cell>
          <cell r="S118">
            <v>0</v>
          </cell>
          <cell r="T118">
            <v>0</v>
          </cell>
          <cell r="U118">
            <v>0</v>
          </cell>
          <cell r="V118">
            <v>0.44333166666666668</v>
          </cell>
        </row>
        <row r="119">
          <cell r="D119" t="str">
            <v>K64W-67120A 0601</v>
          </cell>
          <cell r="E119" t="str">
            <v>K64W67120A</v>
          </cell>
          <cell r="F119">
            <v>98.3</v>
          </cell>
          <cell r="G119">
            <v>0</v>
          </cell>
          <cell r="H119">
            <v>2.4444999999999998E-2</v>
          </cell>
          <cell r="I119">
            <v>2.2608333333333334E-2</v>
          </cell>
          <cell r="J119">
            <v>0</v>
          </cell>
          <cell r="K119">
            <v>5.0728333333333334E-2</v>
          </cell>
          <cell r="L119">
            <v>0.37383166666666667</v>
          </cell>
          <cell r="M119">
            <v>2.0900000000000003E-3</v>
          </cell>
          <cell r="N119">
            <v>3.1940000000000003E-2</v>
          </cell>
          <cell r="O119">
            <v>2.0413333333333335E-2</v>
          </cell>
          <cell r="P119">
            <v>9.58E-3</v>
          </cell>
          <cell r="Q119">
            <v>4.7053333333333336E-2</v>
          </cell>
          <cell r="R119">
            <v>0.48858333333333331</v>
          </cell>
          <cell r="S119">
            <v>0</v>
          </cell>
          <cell r="T119">
            <v>0</v>
          </cell>
          <cell r="U119">
            <v>0</v>
          </cell>
          <cell r="V119">
            <v>0.53563666666666665</v>
          </cell>
        </row>
        <row r="120">
          <cell r="D120" t="str">
            <v>K65D-67030A 1501</v>
          </cell>
          <cell r="E120" t="str">
            <v>K65D67030A</v>
          </cell>
          <cell r="F120">
            <v>1275.3</v>
          </cell>
          <cell r="G120">
            <v>0</v>
          </cell>
          <cell r="H120">
            <v>0.20812166666666665</v>
          </cell>
          <cell r="I120">
            <v>0.34689166666666671</v>
          </cell>
          <cell r="J120">
            <v>0.11411333333333333</v>
          </cell>
          <cell r="K120">
            <v>0.50545666666666667</v>
          </cell>
          <cell r="L120">
            <v>1.1351516666666666</v>
          </cell>
          <cell r="M120">
            <v>9.4050000000000002E-3</v>
          </cell>
          <cell r="N120">
            <v>0.10733666666666666</v>
          </cell>
          <cell r="O120">
            <v>6.1919999999999996E-2</v>
          </cell>
          <cell r="P120">
            <v>7.8716666666666671E-2</v>
          </cell>
          <cell r="Q120">
            <v>0.66912666666666665</v>
          </cell>
          <cell r="R120">
            <v>1.8979866666666667</v>
          </cell>
          <cell r="S120">
            <v>0</v>
          </cell>
          <cell r="T120">
            <v>0</v>
          </cell>
          <cell r="U120">
            <v>0</v>
          </cell>
          <cell r="V120">
            <v>2.5671133333333334</v>
          </cell>
        </row>
        <row r="121">
          <cell r="D121" t="str">
            <v>K65F-67030A 1501</v>
          </cell>
          <cell r="E121" t="str">
            <v>K65F67030A</v>
          </cell>
          <cell r="F121">
            <v>1329.6</v>
          </cell>
          <cell r="G121">
            <v>0</v>
          </cell>
          <cell r="H121">
            <v>0.21326499999999998</v>
          </cell>
          <cell r="I121">
            <v>0.37914500000000001</v>
          </cell>
          <cell r="J121">
            <v>0.12057999999999999</v>
          </cell>
          <cell r="K121">
            <v>0.51444000000000001</v>
          </cell>
          <cell r="L121">
            <v>1.1493600000000002</v>
          </cell>
          <cell r="M121">
            <v>9.4050000000000002E-3</v>
          </cell>
          <cell r="N121">
            <v>0.108155</v>
          </cell>
          <cell r="O121">
            <v>6.2298333333333331E-2</v>
          </cell>
          <cell r="P121">
            <v>7.8933333333333328E-2</v>
          </cell>
          <cell r="Q121">
            <v>0.71299000000000001</v>
          </cell>
          <cell r="R121">
            <v>1.9225916666666669</v>
          </cell>
          <cell r="S121">
            <v>0</v>
          </cell>
          <cell r="T121">
            <v>0</v>
          </cell>
          <cell r="U121">
            <v>0</v>
          </cell>
          <cell r="V121">
            <v>2.6355816666666669</v>
          </cell>
        </row>
        <row r="122">
          <cell r="D122" t="str">
            <v>K65H-67030A 1501</v>
          </cell>
          <cell r="E122" t="str">
            <v>K65H67030A</v>
          </cell>
          <cell r="F122">
            <v>1234.3</v>
          </cell>
          <cell r="G122">
            <v>0</v>
          </cell>
          <cell r="H122">
            <v>0.20413000000000001</v>
          </cell>
          <cell r="I122">
            <v>0.34098499999999998</v>
          </cell>
          <cell r="J122">
            <v>0.10789833333333335</v>
          </cell>
          <cell r="K122">
            <v>0.49720666666666669</v>
          </cell>
          <cell r="L122">
            <v>1.11853</v>
          </cell>
          <cell r="M122">
            <v>9.4050000000000002E-3</v>
          </cell>
          <cell r="N122">
            <v>0.10627166666666667</v>
          </cell>
          <cell r="O122">
            <v>6.1403333333333338E-2</v>
          </cell>
          <cell r="P122">
            <v>7.6395000000000005E-2</v>
          </cell>
          <cell r="Q122">
            <v>0.65301333333333333</v>
          </cell>
          <cell r="R122">
            <v>1.8692116666666669</v>
          </cell>
          <cell r="S122">
            <v>0</v>
          </cell>
          <cell r="T122">
            <v>0</v>
          </cell>
          <cell r="U122">
            <v>0</v>
          </cell>
          <cell r="V122">
            <v>2.5222250000000002</v>
          </cell>
        </row>
        <row r="123">
          <cell r="D123" t="str">
            <v>K65J-67030A 1411</v>
          </cell>
          <cell r="E123" t="str">
            <v>K65J67030A</v>
          </cell>
          <cell r="F123">
            <v>1163.7550900000001</v>
          </cell>
          <cell r="G123">
            <v>0</v>
          </cell>
          <cell r="H123">
            <v>0.18882666666666664</v>
          </cell>
          <cell r="I123">
            <v>0.26119166666666666</v>
          </cell>
          <cell r="J123">
            <v>8.9290000000000008E-2</v>
          </cell>
          <cell r="K123">
            <v>0.4667</v>
          </cell>
          <cell r="L123">
            <v>1.0835183333333334</v>
          </cell>
          <cell r="M123">
            <v>9.4050000000000002E-3</v>
          </cell>
          <cell r="N123">
            <v>0.10401666666666666</v>
          </cell>
          <cell r="O123">
            <v>5.9728333333333335E-2</v>
          </cell>
          <cell r="P123">
            <v>7.1209999999999996E-2</v>
          </cell>
          <cell r="Q123">
            <v>0.53930833333333328</v>
          </cell>
          <cell r="R123">
            <v>1.7945783333333336</v>
          </cell>
          <cell r="S123">
            <v>0</v>
          </cell>
          <cell r="T123">
            <v>0</v>
          </cell>
          <cell r="U123">
            <v>0</v>
          </cell>
          <cell r="V123">
            <v>2.3338866666666669</v>
          </cell>
        </row>
        <row r="124">
          <cell r="D124" t="str">
            <v>K65K-67030A 1411</v>
          </cell>
          <cell r="E124" t="str">
            <v>K65K67030A</v>
          </cell>
          <cell r="F124">
            <v>1218.12655</v>
          </cell>
          <cell r="G124">
            <v>0</v>
          </cell>
          <cell r="H124">
            <v>0.19397166666666665</v>
          </cell>
          <cell r="I124">
            <v>0.29344500000000001</v>
          </cell>
          <cell r="J124">
            <v>9.575666666666667E-2</v>
          </cell>
          <cell r="K124">
            <v>0.47568333333333335</v>
          </cell>
          <cell r="L124">
            <v>1.0977266666666667</v>
          </cell>
          <cell r="M124">
            <v>9.4050000000000002E-3</v>
          </cell>
          <cell r="N124">
            <v>0.10483666666666666</v>
          </cell>
          <cell r="O124">
            <v>6.0109999999999997E-2</v>
          </cell>
          <cell r="P124">
            <v>7.1428333333333344E-2</v>
          </cell>
          <cell r="Q124">
            <v>0.58317333333333332</v>
          </cell>
          <cell r="R124">
            <v>1.8191900000000003</v>
          </cell>
          <cell r="S124">
            <v>0</v>
          </cell>
          <cell r="T124">
            <v>0</v>
          </cell>
          <cell r="U124">
            <v>0</v>
          </cell>
          <cell r="V124">
            <v>2.4023633333333336</v>
          </cell>
        </row>
        <row r="125">
          <cell r="D125" t="str">
            <v>K65S-67120A 0601</v>
          </cell>
          <cell r="E125" t="str">
            <v>K65S67120A</v>
          </cell>
          <cell r="F125">
            <v>214.6</v>
          </cell>
          <cell r="G125">
            <v>0</v>
          </cell>
          <cell r="H125">
            <v>3.8963333333333336E-2</v>
          </cell>
          <cell r="I125">
            <v>2.2608333333333334E-2</v>
          </cell>
          <cell r="J125">
            <v>0</v>
          </cell>
          <cell r="K125">
            <v>8.9724999999999999E-2</v>
          </cell>
          <cell r="L125">
            <v>0.47266166666666665</v>
          </cell>
          <cell r="M125">
            <v>2.0900000000000003E-3</v>
          </cell>
          <cell r="N125">
            <v>3.7865000000000003E-2</v>
          </cell>
          <cell r="O125">
            <v>2.0431666666666667E-2</v>
          </cell>
          <cell r="P125">
            <v>1.6338333333333333E-2</v>
          </cell>
          <cell r="Q125">
            <v>6.157166666666667E-2</v>
          </cell>
          <cell r="R125">
            <v>0.63911166666666663</v>
          </cell>
          <cell r="S125">
            <v>0</v>
          </cell>
          <cell r="T125">
            <v>0</v>
          </cell>
          <cell r="U125">
            <v>0</v>
          </cell>
          <cell r="V125">
            <v>0.70068333333333332</v>
          </cell>
        </row>
        <row r="126">
          <cell r="D126" t="str">
            <v>K65V-67120A 0601</v>
          </cell>
          <cell r="E126" t="str">
            <v>K65V67120A</v>
          </cell>
          <cell r="F126">
            <v>214.6</v>
          </cell>
          <cell r="G126">
            <v>0</v>
          </cell>
          <cell r="H126">
            <v>3.9655000000000003E-2</v>
          </cell>
          <cell r="I126">
            <v>2.2608333333333334E-2</v>
          </cell>
          <cell r="J126">
            <v>0</v>
          </cell>
          <cell r="K126">
            <v>8.9724999999999999E-2</v>
          </cell>
          <cell r="L126">
            <v>0.49564333333333338</v>
          </cell>
          <cell r="M126">
            <v>2.0900000000000003E-3</v>
          </cell>
          <cell r="N126">
            <v>3.8586666666666665E-2</v>
          </cell>
          <cell r="O126">
            <v>2.1023333333333335E-2</v>
          </cell>
          <cell r="P126">
            <v>1.6833333333333332E-2</v>
          </cell>
          <cell r="Q126">
            <v>6.2263333333333337E-2</v>
          </cell>
          <cell r="R126">
            <v>0.66390166666666672</v>
          </cell>
          <cell r="S126">
            <v>0</v>
          </cell>
          <cell r="T126">
            <v>0</v>
          </cell>
          <cell r="U126">
            <v>0</v>
          </cell>
          <cell r="V126">
            <v>0.72616500000000006</v>
          </cell>
        </row>
        <row r="127">
          <cell r="D127" t="str">
            <v>K66M-67120A 0601</v>
          </cell>
          <cell r="E127" t="str">
            <v>K66M67120A</v>
          </cell>
          <cell r="F127">
            <v>191</v>
          </cell>
          <cell r="G127">
            <v>0</v>
          </cell>
          <cell r="H127">
            <v>3.4388333333333333E-2</v>
          </cell>
          <cell r="I127">
            <v>1.0534999999999999E-2</v>
          </cell>
          <cell r="J127">
            <v>0</v>
          </cell>
          <cell r="K127">
            <v>7.8724999999999989E-2</v>
          </cell>
          <cell r="L127">
            <v>0.43897166666666665</v>
          </cell>
          <cell r="M127">
            <v>2.0900000000000003E-3</v>
          </cell>
          <cell r="N127">
            <v>3.6768333333333333E-2</v>
          </cell>
          <cell r="O127">
            <v>2.2143333333333334E-2</v>
          </cell>
          <cell r="P127">
            <v>1.5748333333333333E-2</v>
          </cell>
          <cell r="Q127">
            <v>4.4923333333333329E-2</v>
          </cell>
          <cell r="R127">
            <v>0.59444666666666668</v>
          </cell>
          <cell r="S127">
            <v>0</v>
          </cell>
          <cell r="T127">
            <v>0</v>
          </cell>
          <cell r="U127">
            <v>0</v>
          </cell>
          <cell r="V127">
            <v>0.63936999999999999</v>
          </cell>
        </row>
        <row r="128">
          <cell r="D128" t="str">
            <v>K66N-67120A 0601</v>
          </cell>
          <cell r="E128" t="str">
            <v>K66N67120A</v>
          </cell>
          <cell r="F128">
            <v>224.7</v>
          </cell>
          <cell r="G128">
            <v>0</v>
          </cell>
          <cell r="H128">
            <v>4.0919999999999998E-2</v>
          </cell>
          <cell r="I128">
            <v>2.2608333333333334E-2</v>
          </cell>
          <cell r="J128">
            <v>0</v>
          </cell>
          <cell r="K128">
            <v>9.3208333333333337E-2</v>
          </cell>
          <cell r="L128">
            <v>0.49527333333333334</v>
          </cell>
          <cell r="M128">
            <v>2.0900000000000003E-3</v>
          </cell>
          <cell r="N128">
            <v>3.9901666666666662E-2</v>
          </cell>
          <cell r="O128">
            <v>2.3863333333333334E-2</v>
          </cell>
          <cell r="P128">
            <v>1.6921666666666668E-2</v>
          </cell>
          <cell r="Q128">
            <v>6.3528333333333326E-2</v>
          </cell>
          <cell r="R128">
            <v>0.67125833333333329</v>
          </cell>
          <cell r="S128">
            <v>0</v>
          </cell>
          <cell r="T128">
            <v>0</v>
          </cell>
          <cell r="U128">
            <v>0</v>
          </cell>
          <cell r="V128">
            <v>0.73478666666666659</v>
          </cell>
        </row>
        <row r="129">
          <cell r="D129" t="str">
            <v>K66R-67120A 0601</v>
          </cell>
          <cell r="E129" t="str">
            <v>K66R67120A</v>
          </cell>
          <cell r="F129">
            <v>224.7</v>
          </cell>
          <cell r="G129">
            <v>0</v>
          </cell>
          <cell r="H129">
            <v>4.1613333333333329E-2</v>
          </cell>
          <cell r="I129">
            <v>2.2608333333333334E-2</v>
          </cell>
          <cell r="J129">
            <v>0</v>
          </cell>
          <cell r="K129">
            <v>9.3208333333333337E-2</v>
          </cell>
          <cell r="L129">
            <v>0.51825500000000002</v>
          </cell>
          <cell r="M129">
            <v>2.0900000000000003E-3</v>
          </cell>
          <cell r="N129">
            <v>4.0625000000000001E-2</v>
          </cell>
          <cell r="O129">
            <v>2.4455000000000001E-2</v>
          </cell>
          <cell r="P129">
            <v>1.7416666666666667E-2</v>
          </cell>
          <cell r="Q129">
            <v>6.4221666666666663E-2</v>
          </cell>
          <cell r="R129">
            <v>0.69605000000000006</v>
          </cell>
          <cell r="S129">
            <v>0</v>
          </cell>
          <cell r="T129">
            <v>0</v>
          </cell>
          <cell r="U129">
            <v>0</v>
          </cell>
          <cell r="V129">
            <v>0.76027166666666668</v>
          </cell>
        </row>
        <row r="130">
          <cell r="D130" t="str">
            <v>KANK-67030 0262</v>
          </cell>
          <cell r="E130" t="str">
            <v>KANK67030</v>
          </cell>
          <cell r="F130">
            <v>1817.0538799999999</v>
          </cell>
          <cell r="G130">
            <v>33.107799999999997</v>
          </cell>
          <cell r="H130">
            <v>0.22635833333333333</v>
          </cell>
          <cell r="I130">
            <v>0.3124366666666667</v>
          </cell>
          <cell r="J130">
            <v>8.8471666666666671E-2</v>
          </cell>
          <cell r="K130">
            <v>0.58724833333333337</v>
          </cell>
          <cell r="L130">
            <v>1.3180400000000001</v>
          </cell>
          <cell r="M130">
            <v>1.5675000000000001E-2</v>
          </cell>
          <cell r="N130">
            <v>0.12729333333333334</v>
          </cell>
          <cell r="O130">
            <v>8.3333333333333329E-2</v>
          </cell>
          <cell r="P130">
            <v>0.10668833333333333</v>
          </cell>
          <cell r="Q130">
            <v>0.62726666666666664</v>
          </cell>
          <cell r="R130">
            <v>2.238278333333334</v>
          </cell>
          <cell r="S130">
            <v>2.5163333333333329E-2</v>
          </cell>
          <cell r="T130">
            <v>0</v>
          </cell>
          <cell r="U130">
            <v>0</v>
          </cell>
          <cell r="V130">
            <v>2.8907083333333343</v>
          </cell>
        </row>
        <row r="131">
          <cell r="D131" t="str">
            <v>KANM-67030 0262</v>
          </cell>
          <cell r="E131" t="str">
            <v>KANM67030</v>
          </cell>
          <cell r="F131">
            <v>1850.7761599999999</v>
          </cell>
          <cell r="G131">
            <v>33.107799999999997</v>
          </cell>
          <cell r="H131">
            <v>0.22946666666666668</v>
          </cell>
          <cell r="I131">
            <v>0.31485333333333337</v>
          </cell>
          <cell r="J131">
            <v>0.10345666666666667</v>
          </cell>
          <cell r="K131">
            <v>0.59228999999999998</v>
          </cell>
          <cell r="L131">
            <v>1.3448599999999999</v>
          </cell>
          <cell r="M131">
            <v>1.5675000000000001E-2</v>
          </cell>
          <cell r="N131">
            <v>0.12961999999999999</v>
          </cell>
          <cell r="O131">
            <v>8.4503333333333333E-2</v>
          </cell>
          <cell r="P131">
            <v>0.11133833333333333</v>
          </cell>
          <cell r="Q131">
            <v>0.64777666666666667</v>
          </cell>
          <cell r="R131">
            <v>2.2782866666666663</v>
          </cell>
          <cell r="S131">
            <v>2.5163333333333329E-2</v>
          </cell>
          <cell r="T131">
            <v>0</v>
          </cell>
          <cell r="U131">
            <v>0</v>
          </cell>
          <cell r="V131">
            <v>2.9512266666666664</v>
          </cell>
        </row>
        <row r="132">
          <cell r="D132" t="str">
            <v>KCLL-67030D 2201</v>
          </cell>
          <cell r="E132" t="str">
            <v>KCLL67030D</v>
          </cell>
          <cell r="F132">
            <v>1241.8</v>
          </cell>
          <cell r="G132">
            <v>0</v>
          </cell>
          <cell r="H132">
            <v>0.19791500000000001</v>
          </cell>
          <cell r="I132">
            <v>0.31677833333333333</v>
          </cell>
          <cell r="J132">
            <v>0.10896</v>
          </cell>
          <cell r="K132">
            <v>0.48185166666666668</v>
          </cell>
          <cell r="L132">
            <v>1.0373333333333334</v>
          </cell>
          <cell r="M132">
            <v>9.4050000000000002E-3</v>
          </cell>
          <cell r="N132">
            <v>0.10125666666666668</v>
          </cell>
          <cell r="O132">
            <v>5.3995000000000001E-2</v>
          </cell>
          <cell r="P132">
            <v>7.2770000000000001E-2</v>
          </cell>
          <cell r="Q132">
            <v>0.62365333333333339</v>
          </cell>
          <cell r="R132">
            <v>1.7566116666666671</v>
          </cell>
          <cell r="S132">
            <v>0</v>
          </cell>
          <cell r="T132">
            <v>0</v>
          </cell>
          <cell r="U132">
            <v>0</v>
          </cell>
          <cell r="V132">
            <v>2.3802650000000005</v>
          </cell>
        </row>
        <row r="133">
          <cell r="D133" t="str">
            <v>KCLL-67120A 0701</v>
          </cell>
          <cell r="E133" t="str">
            <v>KCLL67120A</v>
          </cell>
          <cell r="F133">
            <v>57.306820000000002</v>
          </cell>
          <cell r="G133">
            <v>0</v>
          </cell>
          <cell r="H133">
            <v>1.6691666666666667E-2</v>
          </cell>
          <cell r="I133">
            <v>1.788E-2</v>
          </cell>
          <cell r="J133">
            <v>0</v>
          </cell>
          <cell r="K133">
            <v>3.2761666666666668E-2</v>
          </cell>
          <cell r="L133">
            <v>0.30521333333333334</v>
          </cell>
          <cell r="M133">
            <v>1.0450000000000001E-3</v>
          </cell>
          <cell r="N133">
            <v>2.4931666666666668E-2</v>
          </cell>
          <cell r="O133">
            <v>1.4443333333333334E-2</v>
          </cell>
          <cell r="P133">
            <v>7.6299999999999996E-3</v>
          </cell>
          <cell r="Q133">
            <v>3.4571666666666667E-2</v>
          </cell>
          <cell r="R133">
            <v>0.38602500000000006</v>
          </cell>
          <cell r="S133">
            <v>0</v>
          </cell>
          <cell r="T133">
            <v>0</v>
          </cell>
          <cell r="U133">
            <v>0</v>
          </cell>
          <cell r="V133">
            <v>0.42059666666666673</v>
          </cell>
        </row>
        <row r="134">
          <cell r="D134" t="str">
            <v>KCLL-67240B 1122</v>
          </cell>
          <cell r="E134" t="str">
            <v>KCLL67240B</v>
          </cell>
          <cell r="F134">
            <v>73.865160000000003</v>
          </cell>
          <cell r="G134">
            <v>0</v>
          </cell>
          <cell r="H134">
            <v>1.7303333333333334E-2</v>
          </cell>
          <cell r="I134">
            <v>0</v>
          </cell>
          <cell r="J134">
            <v>0</v>
          </cell>
          <cell r="K134">
            <v>4.4274999999999995E-2</v>
          </cell>
          <cell r="L134">
            <v>0.17913666666666667</v>
          </cell>
          <cell r="M134">
            <v>2.0900000000000003E-3</v>
          </cell>
          <cell r="N134">
            <v>2.5601666666666668E-2</v>
          </cell>
          <cell r="O134">
            <v>1.4245000000000001E-2</v>
          </cell>
          <cell r="P134">
            <v>5.7266666666666672E-3</v>
          </cell>
          <cell r="Q134">
            <v>1.7303333333333334E-2</v>
          </cell>
          <cell r="R134">
            <v>0.27107500000000001</v>
          </cell>
          <cell r="S134">
            <v>0</v>
          </cell>
          <cell r="T134">
            <v>0</v>
          </cell>
          <cell r="U134">
            <v>0</v>
          </cell>
          <cell r="V134">
            <v>0.28837833333333335</v>
          </cell>
        </row>
        <row r="135">
          <cell r="D135" t="str">
            <v>KCLL-67SJ0A 0531</v>
          </cell>
          <cell r="E135" t="str">
            <v>KCLL67SJ0A</v>
          </cell>
          <cell r="F135">
            <v>86.278229999999994</v>
          </cell>
          <cell r="G135">
            <v>0</v>
          </cell>
          <cell r="H135">
            <v>2.5619999999999997E-2</v>
          </cell>
          <cell r="I135">
            <v>0.12197666666666666</v>
          </cell>
          <cell r="J135">
            <v>2.5866666666666666E-2</v>
          </cell>
          <cell r="K135">
            <v>6.4111666666666664E-2</v>
          </cell>
          <cell r="L135">
            <v>6.3646666666666671E-2</v>
          </cell>
          <cell r="M135">
            <v>0</v>
          </cell>
          <cell r="N135">
            <v>1.9564999999999999E-2</v>
          </cell>
          <cell r="O135">
            <v>6.4316666666666671E-3</v>
          </cell>
          <cell r="P135">
            <v>3.0733333333333333E-3</v>
          </cell>
          <cell r="Q135">
            <v>0.17346333333333333</v>
          </cell>
          <cell r="R135">
            <v>0.15682833333333335</v>
          </cell>
          <cell r="S135">
            <v>0</v>
          </cell>
          <cell r="T135">
            <v>0</v>
          </cell>
          <cell r="U135">
            <v>0</v>
          </cell>
          <cell r="V135">
            <v>0.33029166666666665</v>
          </cell>
        </row>
        <row r="136">
          <cell r="D136" t="str">
            <v>KCLM-67030D 2201</v>
          </cell>
          <cell r="E136" t="str">
            <v>KCLM67030D</v>
          </cell>
          <cell r="F136">
            <v>1280.7</v>
          </cell>
          <cell r="G136">
            <v>0</v>
          </cell>
          <cell r="H136">
            <v>0.20063833333333334</v>
          </cell>
          <cell r="I136">
            <v>0.32258999999999999</v>
          </cell>
          <cell r="J136">
            <v>0.10896</v>
          </cell>
          <cell r="K136">
            <v>0.49101833333333328</v>
          </cell>
          <cell r="L136">
            <v>1.02579</v>
          </cell>
          <cell r="M136">
            <v>9.4050000000000002E-3</v>
          </cell>
          <cell r="N136">
            <v>0.10151</v>
          </cell>
          <cell r="O136">
            <v>5.3591666666666669E-2</v>
          </cell>
          <cell r="P136">
            <v>7.2448333333333323E-2</v>
          </cell>
          <cell r="Q136">
            <v>0.63218833333333335</v>
          </cell>
          <cell r="R136">
            <v>1.7537633333333333</v>
          </cell>
          <cell r="S136">
            <v>0</v>
          </cell>
          <cell r="T136">
            <v>0</v>
          </cell>
          <cell r="U136">
            <v>0</v>
          </cell>
          <cell r="V136">
            <v>2.3859516666666667</v>
          </cell>
        </row>
        <row r="137">
          <cell r="D137" t="str">
            <v>KCLM-67120A 0701</v>
          </cell>
          <cell r="E137" t="str">
            <v>KCLM67120A</v>
          </cell>
          <cell r="F137">
            <v>48.7</v>
          </cell>
          <cell r="G137">
            <v>0</v>
          </cell>
          <cell r="H137">
            <v>1.357E-2</v>
          </cell>
          <cell r="I137">
            <v>1.1195E-2</v>
          </cell>
          <cell r="J137">
            <v>0</v>
          </cell>
          <cell r="K137">
            <v>2.7445000000000001E-2</v>
          </cell>
          <cell r="L137">
            <v>0.25542333333333334</v>
          </cell>
          <cell r="M137">
            <v>1.0450000000000001E-3</v>
          </cell>
          <cell r="N137">
            <v>2.2786666666666667E-2</v>
          </cell>
          <cell r="O137">
            <v>1.3300000000000001E-2</v>
          </cell>
          <cell r="P137">
            <v>6.8516666666666674E-3</v>
          </cell>
          <cell r="Q137">
            <v>2.4765000000000002E-2</v>
          </cell>
          <cell r="R137">
            <v>0.32685166666666665</v>
          </cell>
          <cell r="S137">
            <v>0</v>
          </cell>
          <cell r="T137">
            <v>0</v>
          </cell>
          <cell r="U137">
            <v>0</v>
          </cell>
          <cell r="V137">
            <v>0.35161666666666663</v>
          </cell>
        </row>
        <row r="138">
          <cell r="D138" t="str">
            <v>KCLM-67240A 1122</v>
          </cell>
          <cell r="E138" t="str">
            <v>KCLM67240A</v>
          </cell>
          <cell r="F138">
            <v>91.980519999999999</v>
          </cell>
          <cell r="G138">
            <v>0</v>
          </cell>
          <cell r="H138">
            <v>1.7600000000000001E-2</v>
          </cell>
          <cell r="I138">
            <v>0</v>
          </cell>
          <cell r="J138">
            <v>0</v>
          </cell>
          <cell r="K138">
            <v>4.4274999999999995E-2</v>
          </cell>
          <cell r="L138">
            <v>0.18613833333333335</v>
          </cell>
          <cell r="M138">
            <v>2.0900000000000003E-3</v>
          </cell>
          <cell r="N138">
            <v>2.5608333333333334E-2</v>
          </cell>
          <cell r="O138">
            <v>1.4413333333333334E-2</v>
          </cell>
          <cell r="P138">
            <v>5.8433333333333341E-3</v>
          </cell>
          <cell r="Q138">
            <v>1.7600000000000001E-2</v>
          </cell>
          <cell r="R138">
            <v>0.27836833333333333</v>
          </cell>
          <cell r="S138">
            <v>0</v>
          </cell>
          <cell r="T138">
            <v>0</v>
          </cell>
          <cell r="U138">
            <v>0</v>
          </cell>
          <cell r="V138">
            <v>0.29596833333333333</v>
          </cell>
        </row>
        <row r="139">
          <cell r="D139" t="str">
            <v>KCLM-67SJ0A 0801</v>
          </cell>
          <cell r="E139" t="str">
            <v>KCLM67SJ0A</v>
          </cell>
          <cell r="F139">
            <v>86.278229999999994</v>
          </cell>
          <cell r="G139">
            <v>0</v>
          </cell>
          <cell r="H139">
            <v>2.5619999999999997E-2</v>
          </cell>
          <cell r="I139">
            <v>0.12197666666666666</v>
          </cell>
          <cell r="J139">
            <v>2.5866666666666666E-2</v>
          </cell>
          <cell r="K139">
            <v>6.4111666666666664E-2</v>
          </cell>
          <cell r="L139">
            <v>6.7496666666666677E-2</v>
          </cell>
          <cell r="M139">
            <v>0</v>
          </cell>
          <cell r="N139">
            <v>2.0343333333333331E-2</v>
          </cell>
          <cell r="O139">
            <v>7.0800000000000004E-3</v>
          </cell>
          <cell r="P139">
            <v>3.6966666666666667E-3</v>
          </cell>
          <cell r="Q139">
            <v>0.17346333333333333</v>
          </cell>
          <cell r="R139">
            <v>0.16272833333333331</v>
          </cell>
          <cell r="S139">
            <v>0</v>
          </cell>
          <cell r="T139">
            <v>0</v>
          </cell>
          <cell r="U139">
            <v>0</v>
          </cell>
          <cell r="V139">
            <v>0.33619166666666667</v>
          </cell>
        </row>
        <row r="140">
          <cell r="D140" t="str">
            <v>KCLN-67120A 0512</v>
          </cell>
          <cell r="E140" t="str">
            <v>KCLN67120A</v>
          </cell>
          <cell r="F140">
            <v>75.354029999999995</v>
          </cell>
          <cell r="G140">
            <v>0</v>
          </cell>
          <cell r="H140">
            <v>2.0071666666666665E-2</v>
          </cell>
          <cell r="I140">
            <v>2.3141666666666668E-2</v>
          </cell>
          <cell r="J140">
            <v>0</v>
          </cell>
          <cell r="K140">
            <v>4.1928333333333331E-2</v>
          </cell>
          <cell r="L140">
            <v>0.33102500000000001</v>
          </cell>
          <cell r="M140">
            <v>1.0450000000000001E-3</v>
          </cell>
          <cell r="N140">
            <v>2.6528333333333331E-2</v>
          </cell>
          <cell r="O140">
            <v>1.5405E-2</v>
          </cell>
          <cell r="P140">
            <v>8.1966666666666663E-3</v>
          </cell>
          <cell r="Q140">
            <v>4.3213333333333333E-2</v>
          </cell>
          <cell r="R140">
            <v>0.42412833333333338</v>
          </cell>
          <cell r="S140">
            <v>0</v>
          </cell>
          <cell r="T140">
            <v>0</v>
          </cell>
          <cell r="U140">
            <v>0</v>
          </cell>
          <cell r="V140">
            <v>0.46734166666666671</v>
          </cell>
        </row>
        <row r="141">
          <cell r="D141" t="str">
            <v>KCLN-67240A 1112</v>
          </cell>
          <cell r="E141" t="str">
            <v>KCLN67240A</v>
          </cell>
          <cell r="F141">
            <v>64.760670000000005</v>
          </cell>
          <cell r="G141">
            <v>0</v>
          </cell>
          <cell r="H141">
            <v>1.423E-2</v>
          </cell>
          <cell r="I141">
            <v>0</v>
          </cell>
          <cell r="J141">
            <v>0</v>
          </cell>
          <cell r="K141">
            <v>3.5108333333333332E-2</v>
          </cell>
          <cell r="L141">
            <v>0.17061500000000002</v>
          </cell>
          <cell r="M141">
            <v>2.0900000000000003E-3</v>
          </cell>
          <cell r="N141">
            <v>2.3885E-2</v>
          </cell>
          <cell r="O141">
            <v>1.3608333333333333E-2</v>
          </cell>
          <cell r="P141">
            <v>5.2933333333333331E-3</v>
          </cell>
          <cell r="Q141">
            <v>1.423E-2</v>
          </cell>
          <cell r="R141">
            <v>0.25059999999999999</v>
          </cell>
          <cell r="S141">
            <v>0</v>
          </cell>
          <cell r="T141">
            <v>0</v>
          </cell>
          <cell r="U141">
            <v>0</v>
          </cell>
          <cell r="V141">
            <v>0.26483000000000001</v>
          </cell>
        </row>
        <row r="142">
          <cell r="D142" t="str">
            <v>KCLP-67120A 0701</v>
          </cell>
          <cell r="E142" t="str">
            <v>KCLP67120A</v>
          </cell>
          <cell r="F142">
            <v>35</v>
          </cell>
          <cell r="G142">
            <v>0</v>
          </cell>
          <cell r="H142">
            <v>1.1644999999999999E-2</v>
          </cell>
          <cell r="I142">
            <v>5.933333333333333E-3</v>
          </cell>
          <cell r="J142">
            <v>0</v>
          </cell>
          <cell r="K142">
            <v>2.1761666666666669E-2</v>
          </cell>
          <cell r="L142">
            <v>0.25337833333333332</v>
          </cell>
          <cell r="M142">
            <v>1.0450000000000001E-3</v>
          </cell>
          <cell r="N142">
            <v>2.2619999999999998E-2</v>
          </cell>
          <cell r="O142">
            <v>1.3123333333333332E-2</v>
          </cell>
          <cell r="P142">
            <v>6.7299999999999999E-3</v>
          </cell>
          <cell r="Q142">
            <v>1.7578333333333331E-2</v>
          </cell>
          <cell r="R142">
            <v>0.31865833333333332</v>
          </cell>
          <cell r="S142">
            <v>0</v>
          </cell>
          <cell r="T142">
            <v>0</v>
          </cell>
          <cell r="U142">
            <v>0</v>
          </cell>
          <cell r="V142">
            <v>0.33623666666666663</v>
          </cell>
        </row>
        <row r="143">
          <cell r="D143" t="str">
            <v>KCLP-67240A 1122</v>
          </cell>
          <cell r="E143" t="str">
            <v>KCLP67240A</v>
          </cell>
          <cell r="F143">
            <v>67.299679999999995</v>
          </cell>
          <cell r="G143">
            <v>0</v>
          </cell>
          <cell r="H143">
            <v>1.4628333333333333E-2</v>
          </cell>
          <cell r="I143">
            <v>0</v>
          </cell>
          <cell r="J143">
            <v>0</v>
          </cell>
          <cell r="K143">
            <v>3.7033333333333335E-2</v>
          </cell>
          <cell r="L143">
            <v>0.17109833333333332</v>
          </cell>
          <cell r="M143">
            <v>2.0900000000000003E-3</v>
          </cell>
          <cell r="N143">
            <v>2.402E-2</v>
          </cell>
          <cell r="O143">
            <v>1.3678333333333332E-2</v>
          </cell>
          <cell r="P143">
            <v>5.4316666666666671E-3</v>
          </cell>
          <cell r="Q143">
            <v>1.4628333333333333E-2</v>
          </cell>
          <cell r="R143">
            <v>0.25335166666666664</v>
          </cell>
          <cell r="S143">
            <v>0</v>
          </cell>
          <cell r="T143">
            <v>0</v>
          </cell>
          <cell r="U143">
            <v>0</v>
          </cell>
          <cell r="V143">
            <v>0.26798</v>
          </cell>
        </row>
        <row r="144">
          <cell r="D144" t="str">
            <v>KCLR-67240A 1122</v>
          </cell>
          <cell r="E144" t="str">
            <v>KCLR67240A</v>
          </cell>
          <cell r="F144">
            <v>78.242239999999995</v>
          </cell>
          <cell r="G144">
            <v>0</v>
          </cell>
          <cell r="H144">
            <v>1.687E-2</v>
          </cell>
          <cell r="I144">
            <v>0</v>
          </cell>
          <cell r="J144">
            <v>0</v>
          </cell>
          <cell r="K144">
            <v>4.2258333333333328E-2</v>
          </cell>
          <cell r="L144">
            <v>0.18671499999999999</v>
          </cell>
          <cell r="M144">
            <v>2.0900000000000003E-3</v>
          </cell>
          <cell r="N144">
            <v>2.5528333333333333E-2</v>
          </cell>
          <cell r="O144">
            <v>1.4383333333333333E-2</v>
          </cell>
          <cell r="P144">
            <v>5.8216666666666668E-3</v>
          </cell>
          <cell r="Q144">
            <v>1.687E-2</v>
          </cell>
          <cell r="R144">
            <v>0.27679666666666669</v>
          </cell>
          <cell r="S144">
            <v>0</v>
          </cell>
          <cell r="T144">
            <v>0</v>
          </cell>
          <cell r="U144">
            <v>0</v>
          </cell>
          <cell r="V144">
            <v>0.29366666666666669</v>
          </cell>
        </row>
        <row r="145">
          <cell r="D145" t="str">
            <v>KCLS-67120A 0701</v>
          </cell>
          <cell r="E145" t="str">
            <v>KCLS67120A</v>
          </cell>
          <cell r="F145">
            <v>53.1</v>
          </cell>
          <cell r="G145">
            <v>0</v>
          </cell>
          <cell r="H145">
            <v>1.5015000000000001E-2</v>
          </cell>
          <cell r="I145">
            <v>1.1195E-2</v>
          </cell>
          <cell r="J145">
            <v>0</v>
          </cell>
          <cell r="K145">
            <v>3.0928333333333332E-2</v>
          </cell>
          <cell r="L145">
            <v>0.27405833333333335</v>
          </cell>
          <cell r="M145">
            <v>1.0450000000000001E-3</v>
          </cell>
          <cell r="N145">
            <v>2.4218333333333335E-2</v>
          </cell>
          <cell r="O145">
            <v>1.4084999999999999E-2</v>
          </cell>
          <cell r="P145">
            <v>7.2966666666666674E-3</v>
          </cell>
          <cell r="Q145">
            <v>2.6210000000000001E-2</v>
          </cell>
          <cell r="R145">
            <v>0.35163166666666673</v>
          </cell>
          <cell r="S145">
            <v>0</v>
          </cell>
          <cell r="T145">
            <v>0</v>
          </cell>
          <cell r="U145">
            <v>0</v>
          </cell>
          <cell r="V145">
            <v>0.37784166666666674</v>
          </cell>
        </row>
        <row r="146">
          <cell r="D146" t="str">
            <v>KCLS-67240A 1122</v>
          </cell>
          <cell r="E146" t="str">
            <v>KCLS67240A</v>
          </cell>
          <cell r="F146">
            <v>85.93723</v>
          </cell>
          <cell r="G146">
            <v>0</v>
          </cell>
          <cell r="H146">
            <v>1.5666666666666666E-2</v>
          </cell>
          <cell r="I146">
            <v>0</v>
          </cell>
          <cell r="J146">
            <v>0</v>
          </cell>
          <cell r="K146">
            <v>3.8774999999999997E-2</v>
          </cell>
          <cell r="L146">
            <v>0.17411166666666666</v>
          </cell>
          <cell r="M146">
            <v>2.0900000000000003E-3</v>
          </cell>
          <cell r="N146">
            <v>2.4709999999999999E-2</v>
          </cell>
          <cell r="O146">
            <v>1.4071666666666668E-2</v>
          </cell>
          <cell r="P146">
            <v>5.6100000000000004E-3</v>
          </cell>
          <cell r="Q146">
            <v>1.5666666666666666E-2</v>
          </cell>
          <cell r="R146">
            <v>0.25936833333333337</v>
          </cell>
          <cell r="S146">
            <v>0</v>
          </cell>
          <cell r="T146">
            <v>0</v>
          </cell>
          <cell r="U146">
            <v>0</v>
          </cell>
          <cell r="V146">
            <v>0.27503500000000003</v>
          </cell>
        </row>
        <row r="147">
          <cell r="D147" t="str">
            <v>KCLT-67030D 2201</v>
          </cell>
          <cell r="E147" t="str">
            <v>KCLT67030D</v>
          </cell>
          <cell r="F147">
            <v>1335.7</v>
          </cell>
          <cell r="G147">
            <v>0</v>
          </cell>
          <cell r="H147">
            <v>0.20660833333333334</v>
          </cell>
          <cell r="I147">
            <v>0.35474833333333333</v>
          </cell>
          <cell r="J147">
            <v>0.11542666666666666</v>
          </cell>
          <cell r="K147">
            <v>0.50000166666666668</v>
          </cell>
          <cell r="L147">
            <v>1.0674383333333333</v>
          </cell>
          <cell r="M147">
            <v>9.4050000000000002E-3</v>
          </cell>
          <cell r="N147">
            <v>0.10305833333333334</v>
          </cell>
          <cell r="O147">
            <v>5.4856666666666665E-2</v>
          </cell>
          <cell r="P147">
            <v>7.5286666666666668E-2</v>
          </cell>
          <cell r="Q147">
            <v>0.6767833333333334</v>
          </cell>
          <cell r="R147">
            <v>1.8100466666666668</v>
          </cell>
          <cell r="S147">
            <v>0</v>
          </cell>
          <cell r="T147">
            <v>0</v>
          </cell>
          <cell r="U147">
            <v>0</v>
          </cell>
          <cell r="V147">
            <v>2.4868300000000003</v>
          </cell>
        </row>
        <row r="148">
          <cell r="D148" t="str">
            <v>KCLT-67120A 0701</v>
          </cell>
          <cell r="E148" t="str">
            <v>KCLT67120A</v>
          </cell>
          <cell r="F148">
            <v>79.7</v>
          </cell>
          <cell r="G148">
            <v>0</v>
          </cell>
          <cell r="H148">
            <v>2.1503333333333333E-2</v>
          </cell>
          <cell r="I148">
            <v>2.3141666666666668E-2</v>
          </cell>
          <cell r="J148">
            <v>0</v>
          </cell>
          <cell r="K148">
            <v>4.5411666666666663E-2</v>
          </cell>
          <cell r="L148">
            <v>0.3445266666666667</v>
          </cell>
          <cell r="M148">
            <v>1.0450000000000001E-3</v>
          </cell>
          <cell r="N148">
            <v>2.7959999999999999E-2</v>
          </cell>
          <cell r="O148">
            <v>1.619E-2</v>
          </cell>
          <cell r="P148">
            <v>8.6400000000000001E-3</v>
          </cell>
          <cell r="Q148">
            <v>4.4645000000000004E-2</v>
          </cell>
          <cell r="R148">
            <v>0.44377333333333335</v>
          </cell>
          <cell r="S148">
            <v>0</v>
          </cell>
          <cell r="T148">
            <v>0</v>
          </cell>
          <cell r="U148">
            <v>0</v>
          </cell>
          <cell r="V148">
            <v>0.48841833333333334</v>
          </cell>
        </row>
        <row r="149">
          <cell r="D149" t="str">
            <v>KCLT-67240A 1122</v>
          </cell>
          <cell r="E149" t="str">
            <v>KCLT67240A</v>
          </cell>
          <cell r="F149">
            <v>70.464269999999999</v>
          </cell>
          <cell r="G149">
            <v>0</v>
          </cell>
          <cell r="H149">
            <v>1.5650000000000001E-2</v>
          </cell>
          <cell r="I149">
            <v>0</v>
          </cell>
          <cell r="J149">
            <v>0</v>
          </cell>
          <cell r="K149">
            <v>3.8774999999999997E-2</v>
          </cell>
          <cell r="L149">
            <v>0.17445833333333333</v>
          </cell>
          <cell r="M149">
            <v>2.0900000000000003E-3</v>
          </cell>
          <cell r="N149">
            <v>2.4704999999999998E-2</v>
          </cell>
          <cell r="O149">
            <v>1.3958333333333333E-2</v>
          </cell>
          <cell r="P149">
            <v>5.5316666666666665E-3</v>
          </cell>
          <cell r="Q149">
            <v>1.5650000000000001E-2</v>
          </cell>
          <cell r="R149">
            <v>0.25951833333333335</v>
          </cell>
          <cell r="S149">
            <v>0</v>
          </cell>
          <cell r="T149">
            <v>0</v>
          </cell>
          <cell r="U149">
            <v>0</v>
          </cell>
          <cell r="V149">
            <v>0.27516833333333335</v>
          </cell>
        </row>
        <row r="150">
          <cell r="D150" t="str">
            <v>KCLV-67240 1122</v>
          </cell>
          <cell r="E150" t="str">
            <v>KCLV67240</v>
          </cell>
          <cell r="F150">
            <v>62.922600000000003</v>
          </cell>
          <cell r="G150">
            <v>0</v>
          </cell>
          <cell r="H150">
            <v>1.5061666666666666E-2</v>
          </cell>
          <cell r="I150">
            <v>0</v>
          </cell>
          <cell r="J150">
            <v>0</v>
          </cell>
          <cell r="K150">
            <v>3.9050000000000001E-2</v>
          </cell>
          <cell r="L150">
            <v>0.16837833333333335</v>
          </cell>
          <cell r="M150">
            <v>2.0900000000000003E-3</v>
          </cell>
          <cell r="N150">
            <v>2.4094999999999998E-2</v>
          </cell>
          <cell r="O150">
            <v>1.3541666666666667E-2</v>
          </cell>
          <cell r="P150">
            <v>5.338333333333333E-3</v>
          </cell>
          <cell r="Q150">
            <v>1.5061666666666666E-2</v>
          </cell>
          <cell r="R150">
            <v>0.25249333333333335</v>
          </cell>
          <cell r="S150">
            <v>0</v>
          </cell>
          <cell r="T150">
            <v>0</v>
          </cell>
          <cell r="U150">
            <v>0</v>
          </cell>
          <cell r="V150">
            <v>0.26755499999999999</v>
          </cell>
        </row>
        <row r="151">
          <cell r="D151" t="str">
            <v>KCLW-67030D 2201</v>
          </cell>
          <cell r="E151" t="str">
            <v>KCLW67030D</v>
          </cell>
          <cell r="F151">
            <v>1263</v>
          </cell>
          <cell r="G151">
            <v>0</v>
          </cell>
          <cell r="H151">
            <v>0.20163666666666666</v>
          </cell>
          <cell r="I151">
            <v>0.33335166666666666</v>
          </cell>
          <cell r="J151">
            <v>0.10896</v>
          </cell>
          <cell r="K151">
            <v>0.49285166666666669</v>
          </cell>
          <cell r="L151">
            <v>1.0402383333333334</v>
          </cell>
          <cell r="M151">
            <v>9.4050000000000002E-3</v>
          </cell>
          <cell r="N151">
            <v>0.10149666666666667</v>
          </cell>
          <cell r="O151">
            <v>5.3995000000000001E-2</v>
          </cell>
          <cell r="P151">
            <v>7.2770000000000001E-2</v>
          </cell>
          <cell r="Q151">
            <v>0.64394833333333334</v>
          </cell>
          <cell r="R151">
            <v>1.7707566666666668</v>
          </cell>
          <cell r="S151">
            <v>0</v>
          </cell>
          <cell r="T151">
            <v>0</v>
          </cell>
          <cell r="U151">
            <v>0</v>
          </cell>
          <cell r="V151">
            <v>2.4147050000000001</v>
          </cell>
        </row>
        <row r="152">
          <cell r="D152" t="str">
            <v>KCMA-67030D 2201</v>
          </cell>
          <cell r="E152" t="str">
            <v>KCMA67030D</v>
          </cell>
          <cell r="F152">
            <v>1301.9000000000001</v>
          </cell>
          <cell r="G152">
            <v>0</v>
          </cell>
          <cell r="H152">
            <v>0.20435999999999999</v>
          </cell>
          <cell r="I152">
            <v>0.33916333333333332</v>
          </cell>
          <cell r="J152">
            <v>0.10896</v>
          </cell>
          <cell r="K152">
            <v>0.50201833333333334</v>
          </cell>
          <cell r="L152">
            <v>1.0286933333333335</v>
          </cell>
          <cell r="M152">
            <v>9.4050000000000002E-3</v>
          </cell>
          <cell r="N152">
            <v>0.10175000000000001</v>
          </cell>
          <cell r="O152">
            <v>5.3591666666666669E-2</v>
          </cell>
          <cell r="P152">
            <v>7.2448333333333323E-2</v>
          </cell>
          <cell r="Q152">
            <v>0.6524833333333333</v>
          </cell>
          <cell r="R152">
            <v>1.767906666666667</v>
          </cell>
          <cell r="S152">
            <v>0</v>
          </cell>
          <cell r="T152">
            <v>0</v>
          </cell>
          <cell r="U152">
            <v>0</v>
          </cell>
          <cell r="V152">
            <v>2.4203900000000003</v>
          </cell>
        </row>
        <row r="153">
          <cell r="D153" t="str">
            <v>KCMC-67120A 0512</v>
          </cell>
          <cell r="E153" t="str">
            <v>KCMC67120A</v>
          </cell>
          <cell r="F153">
            <v>46.963720000000002</v>
          </cell>
          <cell r="G153">
            <v>0</v>
          </cell>
          <cell r="H153">
            <v>1.4088333333333335E-2</v>
          </cell>
          <cell r="I153">
            <v>5.933333333333333E-3</v>
          </cell>
          <cell r="J153">
            <v>0</v>
          </cell>
          <cell r="K153">
            <v>2.7078333333333333E-2</v>
          </cell>
          <cell r="L153">
            <v>0.28314666666666671</v>
          </cell>
          <cell r="M153">
            <v>2.0900000000000003E-3</v>
          </cell>
          <cell r="N153">
            <v>2.6591666666666666E-2</v>
          </cell>
          <cell r="O153">
            <v>1.7103333333333335E-2</v>
          </cell>
          <cell r="P153">
            <v>7.5016666666666669E-3</v>
          </cell>
          <cell r="Q153">
            <v>2.0021666666666667E-2</v>
          </cell>
          <cell r="R153">
            <v>0.36351166666666673</v>
          </cell>
          <cell r="S153">
            <v>0</v>
          </cell>
          <cell r="T153">
            <v>0</v>
          </cell>
          <cell r="U153">
            <v>0</v>
          </cell>
          <cell r="V153">
            <v>0.38353333333333339</v>
          </cell>
        </row>
        <row r="154">
          <cell r="D154" t="str">
            <v>KCMD-67120A 0512</v>
          </cell>
          <cell r="E154" t="str">
            <v>KCMD67120A</v>
          </cell>
          <cell r="F154">
            <v>73.636129999999994</v>
          </cell>
          <cell r="G154">
            <v>0</v>
          </cell>
          <cell r="H154">
            <v>2.0579999999999998E-2</v>
          </cell>
          <cell r="I154">
            <v>1.788E-2</v>
          </cell>
          <cell r="J154">
            <v>0</v>
          </cell>
          <cell r="K154">
            <v>4.156166666666667E-2</v>
          </cell>
          <cell r="L154">
            <v>0.35539833333333332</v>
          </cell>
          <cell r="M154">
            <v>2.0900000000000003E-3</v>
          </cell>
          <cell r="N154">
            <v>3.0333333333333334E-2</v>
          </cell>
          <cell r="O154">
            <v>1.9208333333333334E-2</v>
          </cell>
          <cell r="P154">
            <v>8.8466666666666676E-3</v>
          </cell>
          <cell r="Q154">
            <v>3.8459999999999994E-2</v>
          </cell>
          <cell r="R154">
            <v>0.45743833333333328</v>
          </cell>
          <cell r="S154">
            <v>0</v>
          </cell>
          <cell r="T154">
            <v>0</v>
          </cell>
          <cell r="U154">
            <v>0</v>
          </cell>
          <cell r="V154">
            <v>0.49589833333333327</v>
          </cell>
        </row>
        <row r="155">
          <cell r="D155" t="str">
            <v>KCME-67030D 2201</v>
          </cell>
          <cell r="E155" t="str">
            <v>KCME67030D</v>
          </cell>
          <cell r="F155">
            <v>1356.9</v>
          </cell>
          <cell r="G155">
            <v>0</v>
          </cell>
          <cell r="H155">
            <v>0.20963000000000001</v>
          </cell>
          <cell r="I155">
            <v>0.37132166666666666</v>
          </cell>
          <cell r="J155">
            <v>0.11542666666666666</v>
          </cell>
          <cell r="K155">
            <v>0.51100166666666669</v>
          </cell>
          <cell r="L155">
            <v>1.0407199999999999</v>
          </cell>
          <cell r="M155">
            <v>9.4050000000000002E-3</v>
          </cell>
          <cell r="N155">
            <v>0.10257166666666667</v>
          </cell>
          <cell r="O155">
            <v>5.4054999999999999E-2</v>
          </cell>
          <cell r="P155">
            <v>7.2719999999999993E-2</v>
          </cell>
          <cell r="Q155">
            <v>0.69637833333333332</v>
          </cell>
          <cell r="R155">
            <v>1.7904733333333331</v>
          </cell>
          <cell r="S155">
            <v>0</v>
          </cell>
          <cell r="T155">
            <v>0</v>
          </cell>
          <cell r="U155">
            <v>0</v>
          </cell>
          <cell r="V155">
            <v>2.4868516666666665</v>
          </cell>
        </row>
        <row r="156">
          <cell r="D156" t="str">
            <v>KCME-67120A 0701</v>
          </cell>
          <cell r="E156" t="str">
            <v>KCME67120A</v>
          </cell>
          <cell r="F156">
            <v>65</v>
          </cell>
          <cell r="G156">
            <v>0</v>
          </cell>
          <cell r="H156">
            <v>1.7444999999999999E-2</v>
          </cell>
          <cell r="I156">
            <v>1.1195E-2</v>
          </cell>
          <cell r="J156">
            <v>0</v>
          </cell>
          <cell r="K156">
            <v>3.6244999999999999E-2</v>
          </cell>
          <cell r="L156">
            <v>0.30047666666666667</v>
          </cell>
          <cell r="M156">
            <v>2.0900000000000003E-3</v>
          </cell>
          <cell r="N156">
            <v>2.8188333333333333E-2</v>
          </cell>
          <cell r="O156">
            <v>1.8065000000000001E-2</v>
          </cell>
          <cell r="P156">
            <v>8.0683333333333336E-3</v>
          </cell>
          <cell r="Q156">
            <v>2.8639999999999999E-2</v>
          </cell>
          <cell r="R156">
            <v>0.39313333333333333</v>
          </cell>
          <cell r="S156">
            <v>0</v>
          </cell>
          <cell r="T156">
            <v>0</v>
          </cell>
          <cell r="U156">
            <v>0</v>
          </cell>
          <cell r="V156">
            <v>0.42177333333333333</v>
          </cell>
        </row>
        <row r="157">
          <cell r="D157" t="str">
            <v>KCMF-67030D 2201</v>
          </cell>
          <cell r="E157" t="str">
            <v>KCMF67030D</v>
          </cell>
          <cell r="F157">
            <v>1356.9</v>
          </cell>
          <cell r="G157">
            <v>0</v>
          </cell>
          <cell r="H157">
            <v>0.21032999999999999</v>
          </cell>
          <cell r="I157">
            <v>0.37132166666666666</v>
          </cell>
          <cell r="J157">
            <v>0.11542666666666666</v>
          </cell>
          <cell r="K157">
            <v>0.51100166666666669</v>
          </cell>
          <cell r="L157">
            <v>1.0703416666666667</v>
          </cell>
          <cell r="M157">
            <v>9.4050000000000002E-3</v>
          </cell>
          <cell r="N157">
            <v>0.10329833333333333</v>
          </cell>
          <cell r="O157">
            <v>5.4856666666666665E-2</v>
          </cell>
          <cell r="P157">
            <v>7.5286666666666668E-2</v>
          </cell>
          <cell r="Q157">
            <v>0.69707833333333336</v>
          </cell>
          <cell r="R157">
            <v>1.82419</v>
          </cell>
          <cell r="S157">
            <v>0</v>
          </cell>
          <cell r="T157">
            <v>0</v>
          </cell>
          <cell r="U157">
            <v>0</v>
          </cell>
          <cell r="V157">
            <v>2.5212683333333334</v>
          </cell>
        </row>
        <row r="158">
          <cell r="D158" t="str">
            <v>KCMF-67120A 0701</v>
          </cell>
          <cell r="E158" t="str">
            <v>KCMF67120A</v>
          </cell>
          <cell r="F158">
            <v>91.7</v>
          </cell>
          <cell r="G158">
            <v>0</v>
          </cell>
          <cell r="H158">
            <v>2.3938333333333332E-2</v>
          </cell>
          <cell r="I158">
            <v>2.3141666666666668E-2</v>
          </cell>
          <cell r="J158">
            <v>0</v>
          </cell>
          <cell r="K158">
            <v>5.0728333333333334E-2</v>
          </cell>
          <cell r="L158">
            <v>0.37094666666666665</v>
          </cell>
          <cell r="M158">
            <v>2.0900000000000003E-3</v>
          </cell>
          <cell r="N158">
            <v>3.193E-2</v>
          </cell>
          <cell r="O158">
            <v>2.017E-2</v>
          </cell>
          <cell r="P158">
            <v>9.4133333333333326E-3</v>
          </cell>
          <cell r="Q158">
            <v>4.7079999999999997E-2</v>
          </cell>
          <cell r="R158">
            <v>0.48527833333333331</v>
          </cell>
          <cell r="S158">
            <v>0</v>
          </cell>
          <cell r="T158">
            <v>0</v>
          </cell>
          <cell r="U158">
            <v>0</v>
          </cell>
          <cell r="V158">
            <v>0.53235833333333327</v>
          </cell>
        </row>
        <row r="159">
          <cell r="D159" t="str">
            <v>KCMG-67030C 1501</v>
          </cell>
          <cell r="E159" t="str">
            <v>KCMG67030C</v>
          </cell>
          <cell r="F159">
            <v>1136.4000000000001</v>
          </cell>
          <cell r="G159">
            <v>0</v>
          </cell>
          <cell r="H159">
            <v>0.18074666666666667</v>
          </cell>
          <cell r="I159">
            <v>0.24591499999999999</v>
          </cell>
          <cell r="J159">
            <v>7.2929999999999995E-2</v>
          </cell>
          <cell r="K159">
            <v>0.45439833333333335</v>
          </cell>
          <cell r="L159">
            <v>1.00095</v>
          </cell>
          <cell r="M159">
            <v>9.4050000000000002E-3</v>
          </cell>
          <cell r="N159">
            <v>9.9341666666666661E-2</v>
          </cell>
          <cell r="O159">
            <v>5.1984999999999996E-2</v>
          </cell>
          <cell r="P159">
            <v>6.5259999999999999E-2</v>
          </cell>
          <cell r="Q159">
            <v>0.49959166666666666</v>
          </cell>
          <cell r="R159">
            <v>1.6813400000000001</v>
          </cell>
          <cell r="S159">
            <v>0</v>
          </cell>
          <cell r="T159">
            <v>0</v>
          </cell>
          <cell r="U159">
            <v>0</v>
          </cell>
          <cell r="V159">
            <v>2.1809316666666669</v>
          </cell>
        </row>
        <row r="160">
          <cell r="D160" t="str">
            <v>KCMG-67120A 0512</v>
          </cell>
          <cell r="E160" t="str">
            <v>KCMG67120A</v>
          </cell>
          <cell r="F160">
            <v>30.631329999999998</v>
          </cell>
          <cell r="G160">
            <v>0</v>
          </cell>
          <cell r="H160">
            <v>9.9600000000000001E-3</v>
          </cell>
          <cell r="I160">
            <v>5.933333333333333E-3</v>
          </cell>
          <cell r="J160">
            <v>0</v>
          </cell>
          <cell r="K160">
            <v>1.6500000000000001E-2</v>
          </cell>
          <cell r="L160">
            <v>0.20650666666666667</v>
          </cell>
          <cell r="M160">
            <v>1.0450000000000001E-3</v>
          </cell>
          <cell r="N160">
            <v>1.8705000000000003E-2</v>
          </cell>
          <cell r="O160">
            <v>1.0863333333333334E-2</v>
          </cell>
          <cell r="P160">
            <v>5.5533333333333329E-3</v>
          </cell>
          <cell r="Q160">
            <v>1.5893333333333332E-2</v>
          </cell>
          <cell r="R160">
            <v>0.25917333333333337</v>
          </cell>
          <cell r="S160">
            <v>0</v>
          </cell>
          <cell r="T160">
            <v>0</v>
          </cell>
          <cell r="U160">
            <v>0</v>
          </cell>
          <cell r="V160">
            <v>0.27506666666666668</v>
          </cell>
        </row>
        <row r="161">
          <cell r="D161" t="str">
            <v>KCMJ-67030C 1501</v>
          </cell>
          <cell r="E161" t="str">
            <v>KCMJ67030C</v>
          </cell>
          <cell r="F161">
            <v>1190.8</v>
          </cell>
          <cell r="G161">
            <v>0</v>
          </cell>
          <cell r="H161">
            <v>0.18612333333333334</v>
          </cell>
          <cell r="I161">
            <v>0.27816833333333335</v>
          </cell>
          <cell r="J161">
            <v>7.9396666666666657E-2</v>
          </cell>
          <cell r="K161">
            <v>0.46338166666666669</v>
          </cell>
          <cell r="L161">
            <v>1.0277350000000001</v>
          </cell>
          <cell r="M161">
            <v>9.4050000000000002E-3</v>
          </cell>
          <cell r="N161">
            <v>0.10077</v>
          </cell>
          <cell r="O161">
            <v>5.2814999999999994E-2</v>
          </cell>
          <cell r="P161">
            <v>6.5686666666666657E-2</v>
          </cell>
          <cell r="Q161">
            <v>0.54368833333333333</v>
          </cell>
          <cell r="R161">
            <v>1.7197933333333335</v>
          </cell>
          <cell r="S161">
            <v>0</v>
          </cell>
          <cell r="T161">
            <v>0</v>
          </cell>
          <cell r="U161">
            <v>0</v>
          </cell>
          <cell r="V161">
            <v>2.2634816666666668</v>
          </cell>
        </row>
        <row r="162">
          <cell r="D162" t="str">
            <v>KCMJ-67120A 0701</v>
          </cell>
          <cell r="E162" t="str">
            <v>KCMJ67120A</v>
          </cell>
          <cell r="F162">
            <v>48.7</v>
          </cell>
          <cell r="G162">
            <v>0</v>
          </cell>
          <cell r="H162">
            <v>1.357E-2</v>
          </cell>
          <cell r="I162">
            <v>1.1195E-2</v>
          </cell>
          <cell r="J162">
            <v>0</v>
          </cell>
          <cell r="K162">
            <v>2.7445000000000001E-2</v>
          </cell>
          <cell r="L162">
            <v>0.25137833333333337</v>
          </cell>
          <cell r="M162">
            <v>1.0450000000000001E-3</v>
          </cell>
          <cell r="N162">
            <v>2.2786666666666667E-2</v>
          </cell>
          <cell r="O162">
            <v>1.3300000000000001E-2</v>
          </cell>
          <cell r="P162">
            <v>6.8516666666666674E-3</v>
          </cell>
          <cell r="Q162">
            <v>2.4765000000000002E-2</v>
          </cell>
          <cell r="R162">
            <v>0.32280666666666669</v>
          </cell>
          <cell r="S162">
            <v>0</v>
          </cell>
          <cell r="T162">
            <v>0</v>
          </cell>
          <cell r="U162">
            <v>0</v>
          </cell>
          <cell r="V162">
            <v>0.34757166666666667</v>
          </cell>
        </row>
        <row r="163">
          <cell r="D163" t="str">
            <v>KCML-67030C 1501</v>
          </cell>
          <cell r="E163" t="str">
            <v>KCML67030C</v>
          </cell>
          <cell r="F163">
            <v>1151.8</v>
          </cell>
          <cell r="G163">
            <v>0</v>
          </cell>
          <cell r="H163">
            <v>0.18431166666666668</v>
          </cell>
          <cell r="I163">
            <v>0.26119166666666666</v>
          </cell>
          <cell r="J163">
            <v>7.2929999999999995E-2</v>
          </cell>
          <cell r="K163">
            <v>0.4653983333333333</v>
          </cell>
          <cell r="L163">
            <v>1.0033166666666666</v>
          </cell>
          <cell r="M163">
            <v>9.4050000000000002E-3</v>
          </cell>
          <cell r="N163">
            <v>9.9581666666666666E-2</v>
          </cell>
          <cell r="O163">
            <v>5.1984999999999996E-2</v>
          </cell>
          <cell r="P163">
            <v>6.5259999999999999E-2</v>
          </cell>
          <cell r="Q163">
            <v>0.5184333333333333</v>
          </cell>
          <cell r="R163">
            <v>1.6949466666666668</v>
          </cell>
          <cell r="S163">
            <v>0</v>
          </cell>
          <cell r="T163">
            <v>0</v>
          </cell>
          <cell r="U163">
            <v>0</v>
          </cell>
          <cell r="V163">
            <v>2.2133799999999999</v>
          </cell>
        </row>
        <row r="164">
          <cell r="D164" t="str">
            <v>KCML-67120A 0701</v>
          </cell>
          <cell r="E164" t="str">
            <v>KCML67120A</v>
          </cell>
          <cell r="F164">
            <v>35</v>
          </cell>
          <cell r="G164">
            <v>0</v>
          </cell>
          <cell r="H164">
            <v>1.1644999999999999E-2</v>
          </cell>
          <cell r="I164">
            <v>5.933333333333333E-3</v>
          </cell>
          <cell r="J164">
            <v>0</v>
          </cell>
          <cell r="K164">
            <v>2.1761666666666669E-2</v>
          </cell>
          <cell r="L164">
            <v>0.24933333333333335</v>
          </cell>
          <cell r="M164">
            <v>1.0450000000000001E-3</v>
          </cell>
          <cell r="N164">
            <v>2.2619999999999998E-2</v>
          </cell>
          <cell r="O164">
            <v>1.3123333333333332E-2</v>
          </cell>
          <cell r="P164">
            <v>6.7299999999999999E-3</v>
          </cell>
          <cell r="Q164">
            <v>1.7578333333333331E-2</v>
          </cell>
          <cell r="R164">
            <v>0.31461333333333336</v>
          </cell>
          <cell r="S164">
            <v>0</v>
          </cell>
          <cell r="T164">
            <v>0</v>
          </cell>
          <cell r="U164">
            <v>0</v>
          </cell>
          <cell r="V164">
            <v>0.33219166666666666</v>
          </cell>
        </row>
        <row r="165">
          <cell r="D165" t="str">
            <v>KCMM-67030C 1402</v>
          </cell>
          <cell r="E165" t="str">
            <v>KCMM67030C</v>
          </cell>
          <cell r="F165">
            <v>1162.97828</v>
          </cell>
          <cell r="G165">
            <v>0</v>
          </cell>
          <cell r="H165">
            <v>0.186165</v>
          </cell>
          <cell r="I165">
            <v>0.28753833333333334</v>
          </cell>
          <cell r="J165">
            <v>7.9396666666666657E-2</v>
          </cell>
          <cell r="K165">
            <v>0.46147500000000002</v>
          </cell>
          <cell r="L165">
            <v>1.0101133333333334</v>
          </cell>
          <cell r="M165">
            <v>9.4050000000000002E-3</v>
          </cell>
          <cell r="N165">
            <v>0.10002666666666667</v>
          </cell>
          <cell r="O165">
            <v>5.2303333333333334E-2</v>
          </cell>
          <cell r="P165">
            <v>6.3364999999999991E-2</v>
          </cell>
          <cell r="Q165">
            <v>0.55310000000000004</v>
          </cell>
          <cell r="R165">
            <v>1.6966883333333336</v>
          </cell>
          <cell r="S165">
            <v>0</v>
          </cell>
          <cell r="T165">
            <v>0</v>
          </cell>
          <cell r="U165">
            <v>0</v>
          </cell>
          <cell r="V165">
            <v>2.2497883333333335</v>
          </cell>
        </row>
        <row r="166">
          <cell r="D166" t="str">
            <v>KCMN-67030C 1501</v>
          </cell>
          <cell r="E166" t="str">
            <v>KCMN67030C</v>
          </cell>
          <cell r="F166">
            <v>1206.0999999999999</v>
          </cell>
          <cell r="G166">
            <v>0</v>
          </cell>
          <cell r="H166">
            <v>0.18968666666666667</v>
          </cell>
          <cell r="I166">
            <v>0.29344500000000001</v>
          </cell>
          <cell r="J166">
            <v>7.9396666666666657E-2</v>
          </cell>
          <cell r="K166">
            <v>0.4743816666666667</v>
          </cell>
          <cell r="L166">
            <v>1.0301016666666667</v>
          </cell>
          <cell r="M166">
            <v>9.4050000000000002E-3</v>
          </cell>
          <cell r="N166">
            <v>0.10101</v>
          </cell>
          <cell r="O166">
            <v>5.2814999999999994E-2</v>
          </cell>
          <cell r="P166">
            <v>6.5686666666666657E-2</v>
          </cell>
          <cell r="Q166">
            <v>0.5625283333333333</v>
          </cell>
          <cell r="R166">
            <v>1.7334000000000003</v>
          </cell>
          <cell r="S166">
            <v>0</v>
          </cell>
          <cell r="T166">
            <v>0</v>
          </cell>
          <cell r="U166">
            <v>0</v>
          </cell>
          <cell r="V166">
            <v>2.2959283333333333</v>
          </cell>
        </row>
        <row r="167">
          <cell r="D167" t="str">
            <v>KCMN-67120A 0512</v>
          </cell>
          <cell r="E167" t="str">
            <v>KCMN67120A</v>
          </cell>
          <cell r="F167">
            <v>53.064459999999997</v>
          </cell>
          <cell r="G167">
            <v>0</v>
          </cell>
          <cell r="H167">
            <v>1.5028333333333333E-2</v>
          </cell>
          <cell r="I167">
            <v>1.1195E-2</v>
          </cell>
          <cell r="J167">
            <v>0</v>
          </cell>
          <cell r="K167">
            <v>3.0928333333333332E-2</v>
          </cell>
          <cell r="L167">
            <v>0.27514500000000003</v>
          </cell>
          <cell r="M167">
            <v>1.0450000000000001E-3</v>
          </cell>
          <cell r="N167">
            <v>2.4218333333333335E-2</v>
          </cell>
          <cell r="O167">
            <v>1.4084999999999999E-2</v>
          </cell>
          <cell r="P167">
            <v>7.2966666666666674E-3</v>
          </cell>
          <cell r="Q167">
            <v>2.6223333333333335E-2</v>
          </cell>
          <cell r="R167">
            <v>0.35271833333333341</v>
          </cell>
          <cell r="S167">
            <v>0</v>
          </cell>
          <cell r="T167">
            <v>0</v>
          </cell>
          <cell r="U167">
            <v>0</v>
          </cell>
          <cell r="V167">
            <v>0.37894166666666673</v>
          </cell>
        </row>
        <row r="168">
          <cell r="D168" t="str">
            <v>KCMP-67030C 1402</v>
          </cell>
          <cell r="E168" t="str">
            <v>KCMP67030</v>
          </cell>
          <cell r="F168">
            <v>1249.6670200000001</v>
          </cell>
          <cell r="G168">
            <v>0</v>
          </cell>
          <cell r="H168">
            <v>0.20074166666666665</v>
          </cell>
          <cell r="I168">
            <v>0.33161666666666662</v>
          </cell>
          <cell r="J168">
            <v>9.7753333333333331E-2</v>
          </cell>
          <cell r="K168">
            <v>0.49080833333333335</v>
          </cell>
          <cell r="L168">
            <v>1.0691300000000001</v>
          </cell>
          <cell r="M168">
            <v>9.4050000000000002E-3</v>
          </cell>
          <cell r="N168">
            <v>0.10274</v>
          </cell>
          <cell r="O168">
            <v>5.417333333333333E-2</v>
          </cell>
          <cell r="P168">
            <v>7.2764999999999996E-2</v>
          </cell>
          <cell r="Q168">
            <v>0.63011166666666663</v>
          </cell>
          <cell r="R168">
            <v>1.799021666666667</v>
          </cell>
          <cell r="S168">
            <v>0</v>
          </cell>
          <cell r="T168">
            <v>0</v>
          </cell>
          <cell r="U168">
            <v>0</v>
          </cell>
          <cell r="V168">
            <v>2.4291333333333336</v>
          </cell>
        </row>
        <row r="169">
          <cell r="D169" t="str">
            <v>KCMP-67030C 1501</v>
          </cell>
          <cell r="E169" t="str">
            <v>KCMP67030C</v>
          </cell>
          <cell r="F169">
            <v>1249.7</v>
          </cell>
          <cell r="G169">
            <v>0</v>
          </cell>
          <cell r="H169">
            <v>0.20067833333333332</v>
          </cell>
          <cell r="I169">
            <v>0.33161666666666662</v>
          </cell>
          <cell r="J169">
            <v>9.7753333333333331E-2</v>
          </cell>
          <cell r="K169">
            <v>0.49289833333333333</v>
          </cell>
          <cell r="L169">
            <v>1.0607633333333333</v>
          </cell>
          <cell r="M169">
            <v>9.4050000000000002E-3</v>
          </cell>
          <cell r="N169">
            <v>0.10274</v>
          </cell>
          <cell r="O169">
            <v>5.417333333333333E-2</v>
          </cell>
          <cell r="P169">
            <v>7.2764999999999996E-2</v>
          </cell>
          <cell r="Q169">
            <v>0.63004833333333332</v>
          </cell>
          <cell r="R169">
            <v>1.7927450000000003</v>
          </cell>
          <cell r="S169">
            <v>0</v>
          </cell>
          <cell r="T169">
            <v>0</v>
          </cell>
          <cell r="U169">
            <v>0</v>
          </cell>
          <cell r="V169">
            <v>2.4227933333333338</v>
          </cell>
        </row>
        <row r="170">
          <cell r="D170" t="str">
            <v>KCMP-67120A 0512</v>
          </cell>
          <cell r="E170" t="str">
            <v>KCMP67120A</v>
          </cell>
          <cell r="F170">
            <v>79.736869999999996</v>
          </cell>
          <cell r="G170">
            <v>0</v>
          </cell>
          <cell r="H170">
            <v>2.1516666666666667E-2</v>
          </cell>
          <cell r="I170">
            <v>2.3141666666666668E-2</v>
          </cell>
          <cell r="J170">
            <v>0</v>
          </cell>
          <cell r="K170">
            <v>4.5411666666666663E-2</v>
          </cell>
          <cell r="L170">
            <v>0.34561166666666665</v>
          </cell>
          <cell r="M170">
            <v>1.0450000000000001E-3</v>
          </cell>
          <cell r="N170">
            <v>2.7959999999999999E-2</v>
          </cell>
          <cell r="O170">
            <v>1.619E-2</v>
          </cell>
          <cell r="P170">
            <v>8.6400000000000001E-3</v>
          </cell>
          <cell r="Q170">
            <v>4.4658333333333335E-2</v>
          </cell>
          <cell r="R170">
            <v>0.4448583333333333</v>
          </cell>
          <cell r="S170">
            <v>0</v>
          </cell>
          <cell r="T170">
            <v>0</v>
          </cell>
          <cell r="U170">
            <v>0</v>
          </cell>
          <cell r="V170">
            <v>0.48951666666666666</v>
          </cell>
        </row>
        <row r="171">
          <cell r="D171" t="str">
            <v>KCMR-67030C 1501</v>
          </cell>
          <cell r="E171" t="str">
            <v>KCMR67030C</v>
          </cell>
          <cell r="F171">
            <v>1260.9000000000001</v>
          </cell>
          <cell r="G171">
            <v>0</v>
          </cell>
          <cell r="H171">
            <v>0.20246666666666666</v>
          </cell>
          <cell r="I171">
            <v>0.35796166666666662</v>
          </cell>
          <cell r="J171">
            <v>0.10421999999999999</v>
          </cell>
          <cell r="K171">
            <v>0.49271499999999996</v>
          </cell>
          <cell r="L171">
            <v>1.0716516666666667</v>
          </cell>
          <cell r="M171">
            <v>9.4050000000000002E-3</v>
          </cell>
          <cell r="N171">
            <v>0.103185</v>
          </cell>
          <cell r="O171">
            <v>5.4491666666666667E-2</v>
          </cell>
          <cell r="P171">
            <v>7.0871666666666666E-2</v>
          </cell>
          <cell r="Q171">
            <v>0.66464833333333329</v>
          </cell>
          <cell r="R171">
            <v>1.8023200000000001</v>
          </cell>
          <cell r="S171">
            <v>0</v>
          </cell>
          <cell r="T171">
            <v>0</v>
          </cell>
          <cell r="U171">
            <v>0</v>
          </cell>
          <cell r="V171">
            <v>2.4669683333333334</v>
          </cell>
        </row>
        <row r="172">
          <cell r="D172" t="str">
            <v>KCMS-67030C 1402</v>
          </cell>
          <cell r="E172" t="str">
            <v>KCMS67030C</v>
          </cell>
          <cell r="F172">
            <v>1304.0384799999999</v>
          </cell>
          <cell r="G172">
            <v>0</v>
          </cell>
          <cell r="H172">
            <v>0.20611833333333335</v>
          </cell>
          <cell r="I172">
            <v>0.36387000000000003</v>
          </cell>
          <cell r="J172">
            <v>0.10421999999999999</v>
          </cell>
          <cell r="K172">
            <v>0.49979166666666669</v>
          </cell>
          <cell r="L172">
            <v>1.09674</v>
          </cell>
          <cell r="M172">
            <v>9.4050000000000002E-3</v>
          </cell>
          <cell r="N172">
            <v>0.10417000000000001</v>
          </cell>
          <cell r="O172">
            <v>5.5008333333333333E-2</v>
          </cell>
          <cell r="P172">
            <v>7.3193333333333346E-2</v>
          </cell>
          <cell r="Q172">
            <v>0.6742083333333333</v>
          </cell>
          <cell r="R172">
            <v>1.8383083333333337</v>
          </cell>
          <cell r="S172">
            <v>0</v>
          </cell>
          <cell r="T172">
            <v>0</v>
          </cell>
          <cell r="U172">
            <v>0</v>
          </cell>
          <cell r="V172">
            <v>2.512516666666667</v>
          </cell>
        </row>
        <row r="173">
          <cell r="D173" t="str">
            <v>KCMV-67030C 1501</v>
          </cell>
          <cell r="E173" t="str">
            <v>KCMV67030C</v>
          </cell>
          <cell r="F173">
            <v>1265</v>
          </cell>
          <cell r="G173">
            <v>0</v>
          </cell>
          <cell r="H173">
            <v>0.20424166666666668</v>
          </cell>
          <cell r="I173">
            <v>0.34689166666666671</v>
          </cell>
          <cell r="J173">
            <v>9.7753333333333331E-2</v>
          </cell>
          <cell r="K173">
            <v>0.50389833333333334</v>
          </cell>
          <cell r="L173">
            <v>1.0631299999999999</v>
          </cell>
          <cell r="M173">
            <v>9.4050000000000002E-3</v>
          </cell>
          <cell r="N173">
            <v>0.10298</v>
          </cell>
          <cell r="O173">
            <v>5.417333333333333E-2</v>
          </cell>
          <cell r="P173">
            <v>7.2764999999999996E-2</v>
          </cell>
          <cell r="Q173">
            <v>0.64888666666666672</v>
          </cell>
          <cell r="R173">
            <v>1.8063516666666668</v>
          </cell>
          <cell r="S173">
            <v>0</v>
          </cell>
          <cell r="T173">
            <v>0</v>
          </cell>
          <cell r="U173">
            <v>0</v>
          </cell>
          <cell r="V173">
            <v>2.4552383333333334</v>
          </cell>
        </row>
        <row r="174">
          <cell r="D174" t="str">
            <v>KCMW-67120A 0512</v>
          </cell>
          <cell r="E174" t="str">
            <v>KCMW67120A</v>
          </cell>
          <cell r="F174">
            <v>46.963720000000002</v>
          </cell>
          <cell r="G174">
            <v>0</v>
          </cell>
          <cell r="H174">
            <v>1.4088333333333335E-2</v>
          </cell>
          <cell r="I174">
            <v>5.933333333333333E-3</v>
          </cell>
          <cell r="J174">
            <v>0</v>
          </cell>
          <cell r="K174">
            <v>2.7078333333333333E-2</v>
          </cell>
          <cell r="L174">
            <v>0.27910166666666664</v>
          </cell>
          <cell r="M174">
            <v>2.0900000000000003E-3</v>
          </cell>
          <cell r="N174">
            <v>2.6591666666666666E-2</v>
          </cell>
          <cell r="O174">
            <v>1.7103333333333335E-2</v>
          </cell>
          <cell r="P174">
            <v>7.5016666666666669E-3</v>
          </cell>
          <cell r="Q174">
            <v>2.0021666666666667E-2</v>
          </cell>
          <cell r="R174">
            <v>0.35946666666666666</v>
          </cell>
          <cell r="S174">
            <v>0</v>
          </cell>
          <cell r="T174">
            <v>0</v>
          </cell>
          <cell r="U174">
            <v>0</v>
          </cell>
          <cell r="V174">
            <v>0.37948833333333332</v>
          </cell>
        </row>
        <row r="175">
          <cell r="D175" t="str">
            <v>KCNA-67030C 1501</v>
          </cell>
          <cell r="E175" t="str">
            <v>KCNA67030C</v>
          </cell>
          <cell r="F175">
            <v>1319.4</v>
          </cell>
          <cell r="G175">
            <v>0</v>
          </cell>
          <cell r="H175">
            <v>0.20961666666666667</v>
          </cell>
          <cell r="I175">
            <v>0.37914500000000001</v>
          </cell>
          <cell r="J175">
            <v>0.10421999999999999</v>
          </cell>
          <cell r="K175">
            <v>0.51288166666666668</v>
          </cell>
          <cell r="L175">
            <v>1.09074</v>
          </cell>
          <cell r="M175">
            <v>9.4050000000000002E-3</v>
          </cell>
          <cell r="N175">
            <v>0.10440999999999999</v>
          </cell>
          <cell r="O175">
            <v>5.5008333333333333E-2</v>
          </cell>
          <cell r="P175">
            <v>7.3193333333333346E-2</v>
          </cell>
          <cell r="Q175">
            <v>0.69298166666666661</v>
          </cell>
          <cell r="R175">
            <v>1.8456383333333335</v>
          </cell>
          <cell r="S175">
            <v>0</v>
          </cell>
          <cell r="T175">
            <v>0</v>
          </cell>
          <cell r="U175">
            <v>0</v>
          </cell>
          <cell r="V175">
            <v>2.5386199999999999</v>
          </cell>
        </row>
        <row r="176">
          <cell r="D176" t="str">
            <v>KCNB-67030B 2201</v>
          </cell>
          <cell r="E176" t="str">
            <v>KCNB67030B</v>
          </cell>
          <cell r="F176">
            <v>1173.2</v>
          </cell>
          <cell r="G176">
            <v>0</v>
          </cell>
          <cell r="H176">
            <v>0.17907833333333334</v>
          </cell>
          <cell r="I176">
            <v>0.22769166666666668</v>
          </cell>
          <cell r="J176">
            <v>8.7933333333333336E-2</v>
          </cell>
          <cell r="K176">
            <v>0.44335166666666664</v>
          </cell>
          <cell r="L176">
            <v>0.99509833333333331</v>
          </cell>
          <cell r="M176">
            <v>9.4050000000000002E-3</v>
          </cell>
          <cell r="N176">
            <v>9.8601666666666671E-2</v>
          </cell>
          <cell r="O176">
            <v>5.2335E-2</v>
          </cell>
          <cell r="P176">
            <v>6.7596666666666666E-2</v>
          </cell>
          <cell r="Q176">
            <v>0.49470333333333338</v>
          </cell>
          <cell r="R176">
            <v>1.6663883333333336</v>
          </cell>
          <cell r="S176">
            <v>0</v>
          </cell>
          <cell r="T176">
            <v>0</v>
          </cell>
          <cell r="U176">
            <v>0</v>
          </cell>
          <cell r="V176">
            <v>2.1610916666666671</v>
          </cell>
        </row>
        <row r="177">
          <cell r="D177" t="str">
            <v>KCNB-67120A 0701</v>
          </cell>
          <cell r="E177" t="str">
            <v>KCNB67120A</v>
          </cell>
          <cell r="F177">
            <v>65</v>
          </cell>
          <cell r="G177">
            <v>0</v>
          </cell>
          <cell r="H177">
            <v>1.7444999999999999E-2</v>
          </cell>
          <cell r="I177">
            <v>1.1195E-2</v>
          </cell>
          <cell r="J177">
            <v>0</v>
          </cell>
          <cell r="K177">
            <v>3.6244999999999999E-2</v>
          </cell>
          <cell r="L177">
            <v>0.2964316666666667</v>
          </cell>
          <cell r="M177">
            <v>2.0900000000000003E-3</v>
          </cell>
          <cell r="N177">
            <v>2.8188333333333333E-2</v>
          </cell>
          <cell r="O177">
            <v>1.8065000000000001E-2</v>
          </cell>
          <cell r="P177">
            <v>8.0683333333333336E-3</v>
          </cell>
          <cell r="Q177">
            <v>2.8639999999999999E-2</v>
          </cell>
          <cell r="R177">
            <v>0.38908833333333337</v>
          </cell>
          <cell r="S177">
            <v>0</v>
          </cell>
          <cell r="T177">
            <v>0</v>
          </cell>
          <cell r="U177">
            <v>0</v>
          </cell>
          <cell r="V177">
            <v>0.41772833333333337</v>
          </cell>
        </row>
        <row r="178">
          <cell r="D178" t="str">
            <v>KCNC-67120A 0701</v>
          </cell>
          <cell r="E178" t="str">
            <v>KCNC67120A</v>
          </cell>
          <cell r="F178">
            <v>91.7</v>
          </cell>
          <cell r="G178">
            <v>0</v>
          </cell>
          <cell r="H178">
            <v>2.3938333333333332E-2</v>
          </cell>
          <cell r="I178">
            <v>2.3141666666666668E-2</v>
          </cell>
          <cell r="J178">
            <v>0</v>
          </cell>
          <cell r="K178">
            <v>5.0728333333333334E-2</v>
          </cell>
          <cell r="L178">
            <v>0.36690166666666663</v>
          </cell>
          <cell r="M178">
            <v>2.0900000000000003E-3</v>
          </cell>
          <cell r="N178">
            <v>3.193E-2</v>
          </cell>
          <cell r="O178">
            <v>2.017E-2</v>
          </cell>
          <cell r="P178">
            <v>9.4133333333333326E-3</v>
          </cell>
          <cell r="Q178">
            <v>4.7079999999999997E-2</v>
          </cell>
          <cell r="R178">
            <v>0.48123333333333329</v>
          </cell>
          <cell r="S178">
            <v>0</v>
          </cell>
          <cell r="T178">
            <v>0</v>
          </cell>
          <cell r="U178">
            <v>0</v>
          </cell>
          <cell r="V178">
            <v>0.5283133333333333</v>
          </cell>
        </row>
        <row r="179">
          <cell r="D179" t="str">
            <v>KCND-67030B 2201</v>
          </cell>
          <cell r="E179" t="str">
            <v>KCND67030B</v>
          </cell>
          <cell r="F179">
            <v>1228.2</v>
          </cell>
          <cell r="G179">
            <v>0</v>
          </cell>
          <cell r="H179">
            <v>0.18435166666666666</v>
          </cell>
          <cell r="I179">
            <v>0.25984999999999997</v>
          </cell>
          <cell r="J179">
            <v>9.4399999999999998E-2</v>
          </cell>
          <cell r="K179">
            <v>0.45233499999999999</v>
          </cell>
          <cell r="L179">
            <v>1.007125</v>
          </cell>
          <cell r="M179">
            <v>9.4050000000000002E-3</v>
          </cell>
          <cell r="N179">
            <v>9.9423333333333336E-2</v>
          </cell>
          <cell r="O179">
            <v>5.2798333333333329E-2</v>
          </cell>
          <cell r="P179">
            <v>6.787E-2</v>
          </cell>
          <cell r="Q179">
            <v>0.53860166666666665</v>
          </cell>
          <cell r="R179">
            <v>1.6889566666666669</v>
          </cell>
          <cell r="S179">
            <v>0</v>
          </cell>
          <cell r="T179">
            <v>0</v>
          </cell>
          <cell r="U179">
            <v>0</v>
          </cell>
          <cell r="V179">
            <v>2.2275583333333335</v>
          </cell>
        </row>
        <row r="180">
          <cell r="D180" t="str">
            <v>KCNE-67030B 2201</v>
          </cell>
          <cell r="E180" t="str">
            <v>KCNE67030B</v>
          </cell>
          <cell r="F180">
            <v>1146.7</v>
          </cell>
          <cell r="G180">
            <v>0</v>
          </cell>
          <cell r="H180">
            <v>0.17912166666666665</v>
          </cell>
          <cell r="I180">
            <v>0.23168166666666667</v>
          </cell>
          <cell r="J180">
            <v>8.7933333333333336E-2</v>
          </cell>
          <cell r="K180">
            <v>0.445185</v>
          </cell>
          <cell r="L180">
            <v>0.98270833333333329</v>
          </cell>
          <cell r="M180">
            <v>9.4050000000000002E-3</v>
          </cell>
          <cell r="N180">
            <v>9.7943333333333327E-2</v>
          </cell>
          <cell r="O180">
            <v>5.1941666666666664E-2</v>
          </cell>
          <cell r="P180">
            <v>6.5353333333333333E-2</v>
          </cell>
          <cell r="Q180">
            <v>0.49873666666666661</v>
          </cell>
          <cell r="R180">
            <v>1.6525366666666668</v>
          </cell>
          <cell r="S180">
            <v>0</v>
          </cell>
          <cell r="T180">
            <v>0</v>
          </cell>
          <cell r="U180">
            <v>0</v>
          </cell>
          <cell r="V180">
            <v>2.1512733333333331</v>
          </cell>
        </row>
        <row r="181">
          <cell r="D181" t="str">
            <v>KCNF-67030B 2201</v>
          </cell>
          <cell r="E181" t="str">
            <v>KCNF67030B</v>
          </cell>
          <cell r="F181">
            <v>1185.5999999999999</v>
          </cell>
          <cell r="G181">
            <v>0</v>
          </cell>
          <cell r="H181">
            <v>0.18254166666666669</v>
          </cell>
          <cell r="I181">
            <v>0.23749333333333331</v>
          </cell>
          <cell r="J181">
            <v>8.7933333333333336E-2</v>
          </cell>
          <cell r="K181">
            <v>0.45435166666666665</v>
          </cell>
          <cell r="L181">
            <v>0.9977233333333333</v>
          </cell>
          <cell r="M181">
            <v>9.4050000000000002E-3</v>
          </cell>
          <cell r="N181">
            <v>9.8921666666666658E-2</v>
          </cell>
          <cell r="O181">
            <v>5.2335E-2</v>
          </cell>
          <cell r="P181">
            <v>6.7596666666666666E-2</v>
          </cell>
          <cell r="Q181">
            <v>0.50796833333333336</v>
          </cell>
          <cell r="R181">
            <v>1.6803333333333335</v>
          </cell>
          <cell r="S181">
            <v>0</v>
          </cell>
          <cell r="T181">
            <v>0</v>
          </cell>
          <cell r="U181">
            <v>0</v>
          </cell>
          <cell r="V181">
            <v>2.1883016666666668</v>
          </cell>
        </row>
        <row r="182">
          <cell r="D182" t="str">
            <v>KCNH-67030B 2201</v>
          </cell>
          <cell r="E182" t="str">
            <v>KCNH67030B</v>
          </cell>
          <cell r="F182">
            <v>1240.5999999999999</v>
          </cell>
          <cell r="G182">
            <v>0</v>
          </cell>
          <cell r="H182">
            <v>0.18781500000000001</v>
          </cell>
          <cell r="I182">
            <v>0.26965166666666662</v>
          </cell>
          <cell r="J182">
            <v>9.4399999999999998E-2</v>
          </cell>
          <cell r="K182">
            <v>0.463335</v>
          </cell>
          <cell r="L182">
            <v>1.0097499999999999</v>
          </cell>
          <cell r="M182">
            <v>9.4050000000000002E-3</v>
          </cell>
          <cell r="N182">
            <v>9.9743333333333337E-2</v>
          </cell>
          <cell r="O182">
            <v>5.2798333333333329E-2</v>
          </cell>
          <cell r="P182">
            <v>6.787E-2</v>
          </cell>
          <cell r="Q182">
            <v>0.55186666666666662</v>
          </cell>
          <cell r="R182">
            <v>1.7029016666666668</v>
          </cell>
          <cell r="S182">
            <v>0</v>
          </cell>
          <cell r="T182">
            <v>0</v>
          </cell>
          <cell r="U182">
            <v>0</v>
          </cell>
          <cell r="V182">
            <v>2.2547683333333333</v>
          </cell>
        </row>
        <row r="183">
          <cell r="D183" t="str">
            <v>KCNK-67030B 2102</v>
          </cell>
          <cell r="E183" t="str">
            <v>KCNK67030B</v>
          </cell>
          <cell r="F183">
            <v>1206.78667</v>
          </cell>
          <cell r="G183">
            <v>0</v>
          </cell>
          <cell r="H183">
            <v>0.18626166666666669</v>
          </cell>
          <cell r="I183">
            <v>0.25406833333333334</v>
          </cell>
          <cell r="J183">
            <v>8.7933333333333336E-2</v>
          </cell>
          <cell r="K183">
            <v>0.46535166666666666</v>
          </cell>
          <cell r="L183">
            <v>1.0006266666666666</v>
          </cell>
          <cell r="M183">
            <v>9.4050000000000002E-3</v>
          </cell>
          <cell r="N183">
            <v>9.9161666666666662E-2</v>
          </cell>
          <cell r="O183">
            <v>5.2335E-2</v>
          </cell>
          <cell r="P183">
            <v>6.7596666666666666E-2</v>
          </cell>
          <cell r="Q183">
            <v>0.52826333333333331</v>
          </cell>
          <cell r="R183">
            <v>1.6944766666666666</v>
          </cell>
          <cell r="S183">
            <v>0</v>
          </cell>
          <cell r="T183">
            <v>0</v>
          </cell>
          <cell r="U183">
            <v>0</v>
          </cell>
          <cell r="V183">
            <v>2.2227399999999999</v>
          </cell>
        </row>
        <row r="184">
          <cell r="D184" t="str">
            <v>KCNL-67030B 2201</v>
          </cell>
          <cell r="E184" t="str">
            <v>KCNL67030B</v>
          </cell>
          <cell r="F184">
            <v>1222.8</v>
          </cell>
          <cell r="G184">
            <v>0</v>
          </cell>
          <cell r="H184">
            <v>0.18811333333333333</v>
          </cell>
          <cell r="I184">
            <v>0.28041499999999997</v>
          </cell>
          <cell r="J184">
            <v>9.4399999999999998E-2</v>
          </cell>
          <cell r="K184">
            <v>0.46516833333333335</v>
          </cell>
          <cell r="L184">
            <v>0.99763833333333329</v>
          </cell>
          <cell r="M184">
            <v>9.4050000000000002E-3</v>
          </cell>
          <cell r="N184">
            <v>9.9004999999999996E-2</v>
          </cell>
          <cell r="O184">
            <v>5.2403333333333336E-2</v>
          </cell>
          <cell r="P184">
            <v>6.5625000000000003E-2</v>
          </cell>
          <cell r="Q184">
            <v>0.56292833333333336</v>
          </cell>
          <cell r="R184">
            <v>1.6892450000000001</v>
          </cell>
          <cell r="S184">
            <v>0</v>
          </cell>
          <cell r="T184">
            <v>0</v>
          </cell>
          <cell r="U184">
            <v>0</v>
          </cell>
          <cell r="V184">
            <v>2.2521733333333334</v>
          </cell>
        </row>
        <row r="185">
          <cell r="D185" t="str">
            <v>KCNM-67030B 2201</v>
          </cell>
          <cell r="E185" t="str">
            <v>KCNM67030B</v>
          </cell>
          <cell r="F185">
            <v>1261.8</v>
          </cell>
          <cell r="G185">
            <v>0</v>
          </cell>
          <cell r="H185">
            <v>0.19153666666666666</v>
          </cell>
          <cell r="I185">
            <v>0.28622666666666668</v>
          </cell>
          <cell r="J185">
            <v>9.4399999999999998E-2</v>
          </cell>
          <cell r="K185">
            <v>0.47433500000000001</v>
          </cell>
          <cell r="L185">
            <v>1.0126533333333334</v>
          </cell>
          <cell r="M185">
            <v>9.4050000000000002E-3</v>
          </cell>
          <cell r="N185">
            <v>9.9983333333333327E-2</v>
          </cell>
          <cell r="O185">
            <v>5.2798333333333329E-2</v>
          </cell>
          <cell r="P185">
            <v>6.787E-2</v>
          </cell>
          <cell r="Q185">
            <v>0.57216333333333336</v>
          </cell>
          <cell r="R185">
            <v>1.7170450000000002</v>
          </cell>
          <cell r="S185">
            <v>0</v>
          </cell>
          <cell r="T185">
            <v>0</v>
          </cell>
          <cell r="U185">
            <v>0</v>
          </cell>
          <cell r="V185">
            <v>2.2892083333333337</v>
          </cell>
        </row>
        <row r="186">
          <cell r="D186" t="str">
            <v>KCNV-67120A 0512</v>
          </cell>
          <cell r="E186" t="str">
            <v>KCNV67120A</v>
          </cell>
          <cell r="F186">
            <v>184.80569</v>
          </cell>
          <cell r="G186">
            <v>0</v>
          </cell>
          <cell r="H186">
            <v>3.3698333333333337E-2</v>
          </cell>
          <cell r="I186">
            <v>1.1195E-2</v>
          </cell>
          <cell r="J186">
            <v>0</v>
          </cell>
          <cell r="K186">
            <v>7.8724999999999989E-2</v>
          </cell>
          <cell r="L186">
            <v>0.4131266666666667</v>
          </cell>
          <cell r="M186">
            <v>2.0900000000000003E-3</v>
          </cell>
          <cell r="N186">
            <v>3.6150000000000002E-2</v>
          </cell>
          <cell r="O186">
            <v>2.1498333333333335E-2</v>
          </cell>
          <cell r="P186">
            <v>1.5398333333333335E-2</v>
          </cell>
          <cell r="Q186">
            <v>4.4893333333333341E-2</v>
          </cell>
          <cell r="R186">
            <v>0.56698833333333321</v>
          </cell>
          <cell r="S186">
            <v>0</v>
          </cell>
          <cell r="T186">
            <v>0</v>
          </cell>
          <cell r="U186">
            <v>0</v>
          </cell>
          <cell r="V186">
            <v>0.61188166666666655</v>
          </cell>
        </row>
        <row r="187">
          <cell r="D187" t="str">
            <v>KCNW-67120A 0701</v>
          </cell>
          <cell r="E187" t="str">
            <v>KCNW67120A</v>
          </cell>
          <cell r="F187">
            <v>211.5</v>
          </cell>
          <cell r="G187">
            <v>0</v>
          </cell>
          <cell r="H187">
            <v>4.018833333333334E-2</v>
          </cell>
          <cell r="I187">
            <v>2.3141666666666668E-2</v>
          </cell>
          <cell r="J187">
            <v>0</v>
          </cell>
          <cell r="K187">
            <v>9.3208333333333337E-2</v>
          </cell>
          <cell r="L187">
            <v>0.4835983333333333</v>
          </cell>
          <cell r="M187">
            <v>2.0900000000000003E-3</v>
          </cell>
          <cell r="N187">
            <v>3.9891666666666666E-2</v>
          </cell>
          <cell r="O187">
            <v>2.360333333333333E-2</v>
          </cell>
          <cell r="P187">
            <v>1.6743333333333332E-2</v>
          </cell>
          <cell r="Q187">
            <v>6.3330000000000011E-2</v>
          </cell>
          <cell r="R187">
            <v>0.65913500000000003</v>
          </cell>
          <cell r="S187">
            <v>0</v>
          </cell>
          <cell r="T187">
            <v>0</v>
          </cell>
          <cell r="U187">
            <v>0</v>
          </cell>
          <cell r="V187">
            <v>0.72246500000000002</v>
          </cell>
        </row>
        <row r="188">
          <cell r="D188" t="str">
            <v>KCPH-67120A 0701</v>
          </cell>
          <cell r="E188" t="str">
            <v>KCPH67120A</v>
          </cell>
          <cell r="F188">
            <v>201.8</v>
          </cell>
          <cell r="G188">
            <v>0</v>
          </cell>
          <cell r="H188">
            <v>3.8323333333333334E-2</v>
          </cell>
          <cell r="I188">
            <v>2.3141666666666668E-2</v>
          </cell>
          <cell r="J188">
            <v>0</v>
          </cell>
          <cell r="K188">
            <v>8.9724999999999999E-2</v>
          </cell>
          <cell r="L188">
            <v>0.45904833333333334</v>
          </cell>
          <cell r="M188">
            <v>2.0900000000000003E-3</v>
          </cell>
          <cell r="N188">
            <v>3.7853333333333329E-2</v>
          </cell>
          <cell r="O188">
            <v>2.0171666666666664E-2</v>
          </cell>
          <cell r="P188">
            <v>1.6160000000000001E-2</v>
          </cell>
          <cell r="Q188">
            <v>6.1465000000000006E-2</v>
          </cell>
          <cell r="R188">
            <v>0.62504833333333332</v>
          </cell>
          <cell r="S188">
            <v>0</v>
          </cell>
          <cell r="T188">
            <v>0</v>
          </cell>
          <cell r="U188">
            <v>0</v>
          </cell>
          <cell r="V188">
            <v>0.68651333333333331</v>
          </cell>
        </row>
        <row r="189">
          <cell r="D189" t="str">
            <v>KCPM-67120A 0701</v>
          </cell>
          <cell r="E189" t="str">
            <v>KCPM67120A</v>
          </cell>
          <cell r="F189">
            <v>207.1</v>
          </cell>
          <cell r="G189">
            <v>0</v>
          </cell>
          <cell r="H189">
            <v>3.8745000000000002E-2</v>
          </cell>
          <cell r="I189">
            <v>2.3141666666666668E-2</v>
          </cell>
          <cell r="J189">
            <v>0</v>
          </cell>
          <cell r="K189">
            <v>8.9724999999999999E-2</v>
          </cell>
          <cell r="L189">
            <v>0.46091833333333337</v>
          </cell>
          <cell r="M189">
            <v>2.0900000000000003E-3</v>
          </cell>
          <cell r="N189">
            <v>3.8460000000000001E-2</v>
          </cell>
          <cell r="O189">
            <v>2.2818333333333333E-2</v>
          </cell>
          <cell r="P189">
            <v>1.6298333333333335E-2</v>
          </cell>
          <cell r="Q189">
            <v>6.1886666666666673E-2</v>
          </cell>
          <cell r="R189">
            <v>0.63031000000000015</v>
          </cell>
          <cell r="S189">
            <v>0</v>
          </cell>
          <cell r="T189">
            <v>0</v>
          </cell>
          <cell r="U189">
            <v>0</v>
          </cell>
          <cell r="V189">
            <v>0.69219666666666679</v>
          </cell>
        </row>
        <row r="190">
          <cell r="D190" t="str">
            <v>KCPS-67120A 0701</v>
          </cell>
          <cell r="E190" t="str">
            <v>KCPS67120A</v>
          </cell>
          <cell r="F190">
            <v>211.5</v>
          </cell>
          <cell r="G190">
            <v>0</v>
          </cell>
          <cell r="H190">
            <v>4.018833333333334E-2</v>
          </cell>
          <cell r="I190">
            <v>2.3141666666666668E-2</v>
          </cell>
          <cell r="J190">
            <v>0</v>
          </cell>
          <cell r="K190">
            <v>9.3208333333333337E-2</v>
          </cell>
          <cell r="L190">
            <v>0.47955333333333333</v>
          </cell>
          <cell r="M190">
            <v>2.0900000000000003E-3</v>
          </cell>
          <cell r="N190">
            <v>3.9891666666666666E-2</v>
          </cell>
          <cell r="O190">
            <v>2.360333333333333E-2</v>
          </cell>
          <cell r="P190">
            <v>1.6743333333333332E-2</v>
          </cell>
          <cell r="Q190">
            <v>6.3330000000000011E-2</v>
          </cell>
          <cell r="R190">
            <v>0.65508999999999995</v>
          </cell>
          <cell r="S190">
            <v>0</v>
          </cell>
          <cell r="T190">
            <v>0</v>
          </cell>
          <cell r="U190">
            <v>0</v>
          </cell>
          <cell r="V190">
            <v>0.71841999999999995</v>
          </cell>
        </row>
        <row r="191">
          <cell r="D191" t="str">
            <v>KCPT-67120A 0512</v>
          </cell>
          <cell r="E191" t="str">
            <v>KCPT67120A</v>
          </cell>
          <cell r="F191">
            <v>30.631329999999998</v>
          </cell>
          <cell r="G191">
            <v>0</v>
          </cell>
          <cell r="H191">
            <v>9.0366666666666668E-3</v>
          </cell>
          <cell r="I191">
            <v>5.933333333333333E-3</v>
          </cell>
          <cell r="J191">
            <v>0</v>
          </cell>
          <cell r="K191">
            <v>1.6500000000000001E-2</v>
          </cell>
          <cell r="L191">
            <v>0.17998</v>
          </cell>
          <cell r="M191">
            <v>1.0450000000000001E-3</v>
          </cell>
          <cell r="N191">
            <v>1.7979999999999999E-2</v>
          </cell>
          <cell r="O191">
            <v>1.0215E-2</v>
          </cell>
          <cell r="P191">
            <v>5.0200000000000002E-3</v>
          </cell>
          <cell r="Q191">
            <v>1.4970000000000001E-2</v>
          </cell>
          <cell r="R191">
            <v>0.23073999999999997</v>
          </cell>
          <cell r="S191">
            <v>0</v>
          </cell>
          <cell r="T191">
            <v>0</v>
          </cell>
          <cell r="U191">
            <v>0</v>
          </cell>
          <cell r="V191">
            <v>0.24570999999999998</v>
          </cell>
        </row>
        <row r="192">
          <cell r="D192" t="str">
            <v>KCPV-67030C 1501</v>
          </cell>
          <cell r="E192" t="str">
            <v>KCPV67030C</v>
          </cell>
          <cell r="F192">
            <v>1125.5</v>
          </cell>
          <cell r="G192">
            <v>0</v>
          </cell>
          <cell r="H192">
            <v>0.17784666666666665</v>
          </cell>
          <cell r="I192">
            <v>0.23607833333333333</v>
          </cell>
          <cell r="J192">
            <v>7.2929999999999995E-2</v>
          </cell>
          <cell r="K192">
            <v>0.44523166666666664</v>
          </cell>
          <cell r="L192">
            <v>0.99891666666666667</v>
          </cell>
          <cell r="M192">
            <v>9.4050000000000002E-3</v>
          </cell>
          <cell r="N192">
            <v>9.9101666666666671E-2</v>
          </cell>
          <cell r="O192">
            <v>5.1984999999999996E-2</v>
          </cell>
          <cell r="P192">
            <v>6.5259999999999999E-2</v>
          </cell>
          <cell r="Q192">
            <v>0.48685499999999998</v>
          </cell>
          <cell r="R192">
            <v>1.6699000000000002</v>
          </cell>
          <cell r="S192">
            <v>0</v>
          </cell>
          <cell r="T192">
            <v>0</v>
          </cell>
          <cell r="U192">
            <v>0</v>
          </cell>
          <cell r="V192">
            <v>2.156755</v>
          </cell>
        </row>
        <row r="193">
          <cell r="D193" t="str">
            <v>KCSP-67030A 2102</v>
          </cell>
          <cell r="E193" t="str">
            <v>KCSP67030A</v>
          </cell>
          <cell r="F193">
            <v>1209.1527000000001</v>
          </cell>
          <cell r="G193">
            <v>0</v>
          </cell>
          <cell r="H193">
            <v>0.18393499999999999</v>
          </cell>
          <cell r="I193">
            <v>0.250025</v>
          </cell>
          <cell r="J193">
            <v>8.7933333333333336E-2</v>
          </cell>
          <cell r="K193">
            <v>0.45736666666666664</v>
          </cell>
          <cell r="L193">
            <v>0.99891833333333335</v>
          </cell>
          <cell r="M193">
            <v>9.4050000000000002E-3</v>
          </cell>
          <cell r="N193">
            <v>9.8923333333333321E-2</v>
          </cell>
          <cell r="O193">
            <v>5.2488333333333338E-2</v>
          </cell>
          <cell r="P193">
            <v>6.5591666666666673E-2</v>
          </cell>
          <cell r="Q193">
            <v>0.52189333333333332</v>
          </cell>
          <cell r="R193">
            <v>1.6826933333333334</v>
          </cell>
          <cell r="S193">
            <v>0</v>
          </cell>
          <cell r="T193">
            <v>0</v>
          </cell>
          <cell r="U193">
            <v>0</v>
          </cell>
          <cell r="V193">
            <v>2.2045866666666667</v>
          </cell>
        </row>
        <row r="194">
          <cell r="D194" t="str">
            <v>KCSR-67030A 2201</v>
          </cell>
          <cell r="E194" t="str">
            <v>KCSR67030A</v>
          </cell>
          <cell r="F194">
            <v>1240.5</v>
          </cell>
          <cell r="G194">
            <v>0</v>
          </cell>
          <cell r="H194">
            <v>0.19003</v>
          </cell>
          <cell r="I194">
            <v>0.25569999999999998</v>
          </cell>
          <cell r="J194">
            <v>9.6205000000000013E-2</v>
          </cell>
          <cell r="K194">
            <v>0.47137333333333331</v>
          </cell>
          <cell r="L194">
            <v>1.0388133333333334</v>
          </cell>
          <cell r="M194">
            <v>9.4050000000000002E-3</v>
          </cell>
          <cell r="N194">
            <v>0.10167666666666667</v>
          </cell>
          <cell r="O194">
            <v>5.4543333333333339E-2</v>
          </cell>
          <cell r="P194">
            <v>7.3010000000000005E-2</v>
          </cell>
          <cell r="Q194">
            <v>0.54193499999999994</v>
          </cell>
          <cell r="R194">
            <v>1.7488216666666669</v>
          </cell>
          <cell r="S194">
            <v>0</v>
          </cell>
          <cell r="T194">
            <v>0</v>
          </cell>
          <cell r="U194">
            <v>0</v>
          </cell>
          <cell r="V194">
            <v>2.2907566666666668</v>
          </cell>
        </row>
        <row r="195">
          <cell r="D195" t="str">
            <v>KDVE-67030 0921</v>
          </cell>
          <cell r="E195" t="str">
            <v>KDVE67030</v>
          </cell>
          <cell r="F195">
            <v>1555.66569</v>
          </cell>
          <cell r="G195">
            <v>35.941699999999997</v>
          </cell>
          <cell r="H195">
            <v>0.20641666666666666</v>
          </cell>
          <cell r="I195">
            <v>0.33326</v>
          </cell>
          <cell r="J195">
            <v>8.7639999999999996E-2</v>
          </cell>
          <cell r="K195">
            <v>0.53912499999999997</v>
          </cell>
          <cell r="L195">
            <v>1.1094733333333333</v>
          </cell>
          <cell r="M195">
            <v>1.3585000000000002E-2</v>
          </cell>
          <cell r="N195">
            <v>0.11447166666666667</v>
          </cell>
          <cell r="O195">
            <v>8.0670000000000006E-2</v>
          </cell>
          <cell r="P195">
            <v>8.493666666666666E-2</v>
          </cell>
          <cell r="Q195">
            <v>0.62731666666666674</v>
          </cell>
          <cell r="R195">
            <v>1.9422616666666666</v>
          </cell>
          <cell r="S195">
            <v>2.5163333333333329E-2</v>
          </cell>
          <cell r="T195">
            <v>0</v>
          </cell>
          <cell r="U195">
            <v>0</v>
          </cell>
          <cell r="V195">
            <v>2.5947416666666667</v>
          </cell>
        </row>
        <row r="196">
          <cell r="D196" t="str">
            <v>KEFW-67030A 2201</v>
          </cell>
          <cell r="E196" t="str">
            <v>KEFW67030A</v>
          </cell>
          <cell r="F196">
            <v>1248.0999999999999</v>
          </cell>
          <cell r="G196">
            <v>0</v>
          </cell>
          <cell r="H196">
            <v>0.18729999999999999</v>
          </cell>
          <cell r="I196">
            <v>0.25583666666666666</v>
          </cell>
          <cell r="J196">
            <v>8.7933333333333336E-2</v>
          </cell>
          <cell r="K196">
            <v>0.46862333333333334</v>
          </cell>
          <cell r="L196">
            <v>1.0052883333333333</v>
          </cell>
          <cell r="M196">
            <v>9.4050000000000002E-3</v>
          </cell>
          <cell r="N196">
            <v>9.990166666666668E-2</v>
          </cell>
          <cell r="O196">
            <v>5.2883333333333331E-2</v>
          </cell>
          <cell r="P196">
            <v>6.783666666666667E-2</v>
          </cell>
          <cell r="Q196">
            <v>0.53106999999999993</v>
          </cell>
          <cell r="R196">
            <v>1.7039383333333338</v>
          </cell>
          <cell r="S196">
            <v>0</v>
          </cell>
          <cell r="T196">
            <v>0</v>
          </cell>
          <cell r="U196">
            <v>0</v>
          </cell>
          <cell r="V196">
            <v>2.2350083333333339</v>
          </cell>
        </row>
        <row r="197">
          <cell r="D197" t="str">
            <v>KEGA-67030A 2201</v>
          </cell>
          <cell r="E197" t="str">
            <v>KEGA67030A</v>
          </cell>
          <cell r="F197">
            <v>1279.4000000000001</v>
          </cell>
          <cell r="G197">
            <v>0</v>
          </cell>
          <cell r="H197">
            <v>0.19345166666666669</v>
          </cell>
          <cell r="I197">
            <v>0.26151166666666664</v>
          </cell>
          <cell r="J197">
            <v>9.6205000000000013E-2</v>
          </cell>
          <cell r="K197">
            <v>0.48054000000000002</v>
          </cell>
          <cell r="L197">
            <v>1.0538283333333334</v>
          </cell>
          <cell r="M197">
            <v>9.4050000000000002E-3</v>
          </cell>
          <cell r="N197">
            <v>0.102655</v>
          </cell>
          <cell r="O197">
            <v>5.4938333333333332E-2</v>
          </cell>
          <cell r="P197">
            <v>7.5255000000000002E-2</v>
          </cell>
          <cell r="Q197">
            <v>0.55116833333333337</v>
          </cell>
          <cell r="R197">
            <v>1.7766216666666668</v>
          </cell>
          <cell r="S197">
            <v>0</v>
          </cell>
          <cell r="T197">
            <v>0</v>
          </cell>
          <cell r="U197">
            <v>0</v>
          </cell>
          <cell r="V197">
            <v>2.3277900000000002</v>
          </cell>
        </row>
        <row r="198">
          <cell r="D198" t="str">
            <v>KEGD-67030A 2102</v>
          </cell>
          <cell r="E198" t="str">
            <v>KEGD67030</v>
          </cell>
          <cell r="F198">
            <v>1303.0400299999999</v>
          </cell>
          <cell r="G198">
            <v>0</v>
          </cell>
          <cell r="H198">
            <v>0.19262833333333335</v>
          </cell>
          <cell r="I198">
            <v>0.28799499999999995</v>
          </cell>
          <cell r="J198">
            <v>9.4399999999999998E-2</v>
          </cell>
          <cell r="K198">
            <v>0.47551666666666664</v>
          </cell>
          <cell r="L198">
            <v>1.0259616666666667</v>
          </cell>
          <cell r="M198">
            <v>9.4050000000000002E-3</v>
          </cell>
          <cell r="N198">
            <v>0.10072333333333333</v>
          </cell>
          <cell r="O198">
            <v>5.3344999999999997E-2</v>
          </cell>
          <cell r="P198">
            <v>6.810833333333334E-2</v>
          </cell>
          <cell r="Q198">
            <v>0.57502333333333333</v>
          </cell>
          <cell r="R198">
            <v>1.73306</v>
          </cell>
          <cell r="S198">
            <v>0</v>
          </cell>
          <cell r="T198">
            <v>0</v>
          </cell>
          <cell r="U198">
            <v>0</v>
          </cell>
          <cell r="V198">
            <v>2.3080833333333333</v>
          </cell>
        </row>
        <row r="199">
          <cell r="D199" t="str">
            <v>KEGD-67030A 2201</v>
          </cell>
          <cell r="E199" t="str">
            <v>KEGD67030A</v>
          </cell>
          <cell r="F199">
            <v>1303</v>
          </cell>
          <cell r="G199">
            <v>0</v>
          </cell>
          <cell r="H199">
            <v>0.19257166666666667</v>
          </cell>
          <cell r="I199">
            <v>0.28799499999999995</v>
          </cell>
          <cell r="J199">
            <v>9.4399999999999998E-2</v>
          </cell>
          <cell r="K199">
            <v>0.47760666666666668</v>
          </cell>
          <cell r="L199">
            <v>1.017315</v>
          </cell>
          <cell r="M199">
            <v>9.4050000000000002E-3</v>
          </cell>
          <cell r="N199">
            <v>0.10072333333333333</v>
          </cell>
          <cell r="O199">
            <v>5.3344999999999997E-2</v>
          </cell>
          <cell r="P199">
            <v>6.810833333333334E-2</v>
          </cell>
          <cell r="Q199">
            <v>0.57496666666666663</v>
          </cell>
          <cell r="R199">
            <v>1.7265033333333335</v>
          </cell>
          <cell r="S199">
            <v>0</v>
          </cell>
          <cell r="T199">
            <v>0</v>
          </cell>
          <cell r="U199">
            <v>0</v>
          </cell>
          <cell r="V199">
            <v>2.3014700000000001</v>
          </cell>
        </row>
        <row r="200">
          <cell r="D200" t="str">
            <v>KEGE-67030A 2201</v>
          </cell>
          <cell r="E200" t="str">
            <v>KEGE67030A</v>
          </cell>
          <cell r="F200">
            <v>1334.3</v>
          </cell>
          <cell r="G200">
            <v>0</v>
          </cell>
          <cell r="H200">
            <v>0.19872333333333334</v>
          </cell>
          <cell r="I200">
            <v>0.29366999999999999</v>
          </cell>
          <cell r="J200">
            <v>0.10267166666666667</v>
          </cell>
          <cell r="K200">
            <v>0.48952333333333337</v>
          </cell>
          <cell r="L200">
            <v>1.0689166666666667</v>
          </cell>
          <cell r="M200">
            <v>9.4050000000000002E-3</v>
          </cell>
          <cell r="N200">
            <v>0.10347833333333334</v>
          </cell>
          <cell r="O200">
            <v>5.5403333333333332E-2</v>
          </cell>
          <cell r="P200">
            <v>7.5526666666666673E-2</v>
          </cell>
          <cell r="Q200">
            <v>0.59506500000000007</v>
          </cell>
          <cell r="R200">
            <v>1.8022533333333335</v>
          </cell>
          <cell r="S200">
            <v>0</v>
          </cell>
          <cell r="T200">
            <v>0</v>
          </cell>
          <cell r="U200">
            <v>0</v>
          </cell>
          <cell r="V200">
            <v>2.3973183333333337</v>
          </cell>
        </row>
        <row r="201">
          <cell r="D201" t="str">
            <v>KEGK-67120 0601</v>
          </cell>
          <cell r="E201" t="str">
            <v>KEGK67120</v>
          </cell>
          <cell r="F201">
            <v>29.7</v>
          </cell>
          <cell r="G201">
            <v>0</v>
          </cell>
          <cell r="H201">
            <v>9.5516666666666684E-3</v>
          </cell>
          <cell r="I201">
            <v>5.2800000000000008E-3</v>
          </cell>
          <cell r="J201">
            <v>0</v>
          </cell>
          <cell r="K201">
            <v>1.6500000000000001E-2</v>
          </cell>
          <cell r="L201">
            <v>0.20401166666666667</v>
          </cell>
          <cell r="M201">
            <v>1.0450000000000001E-3</v>
          </cell>
          <cell r="N201">
            <v>1.8710000000000001E-2</v>
          </cell>
          <cell r="O201">
            <v>1.0985E-2</v>
          </cell>
          <cell r="P201">
            <v>5.6366666666666666E-3</v>
          </cell>
          <cell r="Q201">
            <v>1.483166666666667E-2</v>
          </cell>
          <cell r="R201">
            <v>0.25688833333333333</v>
          </cell>
          <cell r="S201">
            <v>0</v>
          </cell>
          <cell r="T201">
            <v>0</v>
          </cell>
          <cell r="U201">
            <v>0</v>
          </cell>
          <cell r="V201">
            <v>0.27172000000000002</v>
          </cell>
        </row>
        <row r="202">
          <cell r="D202" t="str">
            <v>KEGP-67120 0442</v>
          </cell>
          <cell r="E202" t="str">
            <v>KEGP67120</v>
          </cell>
          <cell r="F202">
            <v>34.21622</v>
          </cell>
          <cell r="G202">
            <v>0</v>
          </cell>
          <cell r="H202">
            <v>1.1015E-2</v>
          </cell>
          <cell r="I202">
            <v>5.2800000000000008E-3</v>
          </cell>
          <cell r="J202">
            <v>0</v>
          </cell>
          <cell r="K202">
            <v>2.1761666666666669E-2</v>
          </cell>
          <cell r="L202">
            <v>0.23149166666666668</v>
          </cell>
          <cell r="M202">
            <v>1.0450000000000001E-3</v>
          </cell>
          <cell r="N202">
            <v>2.0799999999999999E-2</v>
          </cell>
          <cell r="O202">
            <v>1.2119999999999999E-2</v>
          </cell>
          <cell r="P202">
            <v>6.3200000000000001E-3</v>
          </cell>
          <cell r="Q202">
            <v>1.6295E-2</v>
          </cell>
          <cell r="R202">
            <v>0.29353833333333335</v>
          </cell>
          <cell r="S202">
            <v>0</v>
          </cell>
          <cell r="T202">
            <v>0</v>
          </cell>
          <cell r="U202">
            <v>0</v>
          </cell>
          <cell r="V202">
            <v>0.30983333333333335</v>
          </cell>
        </row>
        <row r="203">
          <cell r="D203" t="str">
            <v>KEGS-67120 0442</v>
          </cell>
          <cell r="E203" t="str">
            <v>KEGS67120</v>
          </cell>
          <cell r="F203">
            <v>52.11938</v>
          </cell>
          <cell r="G203">
            <v>0</v>
          </cell>
          <cell r="H203">
            <v>1.4376666666666668E-2</v>
          </cell>
          <cell r="I203">
            <v>1.0534999999999999E-2</v>
          </cell>
          <cell r="J203">
            <v>0</v>
          </cell>
          <cell r="K203">
            <v>3.0928333333333332E-2</v>
          </cell>
          <cell r="L203">
            <v>0.25320166666666666</v>
          </cell>
          <cell r="M203">
            <v>1.0450000000000001E-3</v>
          </cell>
          <cell r="N203">
            <v>2.2398333333333336E-2</v>
          </cell>
          <cell r="O203">
            <v>1.3075E-2</v>
          </cell>
          <cell r="P203">
            <v>6.8799999999999998E-3</v>
          </cell>
          <cell r="Q203">
            <v>2.4911666666666665E-2</v>
          </cell>
          <cell r="R203">
            <v>0.32752833333333337</v>
          </cell>
          <cell r="S203">
            <v>0</v>
          </cell>
          <cell r="T203">
            <v>0</v>
          </cell>
          <cell r="U203">
            <v>0</v>
          </cell>
          <cell r="V203">
            <v>0.35244000000000003</v>
          </cell>
        </row>
        <row r="204">
          <cell r="D204" t="str">
            <v>KEHD-67030A 2201</v>
          </cell>
          <cell r="E204" t="str">
            <v>KEHD67030A</v>
          </cell>
          <cell r="F204">
            <v>1244.7</v>
          </cell>
          <cell r="G204">
            <v>0</v>
          </cell>
          <cell r="H204">
            <v>0.18606333333333333</v>
          </cell>
          <cell r="I204">
            <v>0.26528499999999999</v>
          </cell>
          <cell r="J204">
            <v>9.4399999999999998E-2</v>
          </cell>
          <cell r="K204">
            <v>0.45783499999999999</v>
          </cell>
          <cell r="L204">
            <v>1.0009266666666667</v>
          </cell>
          <cell r="M204">
            <v>9.4050000000000002E-3</v>
          </cell>
          <cell r="N204">
            <v>9.8923333333333321E-2</v>
          </cell>
          <cell r="O204">
            <v>5.006E-2</v>
          </cell>
          <cell r="P204">
            <v>6.762E-2</v>
          </cell>
          <cell r="Q204">
            <v>0.54574833333333339</v>
          </cell>
          <cell r="R204">
            <v>1.6847700000000001</v>
          </cell>
          <cell r="S204">
            <v>0</v>
          </cell>
          <cell r="T204">
            <v>0</v>
          </cell>
          <cell r="U204">
            <v>0</v>
          </cell>
          <cell r="V204">
            <v>2.2305183333333334</v>
          </cell>
        </row>
        <row r="205">
          <cell r="D205" t="str">
            <v>KEHE-67120 0601</v>
          </cell>
          <cell r="E205" t="str">
            <v>KEHE67120</v>
          </cell>
          <cell r="F205">
            <v>64.599999999999994</v>
          </cell>
          <cell r="G205">
            <v>0</v>
          </cell>
          <cell r="H205">
            <v>1.6900000000000002E-2</v>
          </cell>
          <cell r="I205">
            <v>1.0534999999999999E-2</v>
          </cell>
          <cell r="J205">
            <v>0</v>
          </cell>
          <cell r="K205">
            <v>3.6244999999999999E-2</v>
          </cell>
          <cell r="L205">
            <v>0.27854333333333331</v>
          </cell>
          <cell r="M205">
            <v>2.0900000000000003E-3</v>
          </cell>
          <cell r="N205">
            <v>2.6368333333333334E-2</v>
          </cell>
          <cell r="O205">
            <v>1.7031666666666667E-2</v>
          </cell>
          <cell r="P205">
            <v>7.6366666666666666E-3</v>
          </cell>
          <cell r="Q205">
            <v>2.7435000000000001E-2</v>
          </cell>
          <cell r="R205">
            <v>0.36791499999999999</v>
          </cell>
          <cell r="S205">
            <v>0</v>
          </cell>
          <cell r="T205">
            <v>0</v>
          </cell>
          <cell r="U205">
            <v>0</v>
          </cell>
          <cell r="V205">
            <v>0.39534999999999998</v>
          </cell>
        </row>
        <row r="206">
          <cell r="D206" t="str">
            <v>KEHF-67120A 0601</v>
          </cell>
          <cell r="E206" t="str">
            <v>KEHF67120A</v>
          </cell>
          <cell r="F206">
            <v>98.3</v>
          </cell>
          <cell r="G206">
            <v>0</v>
          </cell>
          <cell r="H206">
            <v>2.4431666666666668E-2</v>
          </cell>
          <cell r="I206">
            <v>2.2608333333333334E-2</v>
          </cell>
          <cell r="J206">
            <v>0</v>
          </cell>
          <cell r="K206">
            <v>5.0728333333333334E-2</v>
          </cell>
          <cell r="L206">
            <v>0.37181833333333336</v>
          </cell>
          <cell r="M206">
            <v>2.0900000000000003E-3</v>
          </cell>
          <cell r="N206">
            <v>3.1940000000000003E-2</v>
          </cell>
          <cell r="O206">
            <v>2.0396666666666667E-2</v>
          </cell>
          <cell r="P206">
            <v>9.5683333333333349E-3</v>
          </cell>
          <cell r="Q206">
            <v>4.7039999999999998E-2</v>
          </cell>
          <cell r="R206">
            <v>0.48654166666666671</v>
          </cell>
          <cell r="S206">
            <v>0</v>
          </cell>
          <cell r="T206">
            <v>0</v>
          </cell>
          <cell r="U206">
            <v>0</v>
          </cell>
          <cell r="V206">
            <v>0.53358166666666673</v>
          </cell>
        </row>
        <row r="207">
          <cell r="D207" t="str">
            <v>KEHG-67030A 2201</v>
          </cell>
          <cell r="E207" t="str">
            <v>KEHG67030A</v>
          </cell>
          <cell r="F207">
            <v>1253.2</v>
          </cell>
          <cell r="G207">
            <v>0</v>
          </cell>
          <cell r="H207">
            <v>0.19034999999999999</v>
          </cell>
          <cell r="I207">
            <v>0.26020333333333334</v>
          </cell>
          <cell r="J207">
            <v>8.7933333333333336E-2</v>
          </cell>
          <cell r="K207">
            <v>0.47778999999999999</v>
          </cell>
          <cell r="L207">
            <v>1.016445</v>
          </cell>
          <cell r="M207">
            <v>9.4050000000000002E-3</v>
          </cell>
          <cell r="N207">
            <v>0.10088333333333334</v>
          </cell>
          <cell r="O207">
            <v>5.5625000000000001E-2</v>
          </cell>
          <cell r="P207">
            <v>6.808666666666667E-2</v>
          </cell>
          <cell r="Q207">
            <v>0.53848666666666667</v>
          </cell>
          <cell r="R207">
            <v>1.7282350000000002</v>
          </cell>
          <cell r="S207">
            <v>0</v>
          </cell>
          <cell r="T207">
            <v>0</v>
          </cell>
          <cell r="U207">
            <v>0</v>
          </cell>
          <cell r="V207">
            <v>2.2667216666666667</v>
          </cell>
        </row>
        <row r="208">
          <cell r="D208" t="str">
            <v>KEHH-67030A 2201</v>
          </cell>
          <cell r="E208" t="str">
            <v>KEHH67030A</v>
          </cell>
          <cell r="F208">
            <v>1308.2</v>
          </cell>
          <cell r="G208">
            <v>0</v>
          </cell>
          <cell r="H208">
            <v>0.19562333333333332</v>
          </cell>
          <cell r="I208">
            <v>0.29236166666666663</v>
          </cell>
          <cell r="J208">
            <v>9.4399999999999998E-2</v>
          </cell>
          <cell r="K208">
            <v>0.48677333333333334</v>
          </cell>
          <cell r="L208">
            <v>1.0284716666666667</v>
          </cell>
          <cell r="M208">
            <v>9.4050000000000002E-3</v>
          </cell>
          <cell r="N208">
            <v>0.10170499999999999</v>
          </cell>
          <cell r="O208">
            <v>5.608833333333333E-2</v>
          </cell>
          <cell r="P208">
            <v>6.8360000000000004E-2</v>
          </cell>
          <cell r="Q208">
            <v>0.58238499999999993</v>
          </cell>
          <cell r="R208">
            <v>1.7508033333333333</v>
          </cell>
          <cell r="S208">
            <v>0</v>
          </cell>
          <cell r="T208">
            <v>0</v>
          </cell>
          <cell r="U208">
            <v>0</v>
          </cell>
          <cell r="V208">
            <v>2.3331883333333332</v>
          </cell>
        </row>
        <row r="209">
          <cell r="D209" t="str">
            <v>KEJB-67030A 2201</v>
          </cell>
          <cell r="E209" t="str">
            <v>KEJB67030A</v>
          </cell>
          <cell r="F209">
            <v>1304.3</v>
          </cell>
          <cell r="G209">
            <v>0</v>
          </cell>
          <cell r="H209">
            <v>0.20267333333333332</v>
          </cell>
          <cell r="I209">
            <v>0.33512166666666665</v>
          </cell>
          <cell r="J209">
            <v>0.10896</v>
          </cell>
          <cell r="K209">
            <v>0.49612333333333331</v>
          </cell>
          <cell r="L209">
            <v>1.0448983333333333</v>
          </cell>
          <cell r="M209">
            <v>9.4050000000000002E-3</v>
          </cell>
          <cell r="N209">
            <v>0.10223666666666667</v>
          </cell>
          <cell r="O209">
            <v>5.4543333333333339E-2</v>
          </cell>
          <cell r="P209">
            <v>7.3010000000000005E-2</v>
          </cell>
          <cell r="Q209">
            <v>0.64675499999999997</v>
          </cell>
          <cell r="R209">
            <v>1.7802166666666668</v>
          </cell>
          <cell r="S209">
            <v>0</v>
          </cell>
          <cell r="T209">
            <v>0</v>
          </cell>
          <cell r="U209">
            <v>0</v>
          </cell>
          <cell r="V209">
            <v>2.4269716666666667</v>
          </cell>
        </row>
        <row r="210">
          <cell r="D210" t="str">
            <v>KEJD-67030A 2201</v>
          </cell>
          <cell r="E210" t="str">
            <v>KEJD67030A</v>
          </cell>
          <cell r="F210">
            <v>1343.1920600000001</v>
          </cell>
          <cell r="G210">
            <v>0</v>
          </cell>
          <cell r="H210">
            <v>0.206095</v>
          </cell>
          <cell r="I210">
            <v>0.34093333333333331</v>
          </cell>
          <cell r="J210">
            <v>0.10896</v>
          </cell>
          <cell r="K210">
            <v>0.50529000000000002</v>
          </cell>
          <cell r="L210">
            <v>1.0599133333333333</v>
          </cell>
          <cell r="M210">
            <v>9.4050000000000002E-3</v>
          </cell>
          <cell r="N210">
            <v>0.103215</v>
          </cell>
          <cell r="O210">
            <v>5.4938333333333332E-2</v>
          </cell>
          <cell r="P210">
            <v>7.5255000000000002E-2</v>
          </cell>
          <cell r="Q210">
            <v>0.6559883333333334</v>
          </cell>
          <cell r="R210">
            <v>1.8080166666666668</v>
          </cell>
          <cell r="S210">
            <v>0</v>
          </cell>
          <cell r="T210">
            <v>0</v>
          </cell>
          <cell r="U210">
            <v>0</v>
          </cell>
          <cell r="V210">
            <v>2.4640050000000002</v>
          </cell>
        </row>
        <row r="211">
          <cell r="D211" t="str">
            <v>KEJE-67030A 2201</v>
          </cell>
          <cell r="E211" t="str">
            <v>KEJE67030A</v>
          </cell>
          <cell r="F211">
            <v>1398.2</v>
          </cell>
          <cell r="G211">
            <v>0</v>
          </cell>
          <cell r="H211">
            <v>0.21136666666666667</v>
          </cell>
          <cell r="I211">
            <v>0.37309166666666665</v>
          </cell>
          <cell r="J211">
            <v>0.11542666666666666</v>
          </cell>
          <cell r="K211">
            <v>0.51427333333333336</v>
          </cell>
          <cell r="L211">
            <v>1.0750033333333335</v>
          </cell>
          <cell r="M211">
            <v>9.4050000000000002E-3</v>
          </cell>
          <cell r="N211">
            <v>0.10403833333333333</v>
          </cell>
          <cell r="O211">
            <v>5.5403333333333332E-2</v>
          </cell>
          <cell r="P211">
            <v>7.5526666666666673E-2</v>
          </cell>
          <cell r="Q211">
            <v>0.69988499999999998</v>
          </cell>
          <cell r="R211">
            <v>1.8336500000000002</v>
          </cell>
          <cell r="S211">
            <v>0</v>
          </cell>
          <cell r="T211">
            <v>0</v>
          </cell>
          <cell r="U211">
            <v>0</v>
          </cell>
          <cell r="V211">
            <v>2.5335350000000001</v>
          </cell>
        </row>
        <row r="212">
          <cell r="D212" t="str">
            <v>KEJV-67120 0601</v>
          </cell>
          <cell r="E212" t="str">
            <v>KEJV67120</v>
          </cell>
          <cell r="F212">
            <v>191</v>
          </cell>
          <cell r="G212">
            <v>0</v>
          </cell>
          <cell r="H212">
            <v>3.3378333333333329E-2</v>
          </cell>
          <cell r="I212">
            <v>1.0534999999999999E-2</v>
          </cell>
          <cell r="J212">
            <v>0</v>
          </cell>
          <cell r="K212">
            <v>7.8724999999999989E-2</v>
          </cell>
          <cell r="L212">
            <v>0.39998499999999998</v>
          </cell>
          <cell r="M212">
            <v>2.0900000000000003E-3</v>
          </cell>
          <cell r="N212">
            <v>3.4328333333333329E-2</v>
          </cell>
          <cell r="O212">
            <v>2.0479999999999998E-2</v>
          </cell>
          <cell r="P212">
            <v>1.4976666666666666E-2</v>
          </cell>
          <cell r="Q212">
            <v>4.3913333333333332E-2</v>
          </cell>
          <cell r="R212">
            <v>0.55058499999999988</v>
          </cell>
          <cell r="S212">
            <v>0</v>
          </cell>
          <cell r="T212">
            <v>0</v>
          </cell>
          <cell r="U212">
            <v>0</v>
          </cell>
          <cell r="V212">
            <v>0.59449833333333324</v>
          </cell>
        </row>
        <row r="213">
          <cell r="D213" t="str">
            <v>KEJW-67120A 0601</v>
          </cell>
          <cell r="E213" t="str">
            <v>KEJW67120A</v>
          </cell>
          <cell r="F213">
            <v>224.7</v>
          </cell>
          <cell r="G213">
            <v>0</v>
          </cell>
          <cell r="H213">
            <v>4.0906666666666668E-2</v>
          </cell>
          <cell r="I213">
            <v>2.2608333333333334E-2</v>
          </cell>
          <cell r="J213">
            <v>0</v>
          </cell>
          <cell r="K213">
            <v>9.3208333333333337E-2</v>
          </cell>
          <cell r="L213">
            <v>0.49326000000000003</v>
          </cell>
          <cell r="M213">
            <v>2.0900000000000003E-3</v>
          </cell>
          <cell r="N213">
            <v>3.9901666666666662E-2</v>
          </cell>
          <cell r="O213">
            <v>2.3848333333333336E-2</v>
          </cell>
          <cell r="P213">
            <v>1.6909999999999998E-2</v>
          </cell>
          <cell r="Q213">
            <v>6.3515000000000002E-2</v>
          </cell>
          <cell r="R213">
            <v>0.66921833333333336</v>
          </cell>
          <cell r="S213">
            <v>0</v>
          </cell>
          <cell r="T213">
            <v>0</v>
          </cell>
          <cell r="U213">
            <v>0</v>
          </cell>
          <cell r="V213">
            <v>0.73273333333333335</v>
          </cell>
        </row>
        <row r="214">
          <cell r="D214" t="str">
            <v>KGTR-67030 0731</v>
          </cell>
          <cell r="E214" t="str">
            <v>KGTR67030</v>
          </cell>
          <cell r="F214">
            <v>1593.66905</v>
          </cell>
          <cell r="G214">
            <v>36.046199999999999</v>
          </cell>
          <cell r="H214">
            <v>0.20582500000000001</v>
          </cell>
          <cell r="I214">
            <v>0.26295333333333332</v>
          </cell>
          <cell r="J214">
            <v>7.2251666666666658E-2</v>
          </cell>
          <cell r="K214">
            <v>0.54710833333333342</v>
          </cell>
          <cell r="L214">
            <v>1.21665</v>
          </cell>
          <cell r="M214">
            <v>1.4630000000000001E-2</v>
          </cell>
          <cell r="N214">
            <v>0.11817166666666666</v>
          </cell>
          <cell r="O214">
            <v>7.9081666666666675E-2</v>
          </cell>
          <cell r="P214">
            <v>9.3045000000000003E-2</v>
          </cell>
          <cell r="Q214">
            <v>0.5410299999999999</v>
          </cell>
          <cell r="R214">
            <v>2.0686866666666668</v>
          </cell>
          <cell r="S214">
            <v>2.5163333333333329E-2</v>
          </cell>
          <cell r="T214">
            <v>0</v>
          </cell>
          <cell r="U214">
            <v>0</v>
          </cell>
          <cell r="V214">
            <v>2.6348799999999999</v>
          </cell>
        </row>
        <row r="215">
          <cell r="D215" t="str">
            <v>KGVD-67030 0731</v>
          </cell>
          <cell r="E215" t="str">
            <v>KGVD67030</v>
          </cell>
          <cell r="F215">
            <v>1650.0624299999999</v>
          </cell>
          <cell r="G215">
            <v>36.046199999999999</v>
          </cell>
          <cell r="H215">
            <v>0.21178333333333335</v>
          </cell>
          <cell r="I215">
            <v>0.29504666666666668</v>
          </cell>
          <cell r="J215">
            <v>7.8718333333333321E-2</v>
          </cell>
          <cell r="K215">
            <v>0.56071666666666664</v>
          </cell>
          <cell r="L215">
            <v>1.2252733333333334</v>
          </cell>
          <cell r="M215">
            <v>1.4630000000000001E-2</v>
          </cell>
          <cell r="N215">
            <v>0.11908833333333332</v>
          </cell>
          <cell r="O215">
            <v>7.9899999999999999E-2</v>
          </cell>
          <cell r="P215">
            <v>9.3550000000000008E-2</v>
          </cell>
          <cell r="Q215">
            <v>0.58554833333333334</v>
          </cell>
          <cell r="R215">
            <v>2.0931583333333332</v>
          </cell>
          <cell r="S215">
            <v>2.5163333333333329E-2</v>
          </cell>
          <cell r="T215">
            <v>0</v>
          </cell>
          <cell r="U215">
            <v>0</v>
          </cell>
          <cell r="V215">
            <v>2.7038700000000002</v>
          </cell>
        </row>
        <row r="216">
          <cell r="D216" t="str">
            <v>KGVF-67030 0731</v>
          </cell>
          <cell r="E216" t="str">
            <v>KGVF67030</v>
          </cell>
          <cell r="F216">
            <v>1732.2496000000001</v>
          </cell>
          <cell r="G216">
            <v>36.046199999999999</v>
          </cell>
          <cell r="H216">
            <v>0.21758833333333336</v>
          </cell>
          <cell r="I216">
            <v>0.30847833333333335</v>
          </cell>
          <cell r="J216">
            <v>8.8888333333333333E-2</v>
          </cell>
          <cell r="K216">
            <v>0.57300000000000006</v>
          </cell>
          <cell r="L216">
            <v>1.2496733333333334</v>
          </cell>
          <cell r="M216">
            <v>1.4630000000000001E-2</v>
          </cell>
          <cell r="N216">
            <v>0.12222</v>
          </cell>
          <cell r="O216">
            <v>8.3423333333333335E-2</v>
          </cell>
          <cell r="P216">
            <v>9.6180000000000002E-2</v>
          </cell>
          <cell r="Q216">
            <v>0.61495500000000003</v>
          </cell>
          <cell r="R216">
            <v>2.1391266666666664</v>
          </cell>
          <cell r="S216">
            <v>2.5163333333333329E-2</v>
          </cell>
          <cell r="T216">
            <v>0</v>
          </cell>
          <cell r="U216">
            <v>0</v>
          </cell>
          <cell r="V216">
            <v>2.779245</v>
          </cell>
        </row>
        <row r="217">
          <cell r="D217" t="str">
            <v>KGVH-67030 0712</v>
          </cell>
          <cell r="E217" t="str">
            <v>KGVH67030</v>
          </cell>
          <cell r="F217">
            <v>1479.5010400000001</v>
          </cell>
          <cell r="G217">
            <v>33.107799999999997</v>
          </cell>
          <cell r="H217">
            <v>0.18590000000000001</v>
          </cell>
          <cell r="I217">
            <v>0.20237000000000002</v>
          </cell>
          <cell r="J217">
            <v>5.7833333333333334E-2</v>
          </cell>
          <cell r="K217">
            <v>0.48264833333333335</v>
          </cell>
          <cell r="L217">
            <v>1.191235</v>
          </cell>
          <cell r="M217">
            <v>1.3585000000000002E-2</v>
          </cell>
          <cell r="N217">
            <v>0.11306666666666666</v>
          </cell>
          <cell r="O217">
            <v>7.5573333333333326E-2</v>
          </cell>
          <cell r="P217">
            <v>9.1906666666666664E-2</v>
          </cell>
          <cell r="Q217">
            <v>0.44610333333333335</v>
          </cell>
          <cell r="R217">
            <v>1.9680149999999998</v>
          </cell>
          <cell r="S217">
            <v>2.5163333333333329E-2</v>
          </cell>
          <cell r="T217">
            <v>0</v>
          </cell>
          <cell r="U217">
            <v>0</v>
          </cell>
          <cell r="V217">
            <v>2.4392816666666666</v>
          </cell>
        </row>
        <row r="218">
          <cell r="D218" t="str">
            <v>KGVK-67030 0712</v>
          </cell>
          <cell r="E218" t="str">
            <v>KGVK67030</v>
          </cell>
          <cell r="F218">
            <v>1571.6644799999999</v>
          </cell>
          <cell r="G218">
            <v>33.107799999999997</v>
          </cell>
          <cell r="H218">
            <v>0.19177666666666668</v>
          </cell>
          <cell r="I218">
            <v>0.21599333333333334</v>
          </cell>
          <cell r="J218">
            <v>7.2098333333333334E-2</v>
          </cell>
          <cell r="K218">
            <v>0.49493166666666671</v>
          </cell>
          <cell r="L218">
            <v>1.2175483333333332</v>
          </cell>
          <cell r="M218">
            <v>1.3585000000000002E-2</v>
          </cell>
          <cell r="N218">
            <v>0.11619833333333333</v>
          </cell>
          <cell r="O218">
            <v>7.9096666666666662E-2</v>
          </cell>
          <cell r="P218">
            <v>9.4536666666666672E-2</v>
          </cell>
          <cell r="Q218">
            <v>0.47986833333333334</v>
          </cell>
          <cell r="R218">
            <v>2.0158966666666664</v>
          </cell>
          <cell r="S218">
            <v>2.5163333333333329E-2</v>
          </cell>
          <cell r="T218">
            <v>0</v>
          </cell>
          <cell r="U218">
            <v>0</v>
          </cell>
          <cell r="V218">
            <v>2.520928333333333</v>
          </cell>
        </row>
        <row r="219">
          <cell r="D219" t="str">
            <v>KGVP-67030 1032</v>
          </cell>
          <cell r="E219" t="str">
            <v>KGVP67030</v>
          </cell>
          <cell r="F219">
            <v>1502.9058500000001</v>
          </cell>
          <cell r="G219">
            <v>36.046199999999999</v>
          </cell>
          <cell r="H219">
            <v>0.19507666666666665</v>
          </cell>
          <cell r="I219">
            <v>0.21379833333333334</v>
          </cell>
          <cell r="J219">
            <v>9.0896666666666667E-2</v>
          </cell>
          <cell r="K219">
            <v>0.51153999999999999</v>
          </cell>
          <cell r="L219">
            <v>1.1946099999999999</v>
          </cell>
          <cell r="M219">
            <v>1.3585000000000002E-2</v>
          </cell>
          <cell r="N219">
            <v>0.11573666666666667</v>
          </cell>
          <cell r="O219">
            <v>7.7836666666666679E-2</v>
          </cell>
          <cell r="P219">
            <v>9.0161666666666668E-2</v>
          </cell>
          <cell r="Q219">
            <v>0.49977166666666667</v>
          </cell>
          <cell r="R219">
            <v>2.0034700000000001</v>
          </cell>
          <cell r="S219">
            <v>4.2664999999999995E-2</v>
          </cell>
          <cell r="T219">
            <v>0</v>
          </cell>
          <cell r="U219">
            <v>0</v>
          </cell>
          <cell r="V219">
            <v>2.5459066666666668</v>
          </cell>
        </row>
        <row r="220">
          <cell r="D220" t="str">
            <v>KGVR-67030 1032</v>
          </cell>
          <cell r="E220" t="str">
            <v>KGVR67030</v>
          </cell>
          <cell r="F220">
            <v>1559.2992300000001</v>
          </cell>
          <cell r="G220">
            <v>36.046199999999999</v>
          </cell>
          <cell r="H220">
            <v>0.20103666666666667</v>
          </cell>
          <cell r="I220">
            <v>0.24589</v>
          </cell>
          <cell r="J220">
            <v>9.736333333333333E-2</v>
          </cell>
          <cell r="K220">
            <v>0.52514666666666665</v>
          </cell>
          <cell r="L220">
            <v>1.2032366666666665</v>
          </cell>
          <cell r="M220">
            <v>1.3585000000000002E-2</v>
          </cell>
          <cell r="N220">
            <v>0.11665166666666667</v>
          </cell>
          <cell r="O220">
            <v>7.8651666666666661E-2</v>
          </cell>
          <cell r="P220">
            <v>9.0666666666666673E-2</v>
          </cell>
          <cell r="Q220">
            <v>0.54429000000000005</v>
          </cell>
          <cell r="R220">
            <v>2.0279383333333332</v>
          </cell>
          <cell r="S220">
            <v>4.2664999999999995E-2</v>
          </cell>
          <cell r="T220">
            <v>0</v>
          </cell>
          <cell r="U220">
            <v>0</v>
          </cell>
          <cell r="V220">
            <v>2.6148933333333333</v>
          </cell>
        </row>
        <row r="221">
          <cell r="D221" t="str">
            <v>KGWD-67030 1032</v>
          </cell>
          <cell r="E221" t="str">
            <v>KGWD67030</v>
          </cell>
          <cell r="F221">
            <v>1444.16788</v>
          </cell>
          <cell r="G221">
            <v>33.534100000000002</v>
          </cell>
          <cell r="H221">
            <v>0.18409833333333334</v>
          </cell>
          <cell r="I221">
            <v>0.20512166666666667</v>
          </cell>
          <cell r="J221">
            <v>8.7555000000000008E-2</v>
          </cell>
          <cell r="K221">
            <v>0.47798833333333335</v>
          </cell>
          <cell r="L221">
            <v>1.1402216666666667</v>
          </cell>
          <cell r="M221">
            <v>1.3585000000000002E-2</v>
          </cell>
          <cell r="N221">
            <v>0.10885333333333333</v>
          </cell>
          <cell r="O221">
            <v>7.3491666666666677E-2</v>
          </cell>
          <cell r="P221">
            <v>8.7818333333333332E-2</v>
          </cell>
          <cell r="Q221">
            <v>0.476775</v>
          </cell>
          <cell r="R221">
            <v>1.9019583333333332</v>
          </cell>
          <cell r="S221">
            <v>4.2664999999999995E-2</v>
          </cell>
          <cell r="T221">
            <v>0</v>
          </cell>
          <cell r="U221">
            <v>0</v>
          </cell>
          <cell r="V221">
            <v>2.4213983333333333</v>
          </cell>
        </row>
        <row r="222">
          <cell r="D222" t="str">
            <v>KHFE-67030 1032</v>
          </cell>
          <cell r="E222" t="str">
            <v>KHFE67030</v>
          </cell>
          <cell r="F222">
            <v>1489.4474299999999</v>
          </cell>
          <cell r="G222">
            <v>33.534100000000002</v>
          </cell>
          <cell r="H222">
            <v>0.19036333333333333</v>
          </cell>
          <cell r="I222">
            <v>0.21723166666666666</v>
          </cell>
          <cell r="J222">
            <v>8.7555000000000008E-2</v>
          </cell>
          <cell r="K222">
            <v>0.49258166666666664</v>
          </cell>
          <cell r="L222">
            <v>1.2015516666666668</v>
          </cell>
          <cell r="M222">
            <v>1.4630000000000001E-2</v>
          </cell>
          <cell r="N222">
            <v>0.11365333333333334</v>
          </cell>
          <cell r="O222">
            <v>7.9504999999999992E-2</v>
          </cell>
          <cell r="P222">
            <v>9.8296666666666671E-2</v>
          </cell>
          <cell r="Q222">
            <v>0.49514999999999998</v>
          </cell>
          <cell r="R222">
            <v>2.0002183333333332</v>
          </cell>
          <cell r="S222">
            <v>4.2664999999999995E-2</v>
          </cell>
          <cell r="T222">
            <v>0</v>
          </cell>
          <cell r="U222">
            <v>0</v>
          </cell>
          <cell r="V222">
            <v>2.5380333333333334</v>
          </cell>
        </row>
        <row r="223">
          <cell r="D223" t="str">
            <v>KHFG-67030 1032</v>
          </cell>
          <cell r="E223" t="str">
            <v>KHFG67030</v>
          </cell>
          <cell r="F223">
            <v>1548.18848</v>
          </cell>
          <cell r="G223">
            <v>36.046199999999999</v>
          </cell>
          <cell r="H223">
            <v>0.20134166666666667</v>
          </cell>
          <cell r="I223">
            <v>0.22590666666666664</v>
          </cell>
          <cell r="J223">
            <v>9.0896666666666667E-2</v>
          </cell>
          <cell r="K223">
            <v>0.52613333333333334</v>
          </cell>
          <cell r="L223">
            <v>1.2559216666666666</v>
          </cell>
          <cell r="M223">
            <v>1.4630000000000001E-2</v>
          </cell>
          <cell r="N223">
            <v>0.12053666666666667</v>
          </cell>
          <cell r="O223">
            <v>8.3849999999999994E-2</v>
          </cell>
          <cell r="P223">
            <v>0.10064000000000001</v>
          </cell>
          <cell r="Q223">
            <v>0.51814499999999997</v>
          </cell>
          <cell r="R223">
            <v>2.1017116666666666</v>
          </cell>
          <cell r="S223">
            <v>4.2664999999999995E-2</v>
          </cell>
          <cell r="T223">
            <v>0</v>
          </cell>
          <cell r="U223">
            <v>0</v>
          </cell>
          <cell r="V223">
            <v>2.6625216666666667</v>
          </cell>
        </row>
        <row r="224">
          <cell r="D224" t="str">
            <v>KHFH-67030 1032</v>
          </cell>
          <cell r="E224" t="str">
            <v>KHFH67030</v>
          </cell>
          <cell r="F224">
            <v>1604.58186</v>
          </cell>
          <cell r="G224">
            <v>36.046199999999999</v>
          </cell>
          <cell r="H224">
            <v>0.20730166666666666</v>
          </cell>
          <cell r="I224">
            <v>0.25799833333333333</v>
          </cell>
          <cell r="J224">
            <v>9.736333333333333E-2</v>
          </cell>
          <cell r="K224">
            <v>0.53974</v>
          </cell>
          <cell r="L224">
            <v>1.2645483333333334</v>
          </cell>
          <cell r="M224">
            <v>1.4630000000000001E-2</v>
          </cell>
          <cell r="N224">
            <v>0.12145166666666667</v>
          </cell>
          <cell r="O224">
            <v>8.4665000000000004E-2</v>
          </cell>
          <cell r="P224">
            <v>0.101145</v>
          </cell>
          <cell r="Q224">
            <v>0.56266333333333329</v>
          </cell>
          <cell r="R224">
            <v>2.1261800000000002</v>
          </cell>
          <cell r="S224">
            <v>4.2664999999999995E-2</v>
          </cell>
          <cell r="T224">
            <v>0</v>
          </cell>
          <cell r="U224">
            <v>0</v>
          </cell>
          <cell r="V224">
            <v>2.7315083333333336</v>
          </cell>
        </row>
        <row r="225">
          <cell r="D225" t="str">
            <v>KHFS-67030 0641</v>
          </cell>
          <cell r="E225" t="str">
            <v>KHFS67030</v>
          </cell>
          <cell r="F225">
            <v>1630.4218499999999</v>
          </cell>
          <cell r="G225">
            <v>36.046199999999999</v>
          </cell>
          <cell r="H225">
            <v>0.20714833333333335</v>
          </cell>
          <cell r="I225">
            <v>0.24034333333333333</v>
          </cell>
          <cell r="J225">
            <v>0.10106666666666667</v>
          </cell>
          <cell r="K225">
            <v>0.53841666666666665</v>
          </cell>
          <cell r="L225">
            <v>1.2803266666666666</v>
          </cell>
          <cell r="M225">
            <v>1.4630000000000001E-2</v>
          </cell>
          <cell r="N225">
            <v>0.12366833333333332</v>
          </cell>
          <cell r="O225">
            <v>8.7374999999999994E-2</v>
          </cell>
          <cell r="P225">
            <v>0.10326833333333334</v>
          </cell>
          <cell r="Q225">
            <v>0.54855833333333337</v>
          </cell>
          <cell r="R225">
            <v>2.1476850000000001</v>
          </cell>
          <cell r="S225">
            <v>4.2664999999999995E-2</v>
          </cell>
          <cell r="T225">
            <v>0</v>
          </cell>
          <cell r="U225">
            <v>0</v>
          </cell>
          <cell r="V225">
            <v>2.7389083333333333</v>
          </cell>
        </row>
        <row r="226">
          <cell r="D226" t="str">
            <v>KHFT-67030 0641</v>
          </cell>
          <cell r="E226" t="str">
            <v>KHFT67030</v>
          </cell>
          <cell r="F226">
            <v>1641.53568</v>
          </cell>
          <cell r="G226">
            <v>36.046199999999999</v>
          </cell>
          <cell r="H226">
            <v>0.20684166666666667</v>
          </cell>
          <cell r="I226">
            <v>0.26032666666666665</v>
          </cell>
          <cell r="J226">
            <v>0.10753333333333333</v>
          </cell>
          <cell r="K226">
            <v>0.53743000000000007</v>
          </cell>
          <cell r="L226">
            <v>1.2276416666666667</v>
          </cell>
          <cell r="M226">
            <v>1.3585000000000002E-2</v>
          </cell>
          <cell r="N226">
            <v>0.11978333333333334</v>
          </cell>
          <cell r="O226">
            <v>8.2175000000000012E-2</v>
          </cell>
          <cell r="P226">
            <v>9.3294999999999989E-2</v>
          </cell>
          <cell r="Q226">
            <v>0.57470166666666667</v>
          </cell>
          <cell r="R226">
            <v>2.0739100000000001</v>
          </cell>
          <cell r="S226">
            <v>4.2664999999999995E-2</v>
          </cell>
          <cell r="T226">
            <v>0</v>
          </cell>
          <cell r="U226">
            <v>0</v>
          </cell>
          <cell r="V226">
            <v>2.6912766666666665</v>
          </cell>
        </row>
        <row r="227">
          <cell r="D227" t="str">
            <v>KHFV-67030 0641</v>
          </cell>
          <cell r="E227" t="str">
            <v>KHFV67030</v>
          </cell>
          <cell r="F227">
            <v>1686.8152299999999</v>
          </cell>
          <cell r="G227">
            <v>36.046199999999999</v>
          </cell>
          <cell r="H227">
            <v>0.21310666666666667</v>
          </cell>
          <cell r="I227">
            <v>0.27243499999999998</v>
          </cell>
          <cell r="J227">
            <v>0.10753333333333333</v>
          </cell>
          <cell r="K227">
            <v>0.55202333333333331</v>
          </cell>
          <cell r="L227">
            <v>1.2889533333333332</v>
          </cell>
          <cell r="M227">
            <v>1.4630000000000001E-2</v>
          </cell>
          <cell r="N227">
            <v>0.124585</v>
          </cell>
          <cell r="O227">
            <v>8.8191666666666668E-2</v>
          </cell>
          <cell r="P227">
            <v>0.10377333333333333</v>
          </cell>
          <cell r="Q227">
            <v>0.59307500000000002</v>
          </cell>
          <cell r="R227">
            <v>2.1721566666666665</v>
          </cell>
          <cell r="S227">
            <v>4.2664999999999995E-2</v>
          </cell>
          <cell r="T227">
            <v>0</v>
          </cell>
          <cell r="U227">
            <v>0</v>
          </cell>
          <cell r="V227">
            <v>2.8078966666666667</v>
          </cell>
        </row>
        <row r="228">
          <cell r="D228" t="str">
            <v>KHGD-67030 0641</v>
          </cell>
          <cell r="E228" t="str">
            <v>KHGD67030</v>
          </cell>
          <cell r="F228">
            <v>1790.91239</v>
          </cell>
          <cell r="G228">
            <v>36.046199999999999</v>
          </cell>
          <cell r="H228">
            <v>0.22449</v>
          </cell>
          <cell r="I228">
            <v>0.31989333333333331</v>
          </cell>
          <cell r="J228">
            <v>0.10753333333333333</v>
          </cell>
          <cell r="K228">
            <v>0.58638333333333337</v>
          </cell>
          <cell r="L228">
            <v>1.2590216666666667</v>
          </cell>
          <cell r="M228">
            <v>1.4630000000000001E-2</v>
          </cell>
          <cell r="N228">
            <v>0.12378666666666667</v>
          </cell>
          <cell r="O228">
            <v>8.3909999999999998E-2</v>
          </cell>
          <cell r="P228">
            <v>9.632333333333333E-2</v>
          </cell>
          <cell r="Q228">
            <v>0.6519166666666667</v>
          </cell>
          <cell r="R228">
            <v>2.1640549999999998</v>
          </cell>
          <cell r="S228">
            <v>4.2664999999999995E-2</v>
          </cell>
          <cell r="T228">
            <v>0</v>
          </cell>
          <cell r="U228">
            <v>0</v>
          </cell>
          <cell r="V228">
            <v>2.8586366666666665</v>
          </cell>
        </row>
        <row r="229">
          <cell r="D229" t="str">
            <v>KHGE-67030 0641</v>
          </cell>
          <cell r="E229" t="str">
            <v>KHGE67030</v>
          </cell>
          <cell r="F229">
            <v>1836.19237</v>
          </cell>
          <cell r="G229">
            <v>36.046199999999999</v>
          </cell>
          <cell r="H229">
            <v>0.23075499999999999</v>
          </cell>
          <cell r="I229">
            <v>0.33200166666666669</v>
          </cell>
          <cell r="J229">
            <v>0.10753333333333333</v>
          </cell>
          <cell r="K229">
            <v>0.6009766666666666</v>
          </cell>
          <cell r="L229">
            <v>1.3203333333333334</v>
          </cell>
          <cell r="M229">
            <v>1.5675000000000001E-2</v>
          </cell>
          <cell r="N229">
            <v>0.12858833333333333</v>
          </cell>
          <cell r="O229">
            <v>8.9928333333333332E-2</v>
          </cell>
          <cell r="P229">
            <v>0.10680166666666667</v>
          </cell>
          <cell r="Q229">
            <v>0.67029000000000005</v>
          </cell>
          <cell r="R229">
            <v>2.2623033333333336</v>
          </cell>
          <cell r="S229">
            <v>4.2664999999999995E-2</v>
          </cell>
          <cell r="T229">
            <v>0</v>
          </cell>
          <cell r="U229">
            <v>0</v>
          </cell>
          <cell r="V229">
            <v>2.9752583333333336</v>
          </cell>
        </row>
        <row r="230">
          <cell r="D230" t="str">
            <v>KHGF-67030 0641</v>
          </cell>
          <cell r="E230" t="str">
            <v>KHGF67030</v>
          </cell>
          <cell r="F230">
            <v>1829.74198</v>
          </cell>
          <cell r="G230">
            <v>36.046199999999999</v>
          </cell>
          <cell r="H230">
            <v>0.22875166666666666</v>
          </cell>
          <cell r="I230">
            <v>0.32230999999999999</v>
          </cell>
          <cell r="J230">
            <v>0.12302166666666667</v>
          </cell>
          <cell r="K230">
            <v>0.59481666666666666</v>
          </cell>
          <cell r="L230">
            <v>1.2900133333333335</v>
          </cell>
          <cell r="M230">
            <v>1.4630000000000001E-2</v>
          </cell>
          <cell r="N230">
            <v>0.12693166666666666</v>
          </cell>
          <cell r="O230">
            <v>8.5436666666666661E-2</v>
          </cell>
          <cell r="P230">
            <v>0.101175</v>
          </cell>
          <cell r="Q230">
            <v>0.67408333333333337</v>
          </cell>
          <cell r="R230">
            <v>2.2130033333333334</v>
          </cell>
          <cell r="S230">
            <v>4.2664999999999995E-2</v>
          </cell>
          <cell r="T230">
            <v>0</v>
          </cell>
          <cell r="U230">
            <v>0</v>
          </cell>
          <cell r="V230">
            <v>2.9297516666666668</v>
          </cell>
        </row>
        <row r="231">
          <cell r="D231" t="str">
            <v>KHGG-67030 0641</v>
          </cell>
          <cell r="E231" t="str">
            <v>KHGG67030</v>
          </cell>
          <cell r="F231">
            <v>1875.02196</v>
          </cell>
          <cell r="G231">
            <v>36.046199999999999</v>
          </cell>
          <cell r="H231">
            <v>0.23501666666666668</v>
          </cell>
          <cell r="I231">
            <v>0.33441833333333337</v>
          </cell>
          <cell r="J231">
            <v>0.12302166666666667</v>
          </cell>
          <cell r="K231">
            <v>0.60941000000000001</v>
          </cell>
          <cell r="L231">
            <v>1.3513266666666666</v>
          </cell>
          <cell r="M231">
            <v>1.5675000000000001E-2</v>
          </cell>
          <cell r="N231">
            <v>0.13173166666666666</v>
          </cell>
          <cell r="O231">
            <v>9.1451666666666667E-2</v>
          </cell>
          <cell r="P231">
            <v>0.11165333333333334</v>
          </cell>
          <cell r="Q231">
            <v>0.69245666666666672</v>
          </cell>
          <cell r="R231">
            <v>2.3112483333333333</v>
          </cell>
          <cell r="S231">
            <v>4.2664999999999995E-2</v>
          </cell>
          <cell r="T231">
            <v>0</v>
          </cell>
          <cell r="U231">
            <v>0</v>
          </cell>
          <cell r="V231">
            <v>3.04637</v>
          </cell>
        </row>
        <row r="232">
          <cell r="D232" t="str">
            <v>KHJE-67030 0731</v>
          </cell>
          <cell r="E232" t="str">
            <v>KHJE67030</v>
          </cell>
          <cell r="F232">
            <v>1444.2861800000001</v>
          </cell>
          <cell r="G232">
            <v>36.046199999999999</v>
          </cell>
          <cell r="H232">
            <v>0.18817666666666666</v>
          </cell>
          <cell r="I232">
            <v>0.20338833333333334</v>
          </cell>
          <cell r="J232">
            <v>7.2251666666666658E-2</v>
          </cell>
          <cell r="K232">
            <v>0.49815666666666664</v>
          </cell>
          <cell r="L232">
            <v>1.1852683333333334</v>
          </cell>
          <cell r="M232">
            <v>1.3585000000000002E-2</v>
          </cell>
          <cell r="N232">
            <v>0.11416833333333334</v>
          </cell>
          <cell r="O232">
            <v>7.7344999999999997E-2</v>
          </cell>
          <cell r="P232">
            <v>9.0016666666666662E-2</v>
          </cell>
          <cell r="Q232">
            <v>0.46381666666666665</v>
          </cell>
          <cell r="R232">
            <v>1.97854</v>
          </cell>
          <cell r="S232">
            <v>2.5163333333333329E-2</v>
          </cell>
          <cell r="T232">
            <v>0</v>
          </cell>
          <cell r="U232">
            <v>0</v>
          </cell>
          <cell r="V232">
            <v>2.4675199999999999</v>
          </cell>
        </row>
        <row r="233">
          <cell r="D233" t="str">
            <v>KHJF-67030 0731</v>
          </cell>
          <cell r="E233" t="str">
            <v>KHJF67030</v>
          </cell>
          <cell r="F233">
            <v>1675.8562199999999</v>
          </cell>
          <cell r="G233">
            <v>36.046199999999999</v>
          </cell>
          <cell r="H233">
            <v>0.21162833333333333</v>
          </cell>
          <cell r="I233">
            <v>0.27638500000000005</v>
          </cell>
          <cell r="J233">
            <v>8.2421666666666657E-2</v>
          </cell>
          <cell r="K233">
            <v>0.55939166666666662</v>
          </cell>
          <cell r="L233">
            <v>1.2410466666666666</v>
          </cell>
          <cell r="M233">
            <v>1.4630000000000001E-2</v>
          </cell>
          <cell r="N233">
            <v>0.121305</v>
          </cell>
          <cell r="O233">
            <v>8.2608333333333339E-2</v>
          </cell>
          <cell r="P233">
            <v>9.5674999999999996E-2</v>
          </cell>
          <cell r="Q233">
            <v>0.57043500000000003</v>
          </cell>
          <cell r="R233">
            <v>2.1146566666666664</v>
          </cell>
          <cell r="S233">
            <v>2.5163333333333329E-2</v>
          </cell>
          <cell r="T233">
            <v>0</v>
          </cell>
          <cell r="U233">
            <v>0</v>
          </cell>
          <cell r="V233">
            <v>2.7102550000000001</v>
          </cell>
        </row>
        <row r="234">
          <cell r="D234" t="str">
            <v>KHVM-67030 0731</v>
          </cell>
          <cell r="E234" t="str">
            <v>KHVM67030</v>
          </cell>
          <cell r="F234">
            <v>1771.0840900000001</v>
          </cell>
          <cell r="G234">
            <v>36.046199999999999</v>
          </cell>
          <cell r="H234">
            <v>0.22184999999999999</v>
          </cell>
          <cell r="I234">
            <v>0.31089500000000003</v>
          </cell>
          <cell r="J234">
            <v>0.10437666666666666</v>
          </cell>
          <cell r="K234">
            <v>0.58143333333333336</v>
          </cell>
          <cell r="L234">
            <v>1.2806633333333333</v>
          </cell>
          <cell r="M234">
            <v>1.4630000000000001E-2</v>
          </cell>
          <cell r="N234">
            <v>0.125365</v>
          </cell>
          <cell r="O234">
            <v>8.4950000000000012E-2</v>
          </cell>
          <cell r="P234">
            <v>0.10102999999999999</v>
          </cell>
          <cell r="Q234">
            <v>0.6371216666666667</v>
          </cell>
          <cell r="R234">
            <v>2.1880716666666666</v>
          </cell>
          <cell r="S234">
            <v>2.5163333333333329E-2</v>
          </cell>
          <cell r="T234">
            <v>0</v>
          </cell>
          <cell r="U234">
            <v>0</v>
          </cell>
          <cell r="V234">
            <v>2.8503566666666669</v>
          </cell>
        </row>
        <row r="235">
          <cell r="D235" t="str">
            <v>KHVP-67030 0731</v>
          </cell>
          <cell r="E235" t="str">
            <v>KHVP67030</v>
          </cell>
          <cell r="F235">
            <v>1526.5441699999999</v>
          </cell>
          <cell r="G235">
            <v>33.534100000000002</v>
          </cell>
          <cell r="H235">
            <v>0.19552666666666668</v>
          </cell>
          <cell r="I235">
            <v>0.26289166666666669</v>
          </cell>
          <cell r="J235">
            <v>6.8909999999999999E-2</v>
          </cell>
          <cell r="K235">
            <v>0.51483833333333329</v>
          </cell>
          <cell r="L235">
            <v>1.1788583333333333</v>
          </cell>
          <cell r="M235">
            <v>1.4630000000000001E-2</v>
          </cell>
          <cell r="N235">
            <v>0.11251499999999999</v>
          </cell>
          <cell r="O235">
            <v>7.5715000000000005E-2</v>
          </cell>
          <cell r="P235">
            <v>8.9151666666666671E-2</v>
          </cell>
          <cell r="Q235">
            <v>0.5273283333333334</v>
          </cell>
          <cell r="R235">
            <v>1.9857083333333332</v>
          </cell>
          <cell r="S235">
            <v>2.5163333333333329E-2</v>
          </cell>
          <cell r="T235">
            <v>0</v>
          </cell>
          <cell r="U235">
            <v>0</v>
          </cell>
          <cell r="V235">
            <v>2.5381999999999998</v>
          </cell>
        </row>
        <row r="236">
          <cell r="D236" t="str">
            <v>KHVS-67030 0731</v>
          </cell>
          <cell r="E236" t="str">
            <v>KHVS67030</v>
          </cell>
          <cell r="F236">
            <v>1573.5853400000001</v>
          </cell>
          <cell r="G236">
            <v>36.046199999999999</v>
          </cell>
          <cell r="H236">
            <v>0.20410166666666668</v>
          </cell>
          <cell r="I236">
            <v>0.26295333333333332</v>
          </cell>
          <cell r="J236">
            <v>7.2251666666666658E-2</v>
          </cell>
          <cell r="K236">
            <v>0.54124000000000005</v>
          </cell>
          <cell r="L236">
            <v>1.2114883333333333</v>
          </cell>
          <cell r="M236">
            <v>1.4630000000000001E-2</v>
          </cell>
          <cell r="N236">
            <v>0.117345</v>
          </cell>
          <cell r="O236">
            <v>7.8493333333333332E-2</v>
          </cell>
          <cell r="P236">
            <v>9.0673333333333342E-2</v>
          </cell>
          <cell r="Q236">
            <v>0.5393066666666666</v>
          </cell>
          <cell r="R236">
            <v>2.0538699999999999</v>
          </cell>
          <cell r="S236">
            <v>2.5163333333333329E-2</v>
          </cell>
          <cell r="T236">
            <v>0</v>
          </cell>
          <cell r="U236">
            <v>0</v>
          </cell>
          <cell r="V236">
            <v>2.6183399999999999</v>
          </cell>
        </row>
        <row r="237">
          <cell r="D237" t="str">
            <v>KJVF-67030 0722</v>
          </cell>
          <cell r="E237" t="str">
            <v>KJVF67030</v>
          </cell>
          <cell r="F237">
            <v>1560.7473299999999</v>
          </cell>
          <cell r="G237">
            <v>33.107799999999997</v>
          </cell>
          <cell r="H237">
            <v>0.20162333333333335</v>
          </cell>
          <cell r="I237">
            <v>0.24712666666666666</v>
          </cell>
          <cell r="J237">
            <v>5.7833333333333334E-2</v>
          </cell>
          <cell r="K237">
            <v>0.53003999999999996</v>
          </cell>
          <cell r="L237">
            <v>1.2158033333333333</v>
          </cell>
          <cell r="M237">
            <v>1.4630000000000001E-2</v>
          </cell>
          <cell r="N237">
            <v>0.11706833333333333</v>
          </cell>
          <cell r="O237">
            <v>7.7260000000000009E-2</v>
          </cell>
          <cell r="P237">
            <v>9.490333333333334E-2</v>
          </cell>
          <cell r="Q237">
            <v>0.50658333333333327</v>
          </cell>
          <cell r="R237">
            <v>2.0497049999999999</v>
          </cell>
          <cell r="S237">
            <v>2.5163333333333329E-2</v>
          </cell>
          <cell r="T237">
            <v>0</v>
          </cell>
          <cell r="U237">
            <v>0</v>
          </cell>
          <cell r="V237">
            <v>2.5814516666666667</v>
          </cell>
        </row>
        <row r="238">
          <cell r="D238" t="str">
            <v>KJVH-67030 0722</v>
          </cell>
          <cell r="E238" t="str">
            <v>KJVH67030</v>
          </cell>
          <cell r="F238">
            <v>1652.43391</v>
          </cell>
          <cell r="G238">
            <v>33.107799999999997</v>
          </cell>
          <cell r="H238">
            <v>0.207535</v>
          </cell>
          <cell r="I238">
            <v>0.26074999999999998</v>
          </cell>
          <cell r="J238">
            <v>7.2098333333333334E-2</v>
          </cell>
          <cell r="K238">
            <v>0.54232333333333338</v>
          </cell>
          <cell r="L238">
            <v>1.2423550000000001</v>
          </cell>
          <cell r="M238">
            <v>1.4630000000000001E-2</v>
          </cell>
          <cell r="N238">
            <v>0.1202</v>
          </cell>
          <cell r="O238">
            <v>8.0783333333333346E-2</v>
          </cell>
          <cell r="P238">
            <v>9.7531666666666655E-2</v>
          </cell>
          <cell r="Q238">
            <v>0.54038333333333333</v>
          </cell>
          <cell r="R238">
            <v>2.0978233333333334</v>
          </cell>
          <cell r="S238">
            <v>2.5163333333333329E-2</v>
          </cell>
          <cell r="T238">
            <v>0</v>
          </cell>
          <cell r="U238">
            <v>0</v>
          </cell>
          <cell r="V238">
            <v>2.66337</v>
          </cell>
        </row>
        <row r="239">
          <cell r="D239" t="str">
            <v>KJVP-67030 0722</v>
          </cell>
          <cell r="E239" t="str">
            <v>KJVP67030</v>
          </cell>
          <cell r="F239">
            <v>1713.0642399999999</v>
          </cell>
          <cell r="G239">
            <v>33.107799999999997</v>
          </cell>
          <cell r="H239">
            <v>0.21350833333333333</v>
          </cell>
          <cell r="I239">
            <v>0.29314333333333331</v>
          </cell>
          <cell r="J239">
            <v>7.8564999999999996E-2</v>
          </cell>
          <cell r="K239">
            <v>0.5559316666666666</v>
          </cell>
          <cell r="L239">
            <v>1.2510133333333333</v>
          </cell>
          <cell r="M239">
            <v>1.4630000000000001E-2</v>
          </cell>
          <cell r="N239">
            <v>0.12111666666666668</v>
          </cell>
          <cell r="O239">
            <v>8.1599999999999992E-2</v>
          </cell>
          <cell r="P239">
            <v>9.8036666666666675E-2</v>
          </cell>
          <cell r="Q239">
            <v>0.58521666666666661</v>
          </cell>
          <cell r="R239">
            <v>2.1223283333333334</v>
          </cell>
          <cell r="S239">
            <v>2.5163333333333329E-2</v>
          </cell>
          <cell r="T239">
            <v>0</v>
          </cell>
          <cell r="U239">
            <v>0</v>
          </cell>
          <cell r="V239">
            <v>2.7327083333333335</v>
          </cell>
        </row>
        <row r="240">
          <cell r="D240" t="str">
            <v>KJVR-67030 0722</v>
          </cell>
          <cell r="E240" t="str">
            <v>KJVR67030</v>
          </cell>
          <cell r="F240">
            <v>1713.5441800000001</v>
          </cell>
          <cell r="G240">
            <v>33.107799999999997</v>
          </cell>
          <cell r="H240">
            <v>0.21347333333333335</v>
          </cell>
          <cell r="I240">
            <v>0.29314333333333331</v>
          </cell>
          <cell r="J240">
            <v>7.8564999999999996E-2</v>
          </cell>
          <cell r="K240">
            <v>0.5559316666666666</v>
          </cell>
          <cell r="L240">
            <v>1.250775</v>
          </cell>
          <cell r="M240">
            <v>1.4630000000000001E-2</v>
          </cell>
          <cell r="N240">
            <v>0.12111666666666668</v>
          </cell>
          <cell r="O240">
            <v>8.1599999999999992E-2</v>
          </cell>
          <cell r="P240">
            <v>9.8036666666666675E-2</v>
          </cell>
          <cell r="Q240">
            <v>0.58518166666666671</v>
          </cell>
          <cell r="R240">
            <v>2.12209</v>
          </cell>
          <cell r="S240">
            <v>2.5163333333333329E-2</v>
          </cell>
          <cell r="T240">
            <v>0</v>
          </cell>
          <cell r="U240">
            <v>0</v>
          </cell>
          <cell r="V240">
            <v>2.7324350000000002</v>
          </cell>
        </row>
        <row r="241">
          <cell r="D241" t="str">
            <v>KJWC-67030 0722</v>
          </cell>
          <cell r="E241" t="str">
            <v>KJWC67030</v>
          </cell>
          <cell r="F241">
            <v>1540.8586499999999</v>
          </cell>
          <cell r="G241">
            <v>33.107799999999997</v>
          </cell>
          <cell r="H241">
            <v>0.20024666666666666</v>
          </cell>
          <cell r="I241">
            <v>0.24712666666666666</v>
          </cell>
          <cell r="J241">
            <v>5.7833333333333334E-2</v>
          </cell>
          <cell r="K241">
            <v>0.52655666666666667</v>
          </cell>
          <cell r="L241">
            <v>1.2109699999999999</v>
          </cell>
          <cell r="M241">
            <v>1.4630000000000001E-2</v>
          </cell>
          <cell r="N241">
            <v>0.11624333333333332</v>
          </cell>
          <cell r="O241">
            <v>7.6719999999999997E-2</v>
          </cell>
          <cell r="P241">
            <v>9.2563333333333331E-2</v>
          </cell>
          <cell r="Q241">
            <v>0.50520666666666658</v>
          </cell>
          <cell r="R241">
            <v>2.0376833333333328</v>
          </cell>
          <cell r="S241">
            <v>2.5163333333333329E-2</v>
          </cell>
          <cell r="T241">
            <v>0</v>
          </cell>
          <cell r="U241">
            <v>0</v>
          </cell>
          <cell r="V241">
            <v>2.5680533333333329</v>
          </cell>
        </row>
        <row r="242">
          <cell r="D242" t="str">
            <v>KKLA-67030 0841</v>
          </cell>
          <cell r="E242" t="str">
            <v>KKLA67030</v>
          </cell>
          <cell r="F242">
            <v>1523.29441</v>
          </cell>
          <cell r="G242">
            <v>30.978000000000002</v>
          </cell>
          <cell r="H242">
            <v>0.19336666666666666</v>
          </cell>
          <cell r="I242">
            <v>0.21681833333333334</v>
          </cell>
          <cell r="J242">
            <v>9.4851666666666654E-2</v>
          </cell>
          <cell r="K242">
            <v>0.50493999999999994</v>
          </cell>
          <cell r="L242">
            <v>1.2074516666666668</v>
          </cell>
          <cell r="M242">
            <v>1.3585000000000002E-2</v>
          </cell>
          <cell r="N242">
            <v>0.11730166666666667</v>
          </cell>
          <cell r="O242">
            <v>8.0873333333333339E-2</v>
          </cell>
          <cell r="P242">
            <v>9.2645000000000005E-2</v>
          </cell>
          <cell r="Q242">
            <v>0.50503666666666669</v>
          </cell>
          <cell r="R242">
            <v>2.0167966666666666</v>
          </cell>
          <cell r="S242">
            <v>2.5163333333333329E-2</v>
          </cell>
          <cell r="T242">
            <v>0</v>
          </cell>
          <cell r="U242">
            <v>0</v>
          </cell>
          <cell r="V242">
            <v>2.5469966666666668</v>
          </cell>
        </row>
        <row r="243">
          <cell r="D243" t="str">
            <v>KKLB-67030 0841</v>
          </cell>
          <cell r="E243" t="str">
            <v>KKLB67030</v>
          </cell>
          <cell r="F243">
            <v>1579.6877899999999</v>
          </cell>
          <cell r="G243">
            <v>30.978000000000002</v>
          </cell>
          <cell r="H243">
            <v>0.199325</v>
          </cell>
          <cell r="I243">
            <v>0.24891166666666667</v>
          </cell>
          <cell r="J243">
            <v>0.10131833333333334</v>
          </cell>
          <cell r="K243">
            <v>0.51854666666666671</v>
          </cell>
          <cell r="L243">
            <v>1.2160766666666667</v>
          </cell>
          <cell r="M243">
            <v>1.3585000000000002E-2</v>
          </cell>
          <cell r="N243">
            <v>0.11821666666666666</v>
          </cell>
          <cell r="O243">
            <v>8.1686666666666671E-2</v>
          </cell>
          <cell r="P243">
            <v>9.3150000000000011E-2</v>
          </cell>
          <cell r="Q243">
            <v>0.54955500000000002</v>
          </cell>
          <cell r="R243">
            <v>2.0412616666666668</v>
          </cell>
          <cell r="S243">
            <v>2.5163333333333329E-2</v>
          </cell>
          <cell r="T243">
            <v>0</v>
          </cell>
          <cell r="U243">
            <v>0</v>
          </cell>
          <cell r="V243">
            <v>2.6159800000000004</v>
          </cell>
        </row>
        <row r="244">
          <cell r="D244" t="str">
            <v>KKLD-67030 0841</v>
          </cell>
          <cell r="E244" t="str">
            <v>KKLD67030</v>
          </cell>
          <cell r="F244">
            <v>1729.0600300000001</v>
          </cell>
          <cell r="G244">
            <v>30.978000000000002</v>
          </cell>
          <cell r="H244">
            <v>0.21697333333333332</v>
          </cell>
          <cell r="I244">
            <v>0.30847833333333335</v>
          </cell>
          <cell r="J244">
            <v>0.10131833333333334</v>
          </cell>
          <cell r="K244">
            <v>0.5675</v>
          </cell>
          <cell r="L244">
            <v>1.2474583333333333</v>
          </cell>
          <cell r="M244">
            <v>1.4630000000000001E-2</v>
          </cell>
          <cell r="N244">
            <v>0.12222</v>
          </cell>
          <cell r="O244">
            <v>8.3423333333333335E-2</v>
          </cell>
          <cell r="P244">
            <v>9.6180000000000002E-2</v>
          </cell>
          <cell r="Q244">
            <v>0.62677000000000005</v>
          </cell>
          <cell r="R244">
            <v>2.1314116666666663</v>
          </cell>
          <cell r="S244">
            <v>2.5163333333333329E-2</v>
          </cell>
          <cell r="T244">
            <v>0</v>
          </cell>
          <cell r="U244">
            <v>0</v>
          </cell>
          <cell r="V244">
            <v>2.7833449999999997</v>
          </cell>
        </row>
        <row r="245">
          <cell r="D245" t="str">
            <v>KKTH-67240 0421</v>
          </cell>
          <cell r="E245" t="str">
            <v>KKTH67240</v>
          </cell>
          <cell r="F245">
            <v>21.587720000000001</v>
          </cell>
          <cell r="G245">
            <v>0</v>
          </cell>
          <cell r="H245">
            <v>1.2624999999999999E-2</v>
          </cell>
          <cell r="I245">
            <v>0</v>
          </cell>
          <cell r="J245">
            <v>0</v>
          </cell>
          <cell r="K245">
            <v>3.4031666666666668E-2</v>
          </cell>
          <cell r="L245">
            <v>0.13813999999999999</v>
          </cell>
          <cell r="M245">
            <v>1.0450000000000001E-3</v>
          </cell>
          <cell r="N245">
            <v>1.8091666666666666E-2</v>
          </cell>
          <cell r="O245">
            <v>8.5583333333333327E-3</v>
          </cell>
          <cell r="P245">
            <v>4.0633333333333329E-3</v>
          </cell>
          <cell r="Q245">
            <v>1.2624999999999999E-2</v>
          </cell>
          <cell r="R245">
            <v>0.20393</v>
          </cell>
          <cell r="S245">
            <v>0</v>
          </cell>
          <cell r="T245">
            <v>0</v>
          </cell>
          <cell r="U245">
            <v>0</v>
          </cell>
          <cell r="V245">
            <v>0.216555</v>
          </cell>
        </row>
        <row r="246">
          <cell r="D246" t="str">
            <v>KLBC-67240 0431</v>
          </cell>
          <cell r="E246" t="str">
            <v>KLBC67240</v>
          </cell>
          <cell r="F246">
            <v>32.463200000000001</v>
          </cell>
          <cell r="G246">
            <v>0</v>
          </cell>
          <cell r="H246">
            <v>1.4918333333333334E-2</v>
          </cell>
          <cell r="I246">
            <v>0</v>
          </cell>
          <cell r="J246">
            <v>0</v>
          </cell>
          <cell r="K246">
            <v>4.2220000000000001E-2</v>
          </cell>
          <cell r="L246">
            <v>0.15157833333333331</v>
          </cell>
          <cell r="M246">
            <v>1.0450000000000001E-3</v>
          </cell>
          <cell r="N246">
            <v>1.9606666666666665E-2</v>
          </cell>
          <cell r="O246">
            <v>9.4450000000000003E-3</v>
          </cell>
          <cell r="P246">
            <v>4.5783333333333336E-3</v>
          </cell>
          <cell r="Q246">
            <v>1.4918333333333334E-2</v>
          </cell>
          <cell r="R246">
            <v>0.22847333333333331</v>
          </cell>
          <cell r="S246">
            <v>0</v>
          </cell>
          <cell r="T246">
            <v>0</v>
          </cell>
          <cell r="U246">
            <v>0</v>
          </cell>
          <cell r="V246">
            <v>0.24339166666666665</v>
          </cell>
        </row>
        <row r="247">
          <cell r="D247" t="str">
            <v>KLBG-67030 0711</v>
          </cell>
          <cell r="E247" t="str">
            <v>KLBG67030</v>
          </cell>
          <cell r="F247">
            <v>999.99770000000001</v>
          </cell>
          <cell r="G247">
            <v>38.2637</v>
          </cell>
          <cell r="H247">
            <v>0.15095833333333333</v>
          </cell>
          <cell r="I247">
            <v>0.17266333333333334</v>
          </cell>
          <cell r="J247">
            <v>2.1440000000000001E-2</v>
          </cell>
          <cell r="K247">
            <v>0.44523166666666664</v>
          </cell>
          <cell r="L247">
            <v>1.1336266666666668</v>
          </cell>
          <cell r="M247">
            <v>8.3600000000000011E-3</v>
          </cell>
          <cell r="N247">
            <v>9.376000000000001E-2</v>
          </cell>
          <cell r="O247">
            <v>6.4733333333333337E-2</v>
          </cell>
          <cell r="P247">
            <v>9.2576666666666668E-2</v>
          </cell>
          <cell r="Q247">
            <v>0.34506166666666671</v>
          </cell>
          <cell r="R247">
            <v>1.8382883333333335</v>
          </cell>
          <cell r="S247">
            <v>0</v>
          </cell>
          <cell r="T247">
            <v>0</v>
          </cell>
          <cell r="U247">
            <v>0</v>
          </cell>
          <cell r="V247">
            <v>2.1833500000000003</v>
          </cell>
        </row>
        <row r="248">
          <cell r="D248" t="str">
            <v>KLBK-67240 0301</v>
          </cell>
          <cell r="E248" t="str">
            <v>KLBK67240</v>
          </cell>
          <cell r="F248">
            <v>18.935839999999999</v>
          </cell>
          <cell r="G248">
            <v>0</v>
          </cell>
          <cell r="H248">
            <v>1.2095E-2</v>
          </cell>
          <cell r="I248">
            <v>0</v>
          </cell>
          <cell r="J248">
            <v>0</v>
          </cell>
          <cell r="K248">
            <v>3.3845E-2</v>
          </cell>
          <cell r="L248">
            <v>0.11545166666666667</v>
          </cell>
          <cell r="M248">
            <v>1.0450000000000001E-3</v>
          </cell>
          <cell r="N248">
            <v>1.8086666666666664E-2</v>
          </cell>
          <cell r="O248">
            <v>8.4333333333333326E-3</v>
          </cell>
          <cell r="P248">
            <v>3.9783333333333329E-3</v>
          </cell>
          <cell r="Q248">
            <v>1.2095E-2</v>
          </cell>
          <cell r="R248">
            <v>0.18084</v>
          </cell>
          <cell r="S248">
            <v>0</v>
          </cell>
          <cell r="T248">
            <v>0</v>
          </cell>
          <cell r="U248">
            <v>0</v>
          </cell>
          <cell r="V248">
            <v>0.192935</v>
          </cell>
        </row>
        <row r="249">
          <cell r="D249" t="str">
            <v>KLBM-67240 0301</v>
          </cell>
          <cell r="E249" t="str">
            <v>KLBM67240</v>
          </cell>
          <cell r="F249">
            <v>28.046479999999999</v>
          </cell>
          <cell r="G249">
            <v>0</v>
          </cell>
          <cell r="H249">
            <v>1.3916666666666666E-2</v>
          </cell>
          <cell r="I249">
            <v>0</v>
          </cell>
          <cell r="J249">
            <v>0</v>
          </cell>
          <cell r="K249">
            <v>3.9070000000000001E-2</v>
          </cell>
          <cell r="L249">
            <v>0.14339499999999999</v>
          </cell>
          <cell r="M249">
            <v>1.0450000000000001E-3</v>
          </cell>
          <cell r="N249">
            <v>1.960333333333333E-2</v>
          </cell>
          <cell r="O249">
            <v>9.3699999999999999E-3</v>
          </cell>
          <cell r="P249">
            <v>4.5266666666666667E-3</v>
          </cell>
          <cell r="Q249">
            <v>1.3916666666666666E-2</v>
          </cell>
          <cell r="R249">
            <v>0.21700999999999998</v>
          </cell>
          <cell r="S249">
            <v>0</v>
          </cell>
          <cell r="T249">
            <v>0</v>
          </cell>
          <cell r="U249">
            <v>0</v>
          </cell>
          <cell r="V249">
            <v>0.23092666666666664</v>
          </cell>
        </row>
        <row r="250">
          <cell r="D250" t="str">
            <v>KLBP-67030 0811</v>
          </cell>
          <cell r="E250" t="str">
            <v>KLBP67030</v>
          </cell>
          <cell r="F250">
            <v>1105.8989200000001</v>
          </cell>
          <cell r="G250">
            <v>35.584400000000002</v>
          </cell>
          <cell r="H250">
            <v>0.15706666666666666</v>
          </cell>
          <cell r="I250">
            <v>0.18496166666666666</v>
          </cell>
          <cell r="J250">
            <v>2.551833333333333E-2</v>
          </cell>
          <cell r="K250">
            <v>0.45795666666666668</v>
          </cell>
          <cell r="L250">
            <v>1.1902383333333333</v>
          </cell>
          <cell r="M250">
            <v>8.3600000000000011E-3</v>
          </cell>
          <cell r="N250">
            <v>9.4866666666666669E-2</v>
          </cell>
          <cell r="O250">
            <v>6.7886666666666665E-2</v>
          </cell>
          <cell r="P250">
            <v>0.10059666666666667</v>
          </cell>
          <cell r="Q250">
            <v>0.36754666666666663</v>
          </cell>
          <cell r="R250">
            <v>1.9199049999999998</v>
          </cell>
          <cell r="S250">
            <v>0</v>
          </cell>
          <cell r="T250">
            <v>0</v>
          </cell>
          <cell r="U250">
            <v>0</v>
          </cell>
          <cell r="V250">
            <v>2.2874516666666662</v>
          </cell>
        </row>
        <row r="251">
          <cell r="D251" t="str">
            <v>KLBS-67030 0811</v>
          </cell>
          <cell r="E251" t="str">
            <v>KLBS67030</v>
          </cell>
          <cell r="F251">
            <v>1125.77108</v>
          </cell>
          <cell r="G251">
            <v>35.584400000000002</v>
          </cell>
          <cell r="H251">
            <v>0.16075166666666665</v>
          </cell>
          <cell r="I251">
            <v>0.20122666666666669</v>
          </cell>
          <cell r="J251">
            <v>2.551833333333333E-2</v>
          </cell>
          <cell r="K251">
            <v>0.46895666666666663</v>
          </cell>
          <cell r="L251">
            <v>1.1930216666666666</v>
          </cell>
          <cell r="M251">
            <v>8.3600000000000011E-3</v>
          </cell>
          <cell r="N251">
            <v>9.5106666666666673E-2</v>
          </cell>
          <cell r="O251">
            <v>6.7886666666666665E-2</v>
          </cell>
          <cell r="P251">
            <v>0.10059666666666667</v>
          </cell>
          <cell r="Q251">
            <v>0.38749666666666666</v>
          </cell>
          <cell r="R251">
            <v>1.9339283333333332</v>
          </cell>
          <cell r="S251">
            <v>0</v>
          </cell>
          <cell r="T251">
            <v>0</v>
          </cell>
          <cell r="U251">
            <v>0</v>
          </cell>
          <cell r="V251">
            <v>2.3214250000000001</v>
          </cell>
        </row>
        <row r="252">
          <cell r="D252" t="str">
            <v>KLEE-67030A 0801</v>
          </cell>
          <cell r="E252" t="str">
            <v>KLEE67030</v>
          </cell>
          <cell r="F252">
            <v>1056.5999999999999</v>
          </cell>
          <cell r="G252">
            <v>38.222000000000001</v>
          </cell>
          <cell r="H252">
            <v>0.15702833333333333</v>
          </cell>
          <cell r="I252">
            <v>0.19017000000000001</v>
          </cell>
          <cell r="J252">
            <v>2.1440000000000001E-2</v>
          </cell>
          <cell r="K252">
            <v>0.4600683333333333</v>
          </cell>
          <cell r="L252">
            <v>1.1520383333333333</v>
          </cell>
          <cell r="M252">
            <v>8.3600000000000011E-3</v>
          </cell>
          <cell r="N252">
            <v>9.4388333333333324E-2</v>
          </cell>
          <cell r="O252">
            <v>6.458333333333334E-2</v>
          </cell>
          <cell r="P252">
            <v>9.2388333333333336E-2</v>
          </cell>
          <cell r="Q252">
            <v>0.36863833333333335</v>
          </cell>
          <cell r="R252">
            <v>1.8718266666666665</v>
          </cell>
          <cell r="S252">
            <v>0</v>
          </cell>
          <cell r="T252">
            <v>0</v>
          </cell>
          <cell r="U252">
            <v>0</v>
          </cell>
          <cell r="V252">
            <v>2.2404649999999999</v>
          </cell>
        </row>
        <row r="253">
          <cell r="D253" t="str">
            <v>KLEJ-67030 0721</v>
          </cell>
          <cell r="E253" t="str">
            <v>KLEJ67030</v>
          </cell>
          <cell r="F253">
            <v>851.45330000000001</v>
          </cell>
          <cell r="G253">
            <v>36.271900000000002</v>
          </cell>
          <cell r="H253">
            <v>0.13186833333333334</v>
          </cell>
          <cell r="I253">
            <v>0.15105499999999999</v>
          </cell>
          <cell r="J253">
            <v>1.7268333333333333E-2</v>
          </cell>
          <cell r="K253">
            <v>0.39457166666666665</v>
          </cell>
          <cell r="L253">
            <v>1.0109600000000001</v>
          </cell>
          <cell r="M253">
            <v>8.3600000000000011E-3</v>
          </cell>
          <cell r="N253">
            <v>8.478999999999999E-2</v>
          </cell>
          <cell r="O253">
            <v>6.0159999999999998E-2</v>
          </cell>
          <cell r="P253">
            <v>7.9896666666666671E-2</v>
          </cell>
          <cell r="Q253">
            <v>0.30019166666666663</v>
          </cell>
          <cell r="R253">
            <v>1.6387383333333332</v>
          </cell>
          <cell r="S253">
            <v>0</v>
          </cell>
          <cell r="T253">
            <v>0</v>
          </cell>
          <cell r="U253">
            <v>0</v>
          </cell>
          <cell r="V253">
            <v>1.9389299999999998</v>
          </cell>
        </row>
        <row r="254">
          <cell r="D254" t="str">
            <v>KLFL-67030 0931</v>
          </cell>
          <cell r="E254" t="str">
            <v>KLFL67030</v>
          </cell>
          <cell r="F254">
            <v>1608.4392499999999</v>
          </cell>
          <cell r="G254">
            <v>36.046199999999999</v>
          </cell>
          <cell r="H254">
            <v>0.20772666666666667</v>
          </cell>
          <cell r="I254">
            <v>0.26295333333333332</v>
          </cell>
          <cell r="J254">
            <v>7.2251666666666658E-2</v>
          </cell>
          <cell r="K254">
            <v>0.55233333333333334</v>
          </cell>
          <cell r="L254">
            <v>1.2183250000000001</v>
          </cell>
          <cell r="M254">
            <v>1.4630000000000001E-2</v>
          </cell>
          <cell r="N254">
            <v>0.11841166666666667</v>
          </cell>
          <cell r="O254">
            <v>7.445333333333333E-2</v>
          </cell>
          <cell r="P254">
            <v>9.3039999999999998E-2</v>
          </cell>
          <cell r="Q254">
            <v>0.54293166666666659</v>
          </cell>
          <cell r="R254">
            <v>2.071193333333333</v>
          </cell>
          <cell r="S254">
            <v>2.5163333333333329E-2</v>
          </cell>
          <cell r="T254">
            <v>0</v>
          </cell>
          <cell r="U254">
            <v>0</v>
          </cell>
          <cell r="V254">
            <v>2.639288333333333</v>
          </cell>
        </row>
        <row r="255">
          <cell r="D255" t="str">
            <v>KLFN-67030 0931</v>
          </cell>
          <cell r="E255" t="str">
            <v>KLFN67030</v>
          </cell>
          <cell r="F255">
            <v>1690.6308899999999</v>
          </cell>
          <cell r="G255">
            <v>36.046199999999999</v>
          </cell>
          <cell r="H255">
            <v>0.21353</v>
          </cell>
          <cell r="I255">
            <v>0.27638500000000005</v>
          </cell>
          <cell r="J255">
            <v>8.2421666666666657E-2</v>
          </cell>
          <cell r="K255">
            <v>0.56461666666666666</v>
          </cell>
          <cell r="L255">
            <v>1.2427233333333334</v>
          </cell>
          <cell r="M255">
            <v>1.4630000000000001E-2</v>
          </cell>
          <cell r="N255">
            <v>0.12154333333333334</v>
          </cell>
          <cell r="O255">
            <v>7.797833333333333E-2</v>
          </cell>
          <cell r="P255">
            <v>9.5668333333333327E-2</v>
          </cell>
          <cell r="Q255">
            <v>0.57233666666666672</v>
          </cell>
          <cell r="R255">
            <v>2.1171599999999997</v>
          </cell>
          <cell r="S255">
            <v>2.5163333333333329E-2</v>
          </cell>
          <cell r="T255">
            <v>0</v>
          </cell>
          <cell r="U255">
            <v>0</v>
          </cell>
          <cell r="V255">
            <v>2.7146599999999999</v>
          </cell>
        </row>
        <row r="256">
          <cell r="D256" t="str">
            <v>KLFT-67030 0931</v>
          </cell>
          <cell r="E256" t="str">
            <v>KLFT67030</v>
          </cell>
          <cell r="F256">
            <v>1747.0242699999999</v>
          </cell>
          <cell r="G256">
            <v>36.046199999999999</v>
          </cell>
          <cell r="H256">
            <v>0.21948999999999999</v>
          </cell>
          <cell r="I256">
            <v>0.30847833333333335</v>
          </cell>
          <cell r="J256">
            <v>8.8888333333333333E-2</v>
          </cell>
          <cell r="K256">
            <v>0.57822499999999999</v>
          </cell>
          <cell r="L256">
            <v>1.25135</v>
          </cell>
          <cell r="M256">
            <v>1.4630000000000001E-2</v>
          </cell>
          <cell r="N256">
            <v>0.12246</v>
          </cell>
          <cell r="O256">
            <v>7.879499999999999E-2</v>
          </cell>
          <cell r="P256">
            <v>9.6173333333333347E-2</v>
          </cell>
          <cell r="Q256">
            <v>0.61685666666666672</v>
          </cell>
          <cell r="R256">
            <v>2.1416333333333331</v>
          </cell>
          <cell r="S256">
            <v>2.5163333333333329E-2</v>
          </cell>
          <cell r="T256">
            <v>0</v>
          </cell>
          <cell r="U256">
            <v>0</v>
          </cell>
          <cell r="V256">
            <v>2.7836533333333331</v>
          </cell>
        </row>
        <row r="257">
          <cell r="D257" t="str">
            <v>KLFW-67030 0931</v>
          </cell>
          <cell r="E257" t="str">
            <v>KLFW67030</v>
          </cell>
          <cell r="F257">
            <v>1779.33196</v>
          </cell>
          <cell r="G257">
            <v>36.046199999999999</v>
          </cell>
          <cell r="H257">
            <v>0.22258999999999998</v>
          </cell>
          <cell r="I257">
            <v>0.31089500000000003</v>
          </cell>
          <cell r="J257">
            <v>0.10437666666666666</v>
          </cell>
          <cell r="K257">
            <v>0.58326666666666671</v>
          </cell>
          <cell r="L257">
            <v>1.2796166666666666</v>
          </cell>
          <cell r="M257">
            <v>1.4630000000000001E-2</v>
          </cell>
          <cell r="N257">
            <v>0.12478666666666666</v>
          </cell>
          <cell r="O257">
            <v>7.9966666666666672E-2</v>
          </cell>
          <cell r="P257">
            <v>0.100825</v>
          </cell>
          <cell r="Q257">
            <v>0.63786166666666666</v>
          </cell>
          <cell r="R257">
            <v>2.1830916666666664</v>
          </cell>
          <cell r="S257">
            <v>2.5163333333333329E-2</v>
          </cell>
          <cell r="T257">
            <v>0</v>
          </cell>
          <cell r="U257">
            <v>0</v>
          </cell>
          <cell r="V257">
            <v>2.8461166666666666</v>
          </cell>
        </row>
        <row r="258">
          <cell r="D258" t="str">
            <v>KLJM-67030 1021</v>
          </cell>
          <cell r="E258" t="str">
            <v>KLJM67030</v>
          </cell>
          <cell r="F258">
            <v>1746.4999600000001</v>
          </cell>
          <cell r="G258">
            <v>36.046199999999999</v>
          </cell>
          <cell r="H258">
            <v>0.21890333333333334</v>
          </cell>
          <cell r="I258">
            <v>0.31371166666666667</v>
          </cell>
          <cell r="J258">
            <v>8.8888333333333333E-2</v>
          </cell>
          <cell r="K258">
            <v>0.57648333333333335</v>
          </cell>
          <cell r="L258">
            <v>1.2508950000000001</v>
          </cell>
          <cell r="M258">
            <v>1.4630000000000001E-2</v>
          </cell>
          <cell r="N258">
            <v>0.12230000000000001</v>
          </cell>
          <cell r="O258">
            <v>8.3423333333333335E-2</v>
          </cell>
          <cell r="P258">
            <v>9.6180000000000002E-2</v>
          </cell>
          <cell r="Q258">
            <v>0.62150333333333341</v>
          </cell>
          <cell r="R258">
            <v>2.1439116666666664</v>
          </cell>
          <cell r="S258">
            <v>2.5163333333333329E-2</v>
          </cell>
          <cell r="T258">
            <v>0</v>
          </cell>
          <cell r="U258">
            <v>0</v>
          </cell>
          <cell r="V258">
            <v>2.7905783333333334</v>
          </cell>
        </row>
        <row r="259">
          <cell r="D259" t="str">
            <v>KLJP-67030 1021</v>
          </cell>
          <cell r="E259" t="str">
            <v>KLJP67030</v>
          </cell>
          <cell r="F259">
            <v>1785.3344500000001</v>
          </cell>
          <cell r="G259">
            <v>36.046199999999999</v>
          </cell>
          <cell r="H259">
            <v>0.223165</v>
          </cell>
          <cell r="I259">
            <v>0.31612833333333334</v>
          </cell>
          <cell r="J259">
            <v>0.10437666666666666</v>
          </cell>
          <cell r="K259">
            <v>0.58491666666666664</v>
          </cell>
          <cell r="L259">
            <v>1.2818849999999999</v>
          </cell>
          <cell r="M259">
            <v>1.4630000000000001E-2</v>
          </cell>
          <cell r="N259">
            <v>0.125445</v>
          </cell>
          <cell r="O259">
            <v>8.4950000000000012E-2</v>
          </cell>
          <cell r="P259">
            <v>0.10102999999999999</v>
          </cell>
          <cell r="Q259">
            <v>0.64367000000000008</v>
          </cell>
          <cell r="R259">
            <v>2.1928566666666667</v>
          </cell>
          <cell r="S259">
            <v>2.5163333333333329E-2</v>
          </cell>
          <cell r="T259">
            <v>0</v>
          </cell>
          <cell r="U259">
            <v>0</v>
          </cell>
          <cell r="V259">
            <v>2.8616900000000003</v>
          </cell>
        </row>
        <row r="260">
          <cell r="D260" t="str">
            <v>KLM1-67030A 0592</v>
          </cell>
          <cell r="E260" t="str">
            <v>KLM167030A</v>
          </cell>
          <cell r="F260">
            <v>1664.2601099999999</v>
          </cell>
          <cell r="G260">
            <v>33.107799999999997</v>
          </cell>
          <cell r="H260">
            <v>0.21389833333333333</v>
          </cell>
          <cell r="I260">
            <v>0.26636500000000002</v>
          </cell>
          <cell r="J260">
            <v>6.7739999999999995E-2</v>
          </cell>
          <cell r="K260">
            <v>0.55952333333333326</v>
          </cell>
          <cell r="L260">
            <v>1.2640416666666667</v>
          </cell>
          <cell r="M260">
            <v>1.5675000000000001E-2</v>
          </cell>
          <cell r="N260">
            <v>0.12252666666666667</v>
          </cell>
          <cell r="O260">
            <v>7.8370000000000009E-2</v>
          </cell>
          <cell r="P260">
            <v>0.101105</v>
          </cell>
          <cell r="Q260">
            <v>0.5480033333333334</v>
          </cell>
          <cell r="R260">
            <v>2.1412416666666667</v>
          </cell>
          <cell r="S260">
            <v>2.5163333333333329E-2</v>
          </cell>
          <cell r="T260">
            <v>0</v>
          </cell>
          <cell r="U260">
            <v>0</v>
          </cell>
          <cell r="V260">
            <v>2.7144083333333335</v>
          </cell>
        </row>
        <row r="261">
          <cell r="D261" t="str">
            <v>KMRR-67030A 0801</v>
          </cell>
          <cell r="E261" t="str">
            <v>KMRR67030A</v>
          </cell>
          <cell r="F261">
            <v>916.38471000000004</v>
          </cell>
          <cell r="G261">
            <v>36.230200000000004</v>
          </cell>
          <cell r="H261">
            <v>0.14424999999999999</v>
          </cell>
          <cell r="I261">
            <v>0.17273166666666664</v>
          </cell>
          <cell r="J261">
            <v>1.7268333333333333E-2</v>
          </cell>
          <cell r="K261">
            <v>0.43182333333333334</v>
          </cell>
          <cell r="L261">
            <v>1.0728116666666667</v>
          </cell>
          <cell r="M261">
            <v>8.3600000000000011E-3</v>
          </cell>
          <cell r="N261">
            <v>9.0410000000000004E-2</v>
          </cell>
          <cell r="O261">
            <v>6.2586666666666665E-2</v>
          </cell>
          <cell r="P261">
            <v>8.5186666666666674E-2</v>
          </cell>
          <cell r="Q261">
            <v>0.33424999999999994</v>
          </cell>
          <cell r="R261">
            <v>1.7511783333333333</v>
          </cell>
          <cell r="S261">
            <v>0</v>
          </cell>
          <cell r="T261">
            <v>0</v>
          </cell>
          <cell r="U261">
            <v>0</v>
          </cell>
          <cell r="V261">
            <v>2.0854283333333332</v>
          </cell>
        </row>
        <row r="262">
          <cell r="D262" t="str">
            <v>KMRT-67030A 0801</v>
          </cell>
          <cell r="E262" t="str">
            <v>KMRT67030A</v>
          </cell>
          <cell r="F262">
            <v>1026.6046699999999</v>
          </cell>
          <cell r="G262">
            <v>38.222000000000001</v>
          </cell>
          <cell r="H262">
            <v>0.15533666666666665</v>
          </cell>
          <cell r="I262">
            <v>0.17896666666666666</v>
          </cell>
          <cell r="J262">
            <v>2.1440000000000001E-2</v>
          </cell>
          <cell r="K262">
            <v>0.45802000000000004</v>
          </cell>
          <cell r="L262">
            <v>1.1393599999999999</v>
          </cell>
          <cell r="M262">
            <v>8.3600000000000011E-3</v>
          </cell>
          <cell r="N262">
            <v>9.4240000000000004E-2</v>
          </cell>
          <cell r="O262">
            <v>6.4733333333333337E-2</v>
          </cell>
          <cell r="P262">
            <v>9.2576666666666668E-2</v>
          </cell>
          <cell r="Q262">
            <v>0.3557433333333333</v>
          </cell>
          <cell r="R262">
            <v>1.8572900000000001</v>
          </cell>
          <cell r="S262">
            <v>0</v>
          </cell>
          <cell r="T262">
            <v>0</v>
          </cell>
          <cell r="U262">
            <v>0</v>
          </cell>
          <cell r="V262">
            <v>2.2130333333333336</v>
          </cell>
        </row>
        <row r="263">
          <cell r="D263" t="str">
            <v>KMSA-67030A 0801</v>
          </cell>
          <cell r="E263" t="str">
            <v>KMSA67030A</v>
          </cell>
          <cell r="F263">
            <v>1044.31159</v>
          </cell>
          <cell r="G263">
            <v>38.222000000000001</v>
          </cell>
          <cell r="H263">
            <v>0.15896333333333335</v>
          </cell>
          <cell r="I263">
            <v>0.19476666666666667</v>
          </cell>
          <cell r="J263">
            <v>2.1440000000000001E-2</v>
          </cell>
          <cell r="K263">
            <v>0.46902000000000005</v>
          </cell>
          <cell r="L263">
            <v>1.1419433333333333</v>
          </cell>
          <cell r="M263">
            <v>8.3600000000000011E-3</v>
          </cell>
          <cell r="N263">
            <v>9.4479999999999995E-2</v>
          </cell>
          <cell r="O263">
            <v>6.4733333333333337E-2</v>
          </cell>
          <cell r="P263">
            <v>9.2576666666666668E-2</v>
          </cell>
          <cell r="Q263">
            <v>0.37517</v>
          </cell>
          <cell r="R263">
            <v>1.8711133333333332</v>
          </cell>
          <cell r="S263">
            <v>0</v>
          </cell>
          <cell r="T263">
            <v>0</v>
          </cell>
          <cell r="U263">
            <v>0</v>
          </cell>
          <cell r="V263">
            <v>2.2462833333333334</v>
          </cell>
        </row>
        <row r="264">
          <cell r="D264" t="str">
            <v>KMSB-67030A 0801</v>
          </cell>
          <cell r="E264" t="str">
            <v>KMSB67030A</v>
          </cell>
          <cell r="F264">
            <v>975.85101999999995</v>
          </cell>
          <cell r="G264">
            <v>38.222000000000001</v>
          </cell>
          <cell r="H264">
            <v>0.15053166666666667</v>
          </cell>
          <cell r="I264">
            <v>0.17896666666666666</v>
          </cell>
          <cell r="J264">
            <v>2.1440000000000001E-2</v>
          </cell>
          <cell r="K264">
            <v>0.44756999999999997</v>
          </cell>
          <cell r="L264">
            <v>1.1085766666666668</v>
          </cell>
          <cell r="M264">
            <v>8.3600000000000011E-3</v>
          </cell>
          <cell r="N264">
            <v>9.2435000000000003E-2</v>
          </cell>
          <cell r="O264">
            <v>6.3766666666666666E-2</v>
          </cell>
          <cell r="P264">
            <v>8.7970000000000007E-2</v>
          </cell>
          <cell r="Q264">
            <v>0.35093833333333335</v>
          </cell>
          <cell r="R264">
            <v>1.8086783333333336</v>
          </cell>
          <cell r="S264">
            <v>0</v>
          </cell>
          <cell r="T264">
            <v>0</v>
          </cell>
          <cell r="U264">
            <v>0</v>
          </cell>
          <cell r="V264">
            <v>2.159616666666667</v>
          </cell>
        </row>
        <row r="265">
          <cell r="D265" t="str">
            <v>KMV6-67240 1122</v>
          </cell>
          <cell r="E265" t="str">
            <v>KMV667240</v>
          </cell>
          <cell r="F265">
            <v>59.526179999999997</v>
          </cell>
          <cell r="G265">
            <v>0</v>
          </cell>
          <cell r="H265">
            <v>1.3408333333333333E-2</v>
          </cell>
          <cell r="I265">
            <v>0</v>
          </cell>
          <cell r="J265">
            <v>0</v>
          </cell>
          <cell r="K265">
            <v>3.3549999999999996E-2</v>
          </cell>
          <cell r="L265">
            <v>0.15884166666666666</v>
          </cell>
          <cell r="M265">
            <v>2.0900000000000003E-3</v>
          </cell>
          <cell r="N265">
            <v>2.3196666666666664E-2</v>
          </cell>
          <cell r="O265">
            <v>1.3253333333333334E-2</v>
          </cell>
          <cell r="P265">
            <v>5.1433333333333331E-3</v>
          </cell>
          <cell r="Q265">
            <v>1.3408333333333333E-2</v>
          </cell>
          <cell r="R265">
            <v>0.23607500000000001</v>
          </cell>
          <cell r="S265">
            <v>0</v>
          </cell>
          <cell r="T265">
            <v>0</v>
          </cell>
          <cell r="U265">
            <v>0</v>
          </cell>
          <cell r="V265">
            <v>0.24948333333333333</v>
          </cell>
        </row>
        <row r="266">
          <cell r="D266" t="str">
            <v>KMV6-67SJ0 0801</v>
          </cell>
          <cell r="E266" t="str">
            <v>KMV667SJ0</v>
          </cell>
          <cell r="F266">
            <v>27.77459</v>
          </cell>
          <cell r="G266">
            <v>0</v>
          </cell>
          <cell r="H266">
            <v>7.4150000000000006E-3</v>
          </cell>
          <cell r="I266">
            <v>4.8700000000000002E-3</v>
          </cell>
          <cell r="J266">
            <v>0</v>
          </cell>
          <cell r="K266">
            <v>2.3778333333333335E-2</v>
          </cell>
          <cell r="L266">
            <v>5.7514999999999997E-2</v>
          </cell>
          <cell r="M266">
            <v>0</v>
          </cell>
          <cell r="N266">
            <v>1.9223333333333332E-2</v>
          </cell>
          <cell r="O266">
            <v>7.0800000000000004E-3</v>
          </cell>
          <cell r="P266">
            <v>3.6966666666666667E-3</v>
          </cell>
          <cell r="Q266">
            <v>1.2285000000000001E-2</v>
          </cell>
          <cell r="R266">
            <v>0.11129333333333333</v>
          </cell>
          <cell r="S266">
            <v>0</v>
          </cell>
          <cell r="T266">
            <v>0</v>
          </cell>
          <cell r="U266">
            <v>0</v>
          </cell>
          <cell r="V266">
            <v>0.12357833333333333</v>
          </cell>
        </row>
        <row r="267">
          <cell r="D267" t="str">
            <v>KMVB-67030 0721</v>
          </cell>
          <cell r="E267" t="str">
            <v>KMVB67030</v>
          </cell>
          <cell r="F267">
            <v>923.50752999999997</v>
          </cell>
          <cell r="G267">
            <v>36.271900000000002</v>
          </cell>
          <cell r="H267">
            <v>0.14233333333333331</v>
          </cell>
          <cell r="I267">
            <v>0.17685999999999999</v>
          </cell>
          <cell r="J267">
            <v>1.7268333333333333E-2</v>
          </cell>
          <cell r="K267">
            <v>0.42488833333333337</v>
          </cell>
          <cell r="L267">
            <v>1.0362433333333334</v>
          </cell>
          <cell r="M267">
            <v>8.3600000000000011E-3</v>
          </cell>
          <cell r="N267">
            <v>8.7666666666666657E-2</v>
          </cell>
          <cell r="O267">
            <v>6.1206666666666666E-2</v>
          </cell>
          <cell r="P267">
            <v>8.2358333333333325E-2</v>
          </cell>
          <cell r="Q267">
            <v>0.33646166666666666</v>
          </cell>
          <cell r="R267">
            <v>1.7007233333333331</v>
          </cell>
          <cell r="S267">
            <v>0</v>
          </cell>
          <cell r="T267">
            <v>0</v>
          </cell>
          <cell r="U267">
            <v>0</v>
          </cell>
          <cell r="V267">
            <v>2.037185</v>
          </cell>
        </row>
        <row r="268">
          <cell r="D268" t="str">
            <v>KMVF-67030 0721</v>
          </cell>
          <cell r="E268" t="str">
            <v>KMVF67030</v>
          </cell>
          <cell r="F268">
            <v>970.50054</v>
          </cell>
          <cell r="G268">
            <v>38.2637</v>
          </cell>
          <cell r="H268">
            <v>0.14476333333333333</v>
          </cell>
          <cell r="I268">
            <v>0.15729166666666666</v>
          </cell>
          <cell r="J268">
            <v>2.1440000000000001E-2</v>
          </cell>
          <cell r="K268">
            <v>0.42626833333333336</v>
          </cell>
          <cell r="L268">
            <v>1.08009</v>
          </cell>
          <cell r="M268">
            <v>8.3600000000000011E-3</v>
          </cell>
          <cell r="N268">
            <v>8.8859999999999995E-2</v>
          </cell>
          <cell r="O268">
            <v>6.2306666666666663E-2</v>
          </cell>
          <cell r="P268">
            <v>8.7286666666666665E-2</v>
          </cell>
          <cell r="Q268">
            <v>0.32349499999999998</v>
          </cell>
          <cell r="R268">
            <v>1.7531716666666668</v>
          </cell>
          <cell r="S268">
            <v>0</v>
          </cell>
          <cell r="T268">
            <v>0</v>
          </cell>
          <cell r="U268">
            <v>0</v>
          </cell>
          <cell r="V268">
            <v>2.0766666666666667</v>
          </cell>
        </row>
        <row r="269">
          <cell r="D269" t="str">
            <v>KMVK-67030 0721</v>
          </cell>
          <cell r="E269" t="str">
            <v>KMVK67030</v>
          </cell>
          <cell r="F269">
            <v>1042.5609300000001</v>
          </cell>
          <cell r="G269">
            <v>38.2637</v>
          </cell>
          <cell r="H269">
            <v>0.15523000000000001</v>
          </cell>
          <cell r="I269">
            <v>0.18309666666666666</v>
          </cell>
          <cell r="J269">
            <v>2.1440000000000001E-2</v>
          </cell>
          <cell r="K269">
            <v>0.45658499999999996</v>
          </cell>
          <cell r="L269">
            <v>1.1053733333333333</v>
          </cell>
          <cell r="M269">
            <v>8.3600000000000011E-3</v>
          </cell>
          <cell r="N269">
            <v>9.1736666666666661E-2</v>
          </cell>
          <cell r="O269">
            <v>6.3353333333333331E-2</v>
          </cell>
          <cell r="P269">
            <v>8.9748333333333333E-2</v>
          </cell>
          <cell r="Q269">
            <v>0.35976666666666668</v>
          </cell>
          <cell r="R269">
            <v>1.8151566666666665</v>
          </cell>
          <cell r="S269">
            <v>0</v>
          </cell>
          <cell r="T269">
            <v>0</v>
          </cell>
          <cell r="U269">
            <v>0</v>
          </cell>
          <cell r="V269">
            <v>2.1749233333333331</v>
          </cell>
        </row>
        <row r="270">
          <cell r="D270" t="str">
            <v>KMVL-67030 0721</v>
          </cell>
          <cell r="E270" t="str">
            <v>KMVL67030</v>
          </cell>
          <cell r="F270">
            <v>982.97691999999995</v>
          </cell>
          <cell r="G270">
            <v>38.2637</v>
          </cell>
          <cell r="H270">
            <v>0.14861333333333335</v>
          </cell>
          <cell r="I270">
            <v>0.18309666666666666</v>
          </cell>
          <cell r="J270">
            <v>2.1440000000000001E-2</v>
          </cell>
          <cell r="K270">
            <v>0.440635</v>
          </cell>
          <cell r="L270">
            <v>1.0666933333333333</v>
          </cell>
          <cell r="M270">
            <v>8.3600000000000011E-3</v>
          </cell>
          <cell r="N270">
            <v>8.9690000000000006E-2</v>
          </cell>
          <cell r="O270">
            <v>6.2383333333333332E-2</v>
          </cell>
          <cell r="P270">
            <v>8.5141666666666671E-2</v>
          </cell>
          <cell r="Q270">
            <v>0.35315000000000002</v>
          </cell>
          <cell r="R270">
            <v>1.752903333333333</v>
          </cell>
          <cell r="S270">
            <v>0</v>
          </cell>
          <cell r="T270">
            <v>0</v>
          </cell>
          <cell r="U270">
            <v>0</v>
          </cell>
          <cell r="V270">
            <v>2.1060533333333331</v>
          </cell>
        </row>
        <row r="271">
          <cell r="D271" t="str">
            <v>KNM2-67030 0382</v>
          </cell>
          <cell r="E271" t="str">
            <v>KNM267030</v>
          </cell>
          <cell r="F271">
            <v>1478.5981300000001</v>
          </cell>
          <cell r="G271">
            <v>30.919599999999999</v>
          </cell>
          <cell r="H271">
            <v>0.182445</v>
          </cell>
          <cell r="I271">
            <v>0.20916333333333331</v>
          </cell>
          <cell r="J271">
            <v>6.0716666666666662E-2</v>
          </cell>
          <cell r="K271">
            <v>0.47230666666666665</v>
          </cell>
          <cell r="L271">
            <v>1.1299366666666666</v>
          </cell>
          <cell r="M271">
            <v>1.3585000000000002E-2</v>
          </cell>
          <cell r="N271">
            <v>0.10703166666666666</v>
          </cell>
          <cell r="O271">
            <v>7.1893333333333337E-2</v>
          </cell>
          <cell r="P271">
            <v>8.6595000000000005E-2</v>
          </cell>
          <cell r="Q271">
            <v>0.45232499999999998</v>
          </cell>
          <cell r="R271">
            <v>1.8813483333333332</v>
          </cell>
          <cell r="S271">
            <v>2.5163333333333329E-2</v>
          </cell>
          <cell r="T271">
            <v>0</v>
          </cell>
          <cell r="U271">
            <v>0</v>
          </cell>
          <cell r="V271">
            <v>2.3588366666666665</v>
          </cell>
        </row>
        <row r="272">
          <cell r="D272" t="str">
            <v>KNM3-67030 0392</v>
          </cell>
          <cell r="E272" t="str">
            <v>KNM367030</v>
          </cell>
          <cell r="F272">
            <v>1618.2021400000001</v>
          </cell>
          <cell r="G272">
            <v>33.107799999999997</v>
          </cell>
          <cell r="H272">
            <v>0.20826166666666665</v>
          </cell>
          <cell r="I272">
            <v>0.25397333333333333</v>
          </cell>
          <cell r="J272">
            <v>6.7739999999999995E-2</v>
          </cell>
          <cell r="K272">
            <v>0.54703833333333329</v>
          </cell>
          <cell r="L272">
            <v>1.2316983333333333</v>
          </cell>
          <cell r="M272">
            <v>1.4630000000000001E-2</v>
          </cell>
          <cell r="N272">
            <v>0.11844666666666666</v>
          </cell>
          <cell r="O272">
            <v>7.7623333333333336E-2</v>
          </cell>
          <cell r="P272">
            <v>9.5108333333333336E-2</v>
          </cell>
          <cell r="Q272">
            <v>0.52997499999999997</v>
          </cell>
          <cell r="R272">
            <v>2.0845449999999999</v>
          </cell>
          <cell r="S272">
            <v>2.5163333333333329E-2</v>
          </cell>
          <cell r="T272">
            <v>0</v>
          </cell>
          <cell r="U272">
            <v>0</v>
          </cell>
          <cell r="V272">
            <v>2.6396833333333332</v>
          </cell>
        </row>
        <row r="273">
          <cell r="D273" t="str">
            <v>KNM4-67030 0392</v>
          </cell>
          <cell r="E273" t="str">
            <v>KNM467030</v>
          </cell>
          <cell r="F273">
            <v>1678.8324700000001</v>
          </cell>
          <cell r="G273">
            <v>33.107799999999997</v>
          </cell>
          <cell r="H273">
            <v>0.21423333333333333</v>
          </cell>
          <cell r="I273">
            <v>0.28636833333333328</v>
          </cell>
          <cell r="J273">
            <v>7.4206666666666671E-2</v>
          </cell>
          <cell r="K273">
            <v>0.56064666666666674</v>
          </cell>
          <cell r="L273">
            <v>1.2403550000000001</v>
          </cell>
          <cell r="M273">
            <v>1.4630000000000001E-2</v>
          </cell>
          <cell r="N273">
            <v>0.11936166666666666</v>
          </cell>
          <cell r="O273">
            <v>7.8436666666666668E-2</v>
          </cell>
          <cell r="P273">
            <v>9.5613333333333328E-2</v>
          </cell>
          <cell r="Q273">
            <v>0.57480833333333325</v>
          </cell>
          <cell r="R273">
            <v>2.1090433333333332</v>
          </cell>
          <cell r="S273">
            <v>2.5163333333333329E-2</v>
          </cell>
          <cell r="T273">
            <v>0</v>
          </cell>
          <cell r="U273">
            <v>0</v>
          </cell>
          <cell r="V273">
            <v>2.709015</v>
          </cell>
        </row>
        <row r="274">
          <cell r="D274" t="str">
            <v>KNM6-67030 0392</v>
          </cell>
          <cell r="E274" t="str">
            <v>KNM667030</v>
          </cell>
          <cell r="F274">
            <v>1718.8904500000001</v>
          </cell>
          <cell r="G274">
            <v>33.107799999999997</v>
          </cell>
          <cell r="H274">
            <v>0.2185</v>
          </cell>
          <cell r="I274">
            <v>0.28878500000000001</v>
          </cell>
          <cell r="J274">
            <v>8.9161666666666667E-2</v>
          </cell>
          <cell r="K274">
            <v>0.56907999999999992</v>
          </cell>
          <cell r="L274">
            <v>1.2698783333333334</v>
          </cell>
          <cell r="M274">
            <v>1.4630000000000001E-2</v>
          </cell>
          <cell r="N274">
            <v>0.12250666666666667</v>
          </cell>
          <cell r="O274">
            <v>7.9963333333333331E-2</v>
          </cell>
          <cell r="P274">
            <v>0.100465</v>
          </cell>
          <cell r="Q274">
            <v>0.59644666666666668</v>
          </cell>
          <cell r="R274">
            <v>2.1565233333333329</v>
          </cell>
          <cell r="S274">
            <v>2.5163333333333329E-2</v>
          </cell>
          <cell r="T274">
            <v>0</v>
          </cell>
          <cell r="U274">
            <v>0</v>
          </cell>
          <cell r="V274">
            <v>2.7781333333333329</v>
          </cell>
        </row>
        <row r="275">
          <cell r="D275" t="str">
            <v>KNM7-67030 0392</v>
          </cell>
          <cell r="E275" t="str">
            <v>KNM767030</v>
          </cell>
          <cell r="F275">
            <v>1544.56342</v>
          </cell>
          <cell r="G275">
            <v>30.919599999999999</v>
          </cell>
          <cell r="H275">
            <v>0.19796666666666668</v>
          </cell>
          <cell r="I275">
            <v>0.2539183333333333</v>
          </cell>
          <cell r="J275">
            <v>6.0716666666666662E-2</v>
          </cell>
          <cell r="K275">
            <v>0.51988166666666669</v>
          </cell>
          <cell r="L275">
            <v>1.1511566666666666</v>
          </cell>
          <cell r="M275">
            <v>1.4630000000000001E-2</v>
          </cell>
          <cell r="N275">
            <v>0.11036833333333333</v>
          </cell>
          <cell r="O275">
            <v>7.3041666666666671E-2</v>
          </cell>
          <cell r="P275">
            <v>8.7251666666666672E-2</v>
          </cell>
          <cell r="Q275">
            <v>0.51260166666666662</v>
          </cell>
          <cell r="R275">
            <v>1.9563299999999999</v>
          </cell>
          <cell r="S275">
            <v>2.5163333333333329E-2</v>
          </cell>
          <cell r="T275">
            <v>0</v>
          </cell>
          <cell r="U275">
            <v>0</v>
          </cell>
          <cell r="V275">
            <v>2.4940949999999997</v>
          </cell>
        </row>
        <row r="276">
          <cell r="D276" t="str">
            <v>KNM8-67030 0392</v>
          </cell>
          <cell r="E276" t="str">
            <v>KNM867030</v>
          </cell>
          <cell r="F276">
            <v>1598.7934</v>
          </cell>
          <cell r="G276">
            <v>33.107799999999997</v>
          </cell>
          <cell r="H276">
            <v>0.20685166666666666</v>
          </cell>
          <cell r="I276">
            <v>0.25397333333333333</v>
          </cell>
          <cell r="J276">
            <v>6.7739999999999995E-2</v>
          </cell>
          <cell r="K276">
            <v>0.54355500000000001</v>
          </cell>
          <cell r="L276">
            <v>1.2266283333333334</v>
          </cell>
          <cell r="M276">
            <v>1.4630000000000001E-2</v>
          </cell>
          <cell r="N276">
            <v>0.11762166666666667</v>
          </cell>
          <cell r="O276">
            <v>7.7083333333333337E-2</v>
          </cell>
          <cell r="P276">
            <v>9.2770000000000005E-2</v>
          </cell>
          <cell r="Q276">
            <v>0.52856499999999995</v>
          </cell>
          <cell r="R276">
            <v>2.0722883333333333</v>
          </cell>
          <cell r="S276">
            <v>2.5163333333333329E-2</v>
          </cell>
          <cell r="T276">
            <v>0</v>
          </cell>
          <cell r="U276">
            <v>0</v>
          </cell>
          <cell r="V276">
            <v>2.6260166666666667</v>
          </cell>
        </row>
        <row r="277">
          <cell r="D277" t="str">
            <v>KR9P-67030D 2201</v>
          </cell>
          <cell r="E277" t="str">
            <v>KR9P67030D</v>
          </cell>
          <cell r="F277">
            <v>1241.8</v>
          </cell>
          <cell r="G277">
            <v>0</v>
          </cell>
          <cell r="H277">
            <v>0.197215</v>
          </cell>
          <cell r="I277">
            <v>0.31677833333333333</v>
          </cell>
          <cell r="J277">
            <v>0.10896</v>
          </cell>
          <cell r="K277">
            <v>0.48185166666666668</v>
          </cell>
          <cell r="L277">
            <v>1.010775</v>
          </cell>
          <cell r="M277">
            <v>9.4050000000000002E-3</v>
          </cell>
          <cell r="N277">
            <v>0.10052999999999999</v>
          </cell>
          <cell r="O277">
            <v>5.3193333333333336E-2</v>
          </cell>
          <cell r="P277">
            <v>7.020333333333334E-2</v>
          </cell>
          <cell r="Q277">
            <v>0.62295333333333325</v>
          </cell>
          <cell r="R277">
            <v>1.7259583333333337</v>
          </cell>
          <cell r="S277">
            <v>0</v>
          </cell>
          <cell r="T277">
            <v>0</v>
          </cell>
          <cell r="U277">
            <v>0</v>
          </cell>
          <cell r="V277">
            <v>2.348911666666667</v>
          </cell>
        </row>
        <row r="278">
          <cell r="D278" t="str">
            <v>KR9P-67120A 0701</v>
          </cell>
          <cell r="E278" t="str">
            <v>KR9P67120A</v>
          </cell>
          <cell r="F278">
            <v>30.6</v>
          </cell>
          <cell r="G278">
            <v>0</v>
          </cell>
          <cell r="H278">
            <v>9.9466666666666662E-3</v>
          </cell>
          <cell r="I278">
            <v>5.933333333333333E-3</v>
          </cell>
          <cell r="J278">
            <v>0</v>
          </cell>
          <cell r="K278">
            <v>1.6500000000000001E-2</v>
          </cell>
          <cell r="L278">
            <v>0.20963833333333334</v>
          </cell>
          <cell r="M278">
            <v>1.0450000000000001E-3</v>
          </cell>
          <cell r="N278">
            <v>1.8705000000000003E-2</v>
          </cell>
          <cell r="O278">
            <v>1.0863333333333334E-2</v>
          </cell>
          <cell r="P278">
            <v>5.5533333333333329E-3</v>
          </cell>
          <cell r="Q278">
            <v>1.5879999999999998E-2</v>
          </cell>
          <cell r="R278">
            <v>0.26230500000000001</v>
          </cell>
          <cell r="S278">
            <v>0</v>
          </cell>
          <cell r="T278">
            <v>0</v>
          </cell>
          <cell r="U278">
            <v>0</v>
          </cell>
          <cell r="V278">
            <v>0.27818500000000002</v>
          </cell>
        </row>
        <row r="279">
          <cell r="D279" t="str">
            <v>KR9P-67240B 1122</v>
          </cell>
          <cell r="E279" t="str">
            <v>KR9P67240B</v>
          </cell>
          <cell r="F279">
            <v>62.922600000000003</v>
          </cell>
          <cell r="G279">
            <v>0</v>
          </cell>
          <cell r="H279">
            <v>1.5061666666666666E-2</v>
          </cell>
          <cell r="I279">
            <v>0</v>
          </cell>
          <cell r="J279">
            <v>0</v>
          </cell>
          <cell r="K279">
            <v>3.9050000000000001E-2</v>
          </cell>
          <cell r="L279">
            <v>0.16352</v>
          </cell>
          <cell r="M279">
            <v>2.0900000000000003E-3</v>
          </cell>
          <cell r="N279">
            <v>2.4094999999999998E-2</v>
          </cell>
          <cell r="O279">
            <v>1.3541666666666667E-2</v>
          </cell>
          <cell r="P279">
            <v>5.338333333333333E-3</v>
          </cell>
          <cell r="Q279">
            <v>1.5061666666666666E-2</v>
          </cell>
          <cell r="R279">
            <v>0.24763500000000002</v>
          </cell>
          <cell r="S279">
            <v>0</v>
          </cell>
          <cell r="T279">
            <v>0</v>
          </cell>
          <cell r="U279">
            <v>0</v>
          </cell>
          <cell r="V279">
            <v>0.26269666666666669</v>
          </cell>
        </row>
        <row r="280">
          <cell r="D280" t="str">
            <v>KR9P-67SJ0 0311</v>
          </cell>
          <cell r="E280" t="str">
            <v>KR9P67SJ0</v>
          </cell>
          <cell r="F280">
            <v>2.7873999999999999</v>
          </cell>
          <cell r="G280">
            <v>0</v>
          </cell>
          <cell r="H280">
            <v>3.0299999999999997E-3</v>
          </cell>
          <cell r="I280">
            <v>0</v>
          </cell>
          <cell r="J280">
            <v>0</v>
          </cell>
          <cell r="K280">
            <v>9.1666666666666667E-3</v>
          </cell>
          <cell r="L280">
            <v>2.2788333333333334E-2</v>
          </cell>
          <cell r="M280">
            <v>0</v>
          </cell>
          <cell r="N280">
            <v>1.0781666666666667E-2</v>
          </cell>
          <cell r="O280">
            <v>4.7249999999999992E-3</v>
          </cell>
          <cell r="P280">
            <v>1.9066666666666668E-3</v>
          </cell>
          <cell r="Q280">
            <v>3.0299999999999997E-3</v>
          </cell>
          <cell r="R280">
            <v>4.9368333333333334E-2</v>
          </cell>
          <cell r="S280">
            <v>0</v>
          </cell>
          <cell r="T280">
            <v>0</v>
          </cell>
          <cell r="U280">
            <v>0</v>
          </cell>
          <cell r="V280">
            <v>5.2398333333333331E-2</v>
          </cell>
        </row>
        <row r="281">
          <cell r="D281" t="str">
            <v>KS0G-67030C 1501</v>
          </cell>
          <cell r="E281" t="str">
            <v>KS0G67030C</v>
          </cell>
          <cell r="F281">
            <v>1206.5</v>
          </cell>
          <cell r="G281">
            <v>0</v>
          </cell>
          <cell r="H281">
            <v>0.19709166666666667</v>
          </cell>
          <cell r="I281">
            <v>0.32570833333333332</v>
          </cell>
          <cell r="J281">
            <v>9.7753333333333331E-2</v>
          </cell>
          <cell r="K281">
            <v>0.48373166666666667</v>
          </cell>
          <cell r="L281">
            <v>1.0440416666666665</v>
          </cell>
          <cell r="M281">
            <v>9.4050000000000002E-3</v>
          </cell>
          <cell r="N281">
            <v>0.10175666666666668</v>
          </cell>
          <cell r="O281">
            <v>5.366166666666667E-2</v>
          </cell>
          <cell r="P281">
            <v>7.0443333333333344E-2</v>
          </cell>
          <cell r="Q281">
            <v>0.62055333333333329</v>
          </cell>
          <cell r="R281">
            <v>1.7630400000000002</v>
          </cell>
          <cell r="S281">
            <v>0</v>
          </cell>
          <cell r="T281">
            <v>0</v>
          </cell>
          <cell r="U281">
            <v>0</v>
          </cell>
          <cell r="V281">
            <v>2.3835933333333337</v>
          </cell>
        </row>
        <row r="282">
          <cell r="D282" t="str">
            <v>KS0G-67240A 1122</v>
          </cell>
          <cell r="E282" t="str">
            <v>KS0G67240A</v>
          </cell>
          <cell r="F282">
            <v>81.03349</v>
          </cell>
          <cell r="G282">
            <v>0</v>
          </cell>
          <cell r="H282">
            <v>1.5365E-2</v>
          </cell>
          <cell r="I282">
            <v>0</v>
          </cell>
          <cell r="J282">
            <v>0</v>
          </cell>
          <cell r="K282">
            <v>3.9050000000000001E-2</v>
          </cell>
          <cell r="L282">
            <v>0.17053833333333335</v>
          </cell>
          <cell r="M282">
            <v>2.0900000000000003E-3</v>
          </cell>
          <cell r="N282">
            <v>2.4101666666666667E-2</v>
          </cell>
          <cell r="O282">
            <v>1.371E-2</v>
          </cell>
          <cell r="P282">
            <v>5.4549999999999998E-3</v>
          </cell>
          <cell r="Q282">
            <v>1.5365E-2</v>
          </cell>
          <cell r="R282">
            <v>0.25494500000000003</v>
          </cell>
          <cell r="S282">
            <v>0</v>
          </cell>
          <cell r="T282">
            <v>0</v>
          </cell>
          <cell r="U282">
            <v>0</v>
          </cell>
          <cell r="V282">
            <v>0.27031000000000005</v>
          </cell>
        </row>
        <row r="283">
          <cell r="D283" t="str">
            <v>KS1A-67030C 1501</v>
          </cell>
          <cell r="E283" t="str">
            <v>KS1A67030C</v>
          </cell>
          <cell r="F283">
            <v>1093.3</v>
          </cell>
          <cell r="G283">
            <v>0</v>
          </cell>
          <cell r="H283">
            <v>0.17716000000000001</v>
          </cell>
          <cell r="I283">
            <v>0.24000833333333332</v>
          </cell>
          <cell r="J283">
            <v>7.2929999999999995E-2</v>
          </cell>
          <cell r="K283">
            <v>0.44523166666666664</v>
          </cell>
          <cell r="L283">
            <v>0.98422833333333337</v>
          </cell>
          <cell r="M283">
            <v>9.4050000000000002E-3</v>
          </cell>
          <cell r="N283">
            <v>9.8356666666666662E-2</v>
          </cell>
          <cell r="O283">
            <v>5.1468333333333331E-2</v>
          </cell>
          <cell r="P283">
            <v>6.2936666666666669E-2</v>
          </cell>
          <cell r="Q283">
            <v>0.49009833333333336</v>
          </cell>
          <cell r="R283">
            <v>1.6516266666666666</v>
          </cell>
          <cell r="S283">
            <v>0</v>
          </cell>
          <cell r="T283">
            <v>0</v>
          </cell>
          <cell r="U283">
            <v>0</v>
          </cell>
          <cell r="V283">
            <v>2.1417250000000001</v>
          </cell>
        </row>
        <row r="284">
          <cell r="D284" t="str">
            <v>KS1A-67120 0442</v>
          </cell>
          <cell r="E284" t="str">
            <v>KS1A67120</v>
          </cell>
          <cell r="F284">
            <v>29.682459999999999</v>
          </cell>
          <cell r="G284">
            <v>0</v>
          </cell>
          <cell r="H284">
            <v>8.5516666666666675E-3</v>
          </cell>
          <cell r="I284">
            <v>5.2800000000000008E-3</v>
          </cell>
          <cell r="J284">
            <v>0</v>
          </cell>
          <cell r="K284">
            <v>1.6500000000000001E-2</v>
          </cell>
          <cell r="L284">
            <v>0.17750333333333332</v>
          </cell>
          <cell r="M284">
            <v>1.0450000000000001E-3</v>
          </cell>
          <cell r="N284">
            <v>1.7981666666666667E-2</v>
          </cell>
          <cell r="O284">
            <v>1.0263333333333334E-2</v>
          </cell>
          <cell r="P284">
            <v>5.0533333333333342E-3</v>
          </cell>
          <cell r="Q284">
            <v>1.3831666666666669E-2</v>
          </cell>
          <cell r="R284">
            <v>0.22834666666666664</v>
          </cell>
          <cell r="S284">
            <v>0</v>
          </cell>
          <cell r="T284">
            <v>0</v>
          </cell>
          <cell r="U284">
            <v>0</v>
          </cell>
          <cell r="V284">
            <v>0.2421783333333333</v>
          </cell>
        </row>
        <row r="285">
          <cell r="D285" t="str">
            <v>KS1A-67240A 1122</v>
          </cell>
          <cell r="E285" t="str">
            <v>KS1A67240A</v>
          </cell>
          <cell r="F285">
            <v>74.990200000000002</v>
          </cell>
          <cell r="G285">
            <v>0</v>
          </cell>
          <cell r="H285">
            <v>1.3433333333333334E-2</v>
          </cell>
          <cell r="I285">
            <v>0</v>
          </cell>
          <cell r="J285">
            <v>0</v>
          </cell>
          <cell r="K285">
            <v>3.3549999999999996E-2</v>
          </cell>
          <cell r="L285">
            <v>0.15851333333333334</v>
          </cell>
          <cell r="M285">
            <v>2.0900000000000003E-3</v>
          </cell>
          <cell r="N285">
            <v>2.3201666666666666E-2</v>
          </cell>
          <cell r="O285">
            <v>1.3366666666666667E-2</v>
          </cell>
          <cell r="P285">
            <v>5.2199999999999998E-3</v>
          </cell>
          <cell r="Q285">
            <v>1.3433333333333334E-2</v>
          </cell>
          <cell r="R285">
            <v>0.23594166666666669</v>
          </cell>
          <cell r="S285">
            <v>0</v>
          </cell>
          <cell r="T285">
            <v>0</v>
          </cell>
          <cell r="U285">
            <v>0</v>
          </cell>
          <cell r="V285">
            <v>0.24937500000000001</v>
          </cell>
        </row>
        <row r="286">
          <cell r="D286" t="str">
            <v>KSL2-67030 0652</v>
          </cell>
          <cell r="E286" t="str">
            <v>KSL267030</v>
          </cell>
          <cell r="F286">
            <v>1710.3686600000001</v>
          </cell>
          <cell r="G286">
            <v>33.107799999999997</v>
          </cell>
          <cell r="H286">
            <v>0.21414</v>
          </cell>
          <cell r="I286">
            <v>0.26765166666666668</v>
          </cell>
          <cell r="J286">
            <v>8.2005000000000008E-2</v>
          </cell>
          <cell r="K286">
            <v>0.55932166666666672</v>
          </cell>
          <cell r="L286">
            <v>1.2580133333333334</v>
          </cell>
          <cell r="M286">
            <v>1.4630000000000001E-2</v>
          </cell>
          <cell r="N286">
            <v>0.12157833333333333</v>
          </cell>
          <cell r="O286">
            <v>8.1146666666666672E-2</v>
          </cell>
          <cell r="P286">
            <v>9.7736666666666666E-2</v>
          </cell>
          <cell r="Q286">
            <v>0.56379666666666672</v>
          </cell>
          <cell r="R286">
            <v>2.1324266666666665</v>
          </cell>
          <cell r="S286">
            <v>2.5163333333333329E-2</v>
          </cell>
          <cell r="T286">
            <v>0</v>
          </cell>
          <cell r="U286">
            <v>0</v>
          </cell>
          <cell r="V286">
            <v>2.7213866666666666</v>
          </cell>
        </row>
        <row r="287">
          <cell r="D287" t="str">
            <v>KSL4-67030 0652</v>
          </cell>
          <cell r="E287" t="str">
            <v>KSL467030</v>
          </cell>
          <cell r="F287">
            <v>1770.99899</v>
          </cell>
          <cell r="G287">
            <v>33.107799999999997</v>
          </cell>
          <cell r="H287">
            <v>0.22011166666666665</v>
          </cell>
          <cell r="I287">
            <v>0.30004666666666668</v>
          </cell>
          <cell r="J287">
            <v>8.8471666666666671E-2</v>
          </cell>
          <cell r="K287">
            <v>0.57292999999999994</v>
          </cell>
          <cell r="L287">
            <v>1.2666700000000002</v>
          </cell>
          <cell r="M287">
            <v>1.4630000000000001E-2</v>
          </cell>
          <cell r="N287">
            <v>0.12249333333333333</v>
          </cell>
          <cell r="O287">
            <v>8.1960000000000005E-2</v>
          </cell>
          <cell r="P287">
            <v>9.8243333333333321E-2</v>
          </cell>
          <cell r="Q287">
            <v>0.60863</v>
          </cell>
          <cell r="R287">
            <v>2.1569266666666667</v>
          </cell>
          <cell r="S287">
            <v>2.5163333333333329E-2</v>
          </cell>
          <cell r="T287">
            <v>0</v>
          </cell>
          <cell r="U287">
            <v>0</v>
          </cell>
          <cell r="V287">
            <v>2.7907200000000003</v>
          </cell>
        </row>
        <row r="288">
          <cell r="D288" t="str">
            <v>KSL6-67030 0652</v>
          </cell>
          <cell r="E288" t="str">
            <v>KSL667030</v>
          </cell>
          <cell r="F288">
            <v>1811.20397</v>
          </cell>
          <cell r="G288">
            <v>33.107799999999997</v>
          </cell>
          <cell r="H288">
            <v>0.22438</v>
          </cell>
          <cell r="I288">
            <v>0.30246333333333336</v>
          </cell>
          <cell r="J288">
            <v>0.10345666666666667</v>
          </cell>
          <cell r="K288">
            <v>0.58136333333333334</v>
          </cell>
          <cell r="L288">
            <v>1.2962099999999999</v>
          </cell>
          <cell r="M288">
            <v>1.4630000000000001E-2</v>
          </cell>
          <cell r="N288">
            <v>0.12563833333333332</v>
          </cell>
          <cell r="O288">
            <v>8.3486666666666667E-2</v>
          </cell>
          <cell r="P288">
            <v>0.10309333333333333</v>
          </cell>
          <cell r="Q288">
            <v>0.63029999999999997</v>
          </cell>
          <cell r="R288">
            <v>2.2044216666666663</v>
          </cell>
          <cell r="S288">
            <v>2.5163333333333329E-2</v>
          </cell>
          <cell r="T288">
            <v>0</v>
          </cell>
          <cell r="U288">
            <v>0</v>
          </cell>
          <cell r="V288">
            <v>2.8598849999999998</v>
          </cell>
        </row>
        <row r="289">
          <cell r="D289" t="str">
            <v>KST5-67030B 2201</v>
          </cell>
          <cell r="E289" t="str">
            <v>KST567030B</v>
          </cell>
          <cell r="F289">
            <v>1134.3</v>
          </cell>
          <cell r="G289">
            <v>0</v>
          </cell>
          <cell r="H289">
            <v>0.17565833333333333</v>
          </cell>
          <cell r="I289">
            <v>0.22187999999999999</v>
          </cell>
          <cell r="J289">
            <v>8.7933333333333336E-2</v>
          </cell>
          <cell r="K289">
            <v>0.43418500000000004</v>
          </cell>
          <cell r="L289">
            <v>0.98008333333333331</v>
          </cell>
          <cell r="M289">
            <v>9.4050000000000002E-3</v>
          </cell>
          <cell r="N289">
            <v>9.762333333333334E-2</v>
          </cell>
          <cell r="O289">
            <v>5.1941666666666664E-2</v>
          </cell>
          <cell r="P289">
            <v>6.5353333333333333E-2</v>
          </cell>
          <cell r="Q289">
            <v>0.48547166666666663</v>
          </cell>
          <cell r="R289">
            <v>1.6385916666666667</v>
          </cell>
          <cell r="S289">
            <v>0</v>
          </cell>
          <cell r="T289">
            <v>0</v>
          </cell>
          <cell r="U289">
            <v>0</v>
          </cell>
          <cell r="V289">
            <v>2.1240633333333334</v>
          </cell>
        </row>
        <row r="290">
          <cell r="D290" t="str">
            <v>KV0T-67030 0421</v>
          </cell>
          <cell r="E290" t="str">
            <v>KV0T67030</v>
          </cell>
          <cell r="F290">
            <v>1822.44147</v>
          </cell>
          <cell r="G290">
            <v>35.5655</v>
          </cell>
          <cell r="H290">
            <v>0.23376833333333333</v>
          </cell>
          <cell r="I290">
            <v>0.36992333333333333</v>
          </cell>
          <cell r="J290">
            <v>9.9015000000000006E-2</v>
          </cell>
          <cell r="K290">
            <v>0.61877666666666675</v>
          </cell>
          <cell r="L290">
            <v>1.284775</v>
          </cell>
          <cell r="M290">
            <v>1.3585000000000002E-2</v>
          </cell>
          <cell r="N290">
            <v>0.12791666666666665</v>
          </cell>
          <cell r="O290">
            <v>8.2083333333333328E-2</v>
          </cell>
          <cell r="P290">
            <v>8.5320000000000007E-2</v>
          </cell>
          <cell r="Q290">
            <v>0.70270666666666659</v>
          </cell>
          <cell r="R290">
            <v>2.2124566666666663</v>
          </cell>
          <cell r="S290">
            <v>2.5163333333333329E-2</v>
          </cell>
          <cell r="T290">
            <v>0</v>
          </cell>
          <cell r="U290">
            <v>0</v>
          </cell>
          <cell r="V290">
            <v>2.9403266666666665</v>
          </cell>
        </row>
        <row r="291">
          <cell r="D291" t="str">
            <v>KV1G-67030 0431</v>
          </cell>
          <cell r="E291" t="str">
            <v>KV1G67030</v>
          </cell>
          <cell r="F291">
            <v>1902.83582</v>
          </cell>
          <cell r="G291">
            <v>35.5655</v>
          </cell>
          <cell r="H291">
            <v>0.23979166666666665</v>
          </cell>
          <cell r="I291">
            <v>0.37751499999999999</v>
          </cell>
          <cell r="J291">
            <v>0.12045666666666667</v>
          </cell>
          <cell r="K291">
            <v>0.6292266666666666</v>
          </cell>
          <cell r="L291">
            <v>1.3136033333333332</v>
          </cell>
          <cell r="M291">
            <v>1.3585000000000002E-2</v>
          </cell>
          <cell r="N291">
            <v>0.13173333333333334</v>
          </cell>
          <cell r="O291">
            <v>8.5903333333333345E-2</v>
          </cell>
          <cell r="P291">
            <v>8.8054999999999994E-2</v>
          </cell>
          <cell r="Q291">
            <v>0.73776333333333333</v>
          </cell>
          <cell r="R291">
            <v>2.2621066666666669</v>
          </cell>
          <cell r="S291">
            <v>2.5163333333333329E-2</v>
          </cell>
          <cell r="T291">
            <v>0</v>
          </cell>
          <cell r="U291">
            <v>0</v>
          </cell>
          <cell r="V291">
            <v>3.0250333333333339</v>
          </cell>
        </row>
        <row r="292">
          <cell r="D292" t="str">
            <v>KW0A-67030 0332</v>
          </cell>
          <cell r="E292" t="str">
            <v>KW0A67030</v>
          </cell>
          <cell r="F292">
            <v>1664.5992200000001</v>
          </cell>
          <cell r="G292">
            <v>35.910400000000003</v>
          </cell>
          <cell r="H292">
            <v>0.21811666666666665</v>
          </cell>
          <cell r="I292">
            <v>0.38517499999999999</v>
          </cell>
          <cell r="J292">
            <v>8.1425000000000011E-2</v>
          </cell>
          <cell r="K292">
            <v>0.58569333333333329</v>
          </cell>
          <cell r="L292">
            <v>1.1292766666666667</v>
          </cell>
          <cell r="M292">
            <v>1.4630000000000001E-2</v>
          </cell>
          <cell r="N292">
            <v>0.11643833333333334</v>
          </cell>
          <cell r="O292">
            <v>7.7066666666666658E-2</v>
          </cell>
          <cell r="P292">
            <v>8.7559999999999999E-2</v>
          </cell>
          <cell r="Q292">
            <v>0.68471666666666664</v>
          </cell>
          <cell r="R292">
            <v>2.0106649999999999</v>
          </cell>
          <cell r="S292">
            <v>2.5163333333333329E-2</v>
          </cell>
          <cell r="T292">
            <v>0</v>
          </cell>
          <cell r="U292">
            <v>0</v>
          </cell>
          <cell r="V292">
            <v>2.720545</v>
          </cell>
        </row>
        <row r="293">
          <cell r="D293" t="str">
            <v>KW0D-67030 0332</v>
          </cell>
          <cell r="E293" t="str">
            <v>KW0D67030</v>
          </cell>
          <cell r="F293">
            <v>1747.89148</v>
          </cell>
          <cell r="G293">
            <v>35.910400000000003</v>
          </cell>
          <cell r="H293">
            <v>0.21847666666666665</v>
          </cell>
          <cell r="I293">
            <v>0.38988</v>
          </cell>
          <cell r="J293">
            <v>9.9824999999999997E-2</v>
          </cell>
          <cell r="K293">
            <v>0.57864000000000004</v>
          </cell>
          <cell r="L293">
            <v>1.1497083333333333</v>
          </cell>
          <cell r="M293">
            <v>1.4630000000000001E-2</v>
          </cell>
          <cell r="N293">
            <v>0.11890666666666667</v>
          </cell>
          <cell r="O293">
            <v>7.8953333333333334E-2</v>
          </cell>
          <cell r="P293">
            <v>8.8558333333333336E-2</v>
          </cell>
          <cell r="Q293">
            <v>0.70818166666666671</v>
          </cell>
          <cell r="R293">
            <v>2.029396666666667</v>
          </cell>
          <cell r="S293">
            <v>2.5163333333333329E-2</v>
          </cell>
          <cell r="T293">
            <v>0</v>
          </cell>
          <cell r="U293">
            <v>0</v>
          </cell>
          <cell r="V293">
            <v>2.7627416666666669</v>
          </cell>
        </row>
        <row r="294">
          <cell r="D294" t="str">
            <v>KW0E-67030 0332</v>
          </cell>
          <cell r="E294" t="str">
            <v>KW0E67030</v>
          </cell>
          <cell r="F294">
            <v>1786.5248200000001</v>
          </cell>
          <cell r="G294">
            <v>35.910400000000003</v>
          </cell>
          <cell r="H294">
            <v>0.22273500000000002</v>
          </cell>
          <cell r="I294">
            <v>0.39229666666666668</v>
          </cell>
          <cell r="J294">
            <v>0.115215</v>
          </cell>
          <cell r="K294">
            <v>0.58707333333333334</v>
          </cell>
          <cell r="L294">
            <v>1.1806750000000001</v>
          </cell>
          <cell r="M294">
            <v>1.4630000000000001E-2</v>
          </cell>
          <cell r="N294">
            <v>0.12205166666666667</v>
          </cell>
          <cell r="O294">
            <v>8.048000000000001E-2</v>
          </cell>
          <cell r="P294">
            <v>9.3409999999999993E-2</v>
          </cell>
          <cell r="Q294">
            <v>0.7302466666666666</v>
          </cell>
          <cell r="R294">
            <v>2.0783200000000002</v>
          </cell>
          <cell r="S294">
            <v>2.5163333333333329E-2</v>
          </cell>
          <cell r="T294">
            <v>0</v>
          </cell>
          <cell r="U294">
            <v>0</v>
          </cell>
          <cell r="V294">
            <v>2.8337300000000001</v>
          </cell>
        </row>
        <row r="295">
          <cell r="D295" t="str">
            <v>7375-1479 0111</v>
          </cell>
          <cell r="E295" t="str">
            <v>73751479</v>
          </cell>
          <cell r="F295">
            <v>6.3</v>
          </cell>
          <cell r="G295">
            <v>0</v>
          </cell>
          <cell r="H295">
            <v>3.1349999999999998E-3</v>
          </cell>
          <cell r="I295">
            <v>2.2983333333333335E-2</v>
          </cell>
          <cell r="J295">
            <v>0</v>
          </cell>
          <cell r="K295">
            <v>1.65E-3</v>
          </cell>
          <cell r="L295">
            <v>1.3640000000000001E-2</v>
          </cell>
          <cell r="M295">
            <v>0</v>
          </cell>
          <cell r="N295">
            <v>1.3165000000000001E-2</v>
          </cell>
          <cell r="O295">
            <v>5.6549999999999994E-3</v>
          </cell>
          <cell r="P295">
            <v>2.6383333333333332E-3</v>
          </cell>
          <cell r="Q295">
            <v>2.6118333333333334E-2</v>
          </cell>
          <cell r="R295">
            <v>3.6748333333333334E-2</v>
          </cell>
          <cell r="S295">
            <v>0</v>
          </cell>
          <cell r="T295">
            <v>0</v>
          </cell>
          <cell r="U295">
            <v>0</v>
          </cell>
          <cell r="V295">
            <v>6.2866666666666668E-2</v>
          </cell>
        </row>
        <row r="296">
          <cell r="D296" t="str">
            <v>7375-1481 0111</v>
          </cell>
          <cell r="E296" t="str">
            <v>73751481</v>
          </cell>
          <cell r="F296">
            <v>7.1</v>
          </cell>
          <cell r="G296">
            <v>0</v>
          </cell>
          <cell r="H296">
            <v>3.1849999999999999E-3</v>
          </cell>
          <cell r="I296">
            <v>2.2983333333333335E-2</v>
          </cell>
          <cell r="J296">
            <v>0</v>
          </cell>
          <cell r="K296">
            <v>1.65E-3</v>
          </cell>
          <cell r="L296">
            <v>1.6033333333333333E-2</v>
          </cell>
          <cell r="M296">
            <v>0</v>
          </cell>
          <cell r="N296">
            <v>1.3771666666666666E-2</v>
          </cell>
          <cell r="O296">
            <v>5.9733333333333331E-3</v>
          </cell>
          <cell r="P296">
            <v>2.7633333333333334E-3</v>
          </cell>
          <cell r="Q296">
            <v>2.6168333333333335E-2</v>
          </cell>
          <cell r="R296">
            <v>4.019166666666666E-2</v>
          </cell>
          <cell r="S296">
            <v>0</v>
          </cell>
          <cell r="T296">
            <v>0</v>
          </cell>
          <cell r="U296">
            <v>0</v>
          </cell>
          <cell r="V296">
            <v>6.6360000000000002E-2</v>
          </cell>
        </row>
        <row r="297">
          <cell r="D297" t="str">
            <v>7375-1482 0101</v>
          </cell>
          <cell r="E297" t="str">
            <v>73751482</v>
          </cell>
          <cell r="F297">
            <v>10.6</v>
          </cell>
          <cell r="G297">
            <v>0</v>
          </cell>
          <cell r="H297">
            <v>3.3899999999999998E-3</v>
          </cell>
          <cell r="I297">
            <v>2.2983333333333335E-2</v>
          </cell>
          <cell r="J297">
            <v>0</v>
          </cell>
          <cell r="K297">
            <v>1.65E-3</v>
          </cell>
          <cell r="L297">
            <v>1.4066666666666667E-2</v>
          </cell>
          <cell r="M297">
            <v>0</v>
          </cell>
          <cell r="N297">
            <v>1.3205E-2</v>
          </cell>
          <cell r="O297">
            <v>6.5916666666666667E-3</v>
          </cell>
          <cell r="P297">
            <v>3.2799999999999999E-3</v>
          </cell>
          <cell r="Q297">
            <v>2.6373333333333335E-2</v>
          </cell>
          <cell r="R297">
            <v>3.8793333333333332E-2</v>
          </cell>
          <cell r="S297">
            <v>0</v>
          </cell>
          <cell r="T297">
            <v>0</v>
          </cell>
          <cell r="U297">
            <v>0</v>
          </cell>
          <cell r="V297">
            <v>6.5166666666666664E-2</v>
          </cell>
        </row>
        <row r="298">
          <cell r="D298" t="str">
            <v>7375-1945 0111</v>
          </cell>
          <cell r="E298" t="str">
            <v>73751945</v>
          </cell>
          <cell r="F298">
            <v>10</v>
          </cell>
          <cell r="G298">
            <v>0</v>
          </cell>
          <cell r="H298">
            <v>3.3549999999999999E-3</v>
          </cell>
          <cell r="I298">
            <v>2.2983333333333335E-2</v>
          </cell>
          <cell r="J298">
            <v>0</v>
          </cell>
          <cell r="K298">
            <v>1.65E-3</v>
          </cell>
          <cell r="L298">
            <v>1.5545E-2</v>
          </cell>
          <cell r="M298">
            <v>0</v>
          </cell>
          <cell r="N298">
            <v>1.3198333333333334E-2</v>
          </cell>
          <cell r="O298">
            <v>6.4583333333333333E-3</v>
          </cell>
          <cell r="P298">
            <v>3.1899999999999997E-3</v>
          </cell>
          <cell r="Q298">
            <v>2.6338333333333335E-2</v>
          </cell>
          <cell r="R298">
            <v>4.004166666666667E-2</v>
          </cell>
          <cell r="S298">
            <v>0</v>
          </cell>
          <cell r="T298">
            <v>0</v>
          </cell>
          <cell r="U298">
            <v>0</v>
          </cell>
          <cell r="V298">
            <v>6.6380000000000008E-2</v>
          </cell>
        </row>
        <row r="299">
          <cell r="D299" t="str">
            <v>7375-1947 0111</v>
          </cell>
          <cell r="E299" t="str">
            <v>73751947</v>
          </cell>
          <cell r="F299">
            <v>6.6</v>
          </cell>
          <cell r="G299">
            <v>0</v>
          </cell>
          <cell r="H299">
            <v>3.3999999999999998E-3</v>
          </cell>
          <cell r="I299">
            <v>2.2983333333333335E-2</v>
          </cell>
          <cell r="J299">
            <v>0</v>
          </cell>
          <cell r="K299">
            <v>3.7866666666666669E-3</v>
          </cell>
          <cell r="L299">
            <v>1.7689999999999997E-2</v>
          </cell>
          <cell r="M299">
            <v>0</v>
          </cell>
          <cell r="N299">
            <v>1.3168333333333334E-2</v>
          </cell>
          <cell r="O299">
            <v>5.7266666666666672E-3</v>
          </cell>
          <cell r="P299">
            <v>2.6883333333333334E-3</v>
          </cell>
          <cell r="Q299">
            <v>2.6383333333333335E-2</v>
          </cell>
          <cell r="R299">
            <v>4.3059999999999994E-2</v>
          </cell>
          <cell r="S299">
            <v>0</v>
          </cell>
          <cell r="T299">
            <v>0</v>
          </cell>
          <cell r="U299">
            <v>0</v>
          </cell>
          <cell r="V299">
            <v>6.9443333333333329E-2</v>
          </cell>
        </row>
        <row r="300">
          <cell r="D300" t="str">
            <v>7375-1948 0111</v>
          </cell>
          <cell r="E300" t="str">
            <v>73751948</v>
          </cell>
          <cell r="F300">
            <v>11.5</v>
          </cell>
          <cell r="G300">
            <v>0</v>
          </cell>
          <cell r="H300">
            <v>3.4416666666666667E-3</v>
          </cell>
          <cell r="I300">
            <v>2.2983333333333335E-2</v>
          </cell>
          <cell r="J300">
            <v>0</v>
          </cell>
          <cell r="K300">
            <v>1.65E-3</v>
          </cell>
          <cell r="L300">
            <v>1.5689999999999999E-2</v>
          </cell>
          <cell r="M300">
            <v>0</v>
          </cell>
          <cell r="N300">
            <v>1.3211666666666667E-2</v>
          </cell>
          <cell r="O300">
            <v>6.7766666666666669E-3</v>
          </cell>
          <cell r="P300">
            <v>3.4083333333333331E-3</v>
          </cell>
          <cell r="Q300">
            <v>2.6425000000000001E-2</v>
          </cell>
          <cell r="R300">
            <v>4.0736666666666664E-2</v>
          </cell>
          <cell r="S300">
            <v>0</v>
          </cell>
          <cell r="T300">
            <v>0</v>
          </cell>
          <cell r="U300">
            <v>0</v>
          </cell>
          <cell r="V300">
            <v>6.7161666666666661E-2</v>
          </cell>
        </row>
        <row r="301">
          <cell r="D301" t="str">
            <v>7375-1949 0111</v>
          </cell>
          <cell r="E301" t="str">
            <v>73751949</v>
          </cell>
          <cell r="F301">
            <v>7.5</v>
          </cell>
          <cell r="G301">
            <v>0</v>
          </cell>
          <cell r="H301">
            <v>3.2083333333333334E-3</v>
          </cell>
          <cell r="I301">
            <v>2.2983333333333335E-2</v>
          </cell>
          <cell r="J301">
            <v>0</v>
          </cell>
          <cell r="K301">
            <v>1.65E-3</v>
          </cell>
          <cell r="L301">
            <v>1.3763333333333332E-2</v>
          </cell>
          <cell r="M301">
            <v>0</v>
          </cell>
          <cell r="N301">
            <v>1.3176666666666666E-2</v>
          </cell>
          <cell r="O301">
            <v>5.9216666666666671E-3</v>
          </cell>
          <cell r="P301">
            <v>2.82E-3</v>
          </cell>
          <cell r="Q301">
            <v>2.6191666666666669E-2</v>
          </cell>
          <cell r="R301">
            <v>3.7331666666666666E-2</v>
          </cell>
          <cell r="S301">
            <v>0</v>
          </cell>
          <cell r="T301">
            <v>0</v>
          </cell>
          <cell r="U301">
            <v>0</v>
          </cell>
          <cell r="V301">
            <v>6.3523333333333334E-2</v>
          </cell>
        </row>
        <row r="302">
          <cell r="D302" t="str">
            <v>7375-1950 0111</v>
          </cell>
          <cell r="E302" t="str">
            <v>73751950</v>
          </cell>
          <cell r="F302">
            <v>24.9</v>
          </cell>
          <cell r="G302">
            <v>0</v>
          </cell>
          <cell r="H302">
            <v>4.2300000000000003E-3</v>
          </cell>
          <cell r="I302">
            <v>2.2983333333333335E-2</v>
          </cell>
          <cell r="J302">
            <v>0</v>
          </cell>
          <cell r="K302">
            <v>1.65E-3</v>
          </cell>
          <cell r="L302">
            <v>1.5466666666666667E-2</v>
          </cell>
          <cell r="M302">
            <v>0</v>
          </cell>
          <cell r="N302">
            <v>1.3331666666666667E-2</v>
          </cell>
          <cell r="O302">
            <v>9.6700000000000015E-3</v>
          </cell>
          <cell r="P302">
            <v>5.3966666666666659E-3</v>
          </cell>
          <cell r="Q302">
            <v>2.7213333333333336E-2</v>
          </cell>
          <cell r="R302">
            <v>4.5515000000000007E-2</v>
          </cell>
          <cell r="S302">
            <v>0</v>
          </cell>
          <cell r="T302">
            <v>0</v>
          </cell>
          <cell r="U302">
            <v>0</v>
          </cell>
          <cell r="V302">
            <v>7.2728333333333339E-2</v>
          </cell>
        </row>
        <row r="303">
          <cell r="D303" t="str">
            <v>BC111-11730-3 B 0001</v>
          </cell>
          <cell r="E303" t="str">
            <v>BC111-11730-3</v>
          </cell>
          <cell r="F303">
            <v>438.9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1.4606666666666665E-2</v>
          </cell>
          <cell r="U303">
            <v>0</v>
          </cell>
          <cell r="V303">
            <v>1.4606666666666665E-2</v>
          </cell>
        </row>
        <row r="304">
          <cell r="D304" t="str">
            <v>BC111-11810-3 2001</v>
          </cell>
          <cell r="E304" t="str">
            <v>BC111-11810-3</v>
          </cell>
          <cell r="F304">
            <v>446.5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1.4674999999999999E-2</v>
          </cell>
          <cell r="U304">
            <v>0</v>
          </cell>
          <cell r="V304">
            <v>1.4674999999999999E-2</v>
          </cell>
        </row>
        <row r="305">
          <cell r="D305" t="str">
            <v>BC111-16A40-1 1001</v>
          </cell>
          <cell r="E305" t="str">
            <v>BC111-16A40-1</v>
          </cell>
          <cell r="F305">
            <v>145.80000000000001</v>
          </cell>
          <cell r="G305">
            <v>0</v>
          </cell>
          <cell r="H305">
            <v>1.7849999999999999E-3</v>
          </cell>
          <cell r="I305">
            <v>9.5300000000000003E-3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2.6150000000000001E-3</v>
          </cell>
          <cell r="Q305">
            <v>1.1315E-2</v>
          </cell>
          <cell r="R305">
            <v>2.6150000000000001E-3</v>
          </cell>
          <cell r="S305">
            <v>0</v>
          </cell>
          <cell r="T305">
            <v>0</v>
          </cell>
          <cell r="U305">
            <v>0</v>
          </cell>
          <cell r="V305">
            <v>1.3930000000000001E-2</v>
          </cell>
        </row>
        <row r="306">
          <cell r="D306" t="str">
            <v>BC111-16A40-2 1001</v>
          </cell>
          <cell r="E306" t="str">
            <v>BC111-16A40-2</v>
          </cell>
          <cell r="F306">
            <v>122.9</v>
          </cell>
          <cell r="G306">
            <v>0</v>
          </cell>
          <cell r="H306">
            <v>1.6383333333333332E-3</v>
          </cell>
          <cell r="I306">
            <v>9.5300000000000003E-3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2.4866666666666665E-3</v>
          </cell>
          <cell r="Q306">
            <v>1.1168333333333334E-2</v>
          </cell>
          <cell r="R306">
            <v>2.4866666666666665E-3</v>
          </cell>
          <cell r="S306">
            <v>0</v>
          </cell>
          <cell r="T306">
            <v>0</v>
          </cell>
          <cell r="U306">
            <v>0</v>
          </cell>
          <cell r="V306">
            <v>1.3655E-2</v>
          </cell>
        </row>
        <row r="307">
          <cell r="D307" t="str">
            <v>BC111-16B41-1 A 0002</v>
          </cell>
          <cell r="E307" t="str">
            <v>BC111-16B41-1</v>
          </cell>
          <cell r="F307">
            <v>325.3</v>
          </cell>
          <cell r="G307">
            <v>0</v>
          </cell>
          <cell r="H307">
            <v>2.7399999999999998E-3</v>
          </cell>
          <cell r="I307">
            <v>6.4333333333333334E-3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3.1716666666666668E-3</v>
          </cell>
          <cell r="Q307">
            <v>9.1733333333333337E-3</v>
          </cell>
          <cell r="R307">
            <v>3.1716666666666668E-3</v>
          </cell>
          <cell r="S307">
            <v>0</v>
          </cell>
          <cell r="T307">
            <v>0</v>
          </cell>
          <cell r="U307">
            <v>0</v>
          </cell>
          <cell r="V307">
            <v>1.2345E-2</v>
          </cell>
        </row>
        <row r="308">
          <cell r="D308" t="str">
            <v>BC111-16D11-1 A 0002</v>
          </cell>
          <cell r="E308" t="str">
            <v>BC111-16D11-1</v>
          </cell>
          <cell r="F308">
            <v>182.5</v>
          </cell>
          <cell r="G308">
            <v>0</v>
          </cell>
          <cell r="H308">
            <v>2.241666666666667E-3</v>
          </cell>
          <cell r="I308">
            <v>7.9816666666666664E-3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2.5683333333333331E-3</v>
          </cell>
          <cell r="Q308">
            <v>1.0223333333333334E-2</v>
          </cell>
          <cell r="R308">
            <v>2.5683333333333331E-3</v>
          </cell>
          <cell r="S308">
            <v>0</v>
          </cell>
          <cell r="T308">
            <v>0</v>
          </cell>
          <cell r="U308">
            <v>0</v>
          </cell>
          <cell r="V308">
            <v>1.2791666666666666E-2</v>
          </cell>
        </row>
        <row r="309">
          <cell r="D309" t="str">
            <v>BC111-16F01-1 A 0002</v>
          </cell>
          <cell r="E309" t="str">
            <v>BC111-16F01-1</v>
          </cell>
          <cell r="F309">
            <v>322.5</v>
          </cell>
          <cell r="G309">
            <v>0</v>
          </cell>
          <cell r="H309">
            <v>2.7533333333333338E-3</v>
          </cell>
          <cell r="I309">
            <v>6.4333333333333334E-3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3.16E-3</v>
          </cell>
          <cell r="Q309">
            <v>9.1866666666666676E-3</v>
          </cell>
          <cell r="R309">
            <v>3.16E-3</v>
          </cell>
          <cell r="S309">
            <v>0</v>
          </cell>
          <cell r="T309">
            <v>0</v>
          </cell>
          <cell r="U309">
            <v>0</v>
          </cell>
          <cell r="V309">
            <v>1.2346666666666667E-2</v>
          </cell>
        </row>
        <row r="310">
          <cell r="D310" t="str">
            <v>BC111-16J40-1   0001</v>
          </cell>
          <cell r="E310" t="str">
            <v>BC111-16J40-1</v>
          </cell>
          <cell r="F310">
            <v>182.5</v>
          </cell>
          <cell r="G310">
            <v>0</v>
          </cell>
          <cell r="H310">
            <v>2.241666666666667E-3</v>
          </cell>
          <cell r="I310">
            <v>7.9816666666666664E-3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2.5683333333333331E-3</v>
          </cell>
          <cell r="Q310">
            <v>1.0223333333333334E-2</v>
          </cell>
          <cell r="R310">
            <v>2.5683333333333331E-3</v>
          </cell>
          <cell r="S310">
            <v>0</v>
          </cell>
          <cell r="T310">
            <v>0</v>
          </cell>
          <cell r="U310">
            <v>0</v>
          </cell>
          <cell r="V310">
            <v>1.2791666666666666E-2</v>
          </cell>
        </row>
        <row r="311">
          <cell r="D311" t="str">
            <v>BC111-16P60-1   0001</v>
          </cell>
          <cell r="E311" t="str">
            <v>BC111-16P60-1</v>
          </cell>
          <cell r="F311">
            <v>323.5</v>
          </cell>
          <cell r="G311">
            <v>0</v>
          </cell>
          <cell r="H311">
            <v>2.7316666666666665E-3</v>
          </cell>
          <cell r="I311">
            <v>6.4333333333333334E-3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3.1650000000000003E-3</v>
          </cell>
          <cell r="Q311">
            <v>9.1649999999999995E-3</v>
          </cell>
          <cell r="R311">
            <v>3.1650000000000003E-3</v>
          </cell>
          <cell r="S311">
            <v>0</v>
          </cell>
          <cell r="T311">
            <v>0</v>
          </cell>
          <cell r="U311">
            <v>0</v>
          </cell>
          <cell r="V311">
            <v>1.2330000000000001E-2</v>
          </cell>
        </row>
        <row r="312">
          <cell r="D312" t="str">
            <v>BC111-16R30-1   0001</v>
          </cell>
          <cell r="E312" t="str">
            <v>BC111-16R30-1</v>
          </cell>
          <cell r="F312">
            <v>182.5</v>
          </cell>
          <cell r="G312">
            <v>0</v>
          </cell>
          <cell r="H312">
            <v>2.241666666666667E-3</v>
          </cell>
          <cell r="I312">
            <v>7.9816666666666664E-3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2.5683333333333331E-3</v>
          </cell>
          <cell r="Q312">
            <v>1.0223333333333334E-2</v>
          </cell>
          <cell r="R312">
            <v>2.5683333333333331E-3</v>
          </cell>
          <cell r="S312">
            <v>0</v>
          </cell>
          <cell r="T312">
            <v>0</v>
          </cell>
          <cell r="U312">
            <v>0</v>
          </cell>
          <cell r="V312">
            <v>1.2791666666666666E-2</v>
          </cell>
        </row>
        <row r="313">
          <cell r="D313" t="str">
            <v>BC111-16R90-1   0001</v>
          </cell>
          <cell r="E313" t="str">
            <v>BC111-16R90-1</v>
          </cell>
          <cell r="F313">
            <v>322.2</v>
          </cell>
          <cell r="G313">
            <v>0</v>
          </cell>
          <cell r="H313">
            <v>2.7516666666666666E-3</v>
          </cell>
          <cell r="I313">
            <v>6.4333333333333334E-3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3.1583333333333333E-3</v>
          </cell>
          <cell r="Q313">
            <v>9.1850000000000005E-3</v>
          </cell>
          <cell r="R313">
            <v>3.1583333333333333E-3</v>
          </cell>
          <cell r="S313">
            <v>0</v>
          </cell>
          <cell r="T313">
            <v>0</v>
          </cell>
          <cell r="U313">
            <v>0</v>
          </cell>
          <cell r="V313">
            <v>1.2343333333333335E-2</v>
          </cell>
        </row>
        <row r="314">
          <cell r="D314" t="str">
            <v>BC111-1HQ61-1 A 1001</v>
          </cell>
          <cell r="E314" t="str">
            <v>BC111-1HQ61-1</v>
          </cell>
          <cell r="F314">
            <v>182.5</v>
          </cell>
          <cell r="G314">
            <v>0</v>
          </cell>
          <cell r="H314">
            <v>2.241666666666667E-3</v>
          </cell>
          <cell r="I314">
            <v>7.9816666666666664E-3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2.5683333333333331E-3</v>
          </cell>
          <cell r="Q314">
            <v>1.0223333333333334E-2</v>
          </cell>
          <cell r="R314">
            <v>2.5683333333333331E-3</v>
          </cell>
          <cell r="S314">
            <v>0</v>
          </cell>
          <cell r="T314">
            <v>0</v>
          </cell>
          <cell r="U314">
            <v>0</v>
          </cell>
          <cell r="V314">
            <v>1.2791666666666666E-2</v>
          </cell>
        </row>
        <row r="315">
          <cell r="D315" t="str">
            <v>BC111-1HR01-1 0002</v>
          </cell>
          <cell r="E315" t="str">
            <v>BC111-1HR01-1</v>
          </cell>
          <cell r="F315">
            <v>182.5</v>
          </cell>
          <cell r="G315">
            <v>0</v>
          </cell>
          <cell r="H315">
            <v>2.241666666666667E-3</v>
          </cell>
          <cell r="I315">
            <v>7.9816666666666664E-3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2.5683333333333331E-3</v>
          </cell>
          <cell r="Q315">
            <v>1.0223333333333334E-2</v>
          </cell>
          <cell r="R315">
            <v>2.5683333333333331E-3</v>
          </cell>
          <cell r="S315">
            <v>0</v>
          </cell>
          <cell r="T315">
            <v>0</v>
          </cell>
          <cell r="U315">
            <v>0</v>
          </cell>
          <cell r="V315">
            <v>1.2791666666666666E-2</v>
          </cell>
        </row>
        <row r="316">
          <cell r="D316" t="str">
            <v>BC111-1HY10-1 A 1001</v>
          </cell>
          <cell r="E316" t="str">
            <v>BC111-1HY10-1</v>
          </cell>
          <cell r="F316">
            <v>144</v>
          </cell>
          <cell r="G316">
            <v>0</v>
          </cell>
          <cell r="H316">
            <v>1.7749999999999999E-3</v>
          </cell>
          <cell r="I316">
            <v>9.5300000000000003E-3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2.6050000000000001E-3</v>
          </cell>
          <cell r="Q316">
            <v>1.1305000000000001E-2</v>
          </cell>
          <cell r="R316">
            <v>2.6050000000000001E-3</v>
          </cell>
          <cell r="S316">
            <v>0</v>
          </cell>
          <cell r="T316">
            <v>0</v>
          </cell>
          <cell r="U316">
            <v>0</v>
          </cell>
          <cell r="V316">
            <v>1.391E-2</v>
          </cell>
        </row>
        <row r="317">
          <cell r="D317" t="str">
            <v>BC111-1HY10-2 A 1001</v>
          </cell>
          <cell r="E317" t="str">
            <v>BC111-1HY10-2</v>
          </cell>
          <cell r="F317">
            <v>119.6</v>
          </cell>
          <cell r="G317">
            <v>0</v>
          </cell>
          <cell r="H317">
            <v>1.6166666666666666E-3</v>
          </cell>
          <cell r="I317">
            <v>9.5300000000000003E-3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2.4666666666666665E-3</v>
          </cell>
          <cell r="Q317">
            <v>1.1146666666666668E-2</v>
          </cell>
          <cell r="R317">
            <v>2.4666666666666665E-3</v>
          </cell>
          <cell r="S317">
            <v>0</v>
          </cell>
          <cell r="T317">
            <v>0</v>
          </cell>
          <cell r="U317">
            <v>0</v>
          </cell>
          <cell r="V317">
            <v>1.3613333333333335E-2</v>
          </cell>
        </row>
        <row r="318">
          <cell r="D318" t="str">
            <v>BC111-1KU50-1 0001</v>
          </cell>
          <cell r="E318" t="str">
            <v>BC111-1KU50-1</v>
          </cell>
          <cell r="F318">
            <v>142.19999999999999</v>
          </cell>
          <cell r="G318">
            <v>0</v>
          </cell>
          <cell r="H318">
            <v>1.7633333333333333E-3</v>
          </cell>
          <cell r="I318">
            <v>9.5300000000000003E-3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2.5950000000000001E-3</v>
          </cell>
          <cell r="Q318">
            <v>1.1293333333333334E-2</v>
          </cell>
          <cell r="R318">
            <v>2.5950000000000001E-3</v>
          </cell>
          <cell r="S318">
            <v>0</v>
          </cell>
          <cell r="T318">
            <v>0</v>
          </cell>
          <cell r="U318">
            <v>0</v>
          </cell>
          <cell r="V318">
            <v>1.3888333333333334E-2</v>
          </cell>
        </row>
        <row r="319">
          <cell r="D319" t="str">
            <v>BC111-1KU50-2 0001</v>
          </cell>
          <cell r="E319" t="str">
            <v>BC111-1KU50-2</v>
          </cell>
          <cell r="F319">
            <v>118.6</v>
          </cell>
          <cell r="G319">
            <v>0</v>
          </cell>
          <cell r="H319">
            <v>1.6100000000000001E-3</v>
          </cell>
          <cell r="I319">
            <v>9.5300000000000003E-3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2.4616666666666667E-3</v>
          </cell>
          <cell r="Q319">
            <v>1.1140000000000001E-2</v>
          </cell>
          <cell r="R319">
            <v>2.4616666666666667E-3</v>
          </cell>
          <cell r="S319">
            <v>0</v>
          </cell>
          <cell r="T319">
            <v>0</v>
          </cell>
          <cell r="U319">
            <v>0</v>
          </cell>
          <cell r="V319">
            <v>1.3601666666666668E-2</v>
          </cell>
        </row>
        <row r="320">
          <cell r="D320" t="str">
            <v>BC111-2FE72-1 F 0201</v>
          </cell>
          <cell r="E320" t="str">
            <v>BC111-2FE72-1</v>
          </cell>
          <cell r="F320">
            <v>100.1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1.1176666666666666E-2</v>
          </cell>
          <cell r="U320">
            <v>0</v>
          </cell>
          <cell r="V320">
            <v>1.1176666666666666E-2</v>
          </cell>
        </row>
        <row r="321">
          <cell r="D321" t="str">
            <v>BC111-2FE72-2 F 0201</v>
          </cell>
          <cell r="E321" t="str">
            <v>BC111-2FE72-2</v>
          </cell>
          <cell r="F321">
            <v>328.1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1.1361666666666666E-2</v>
          </cell>
          <cell r="U321">
            <v>0</v>
          </cell>
          <cell r="V321">
            <v>1.1361666666666666E-2</v>
          </cell>
        </row>
        <row r="322">
          <cell r="D322" t="str">
            <v>BC111-47V60-1 C 0002</v>
          </cell>
          <cell r="E322" t="str">
            <v>BC111-47V60-1</v>
          </cell>
          <cell r="F322">
            <v>182.5</v>
          </cell>
          <cell r="G322">
            <v>0</v>
          </cell>
          <cell r="H322">
            <v>2.2383333333333335E-3</v>
          </cell>
          <cell r="I322">
            <v>7.9816666666666664E-3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2.5683333333333331E-3</v>
          </cell>
          <cell r="Q322">
            <v>1.022E-2</v>
          </cell>
          <cell r="R322">
            <v>2.5683333333333331E-3</v>
          </cell>
          <cell r="S322">
            <v>0</v>
          </cell>
          <cell r="T322">
            <v>0</v>
          </cell>
          <cell r="U322">
            <v>0</v>
          </cell>
          <cell r="V322">
            <v>1.2788333333333332E-2</v>
          </cell>
        </row>
        <row r="323">
          <cell r="D323" t="str">
            <v>BC111-4EB50-1 C 0002</v>
          </cell>
          <cell r="E323" t="str">
            <v>BC111-4EB50-1</v>
          </cell>
          <cell r="F323">
            <v>182.5</v>
          </cell>
          <cell r="G323">
            <v>0</v>
          </cell>
          <cell r="H323">
            <v>2.2383333333333335E-3</v>
          </cell>
          <cell r="I323">
            <v>7.9816666666666664E-3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2.5683333333333331E-3</v>
          </cell>
          <cell r="Q323">
            <v>1.022E-2</v>
          </cell>
          <cell r="R323">
            <v>2.5683333333333331E-3</v>
          </cell>
          <cell r="S323">
            <v>0</v>
          </cell>
          <cell r="T323">
            <v>0</v>
          </cell>
          <cell r="U323">
            <v>0</v>
          </cell>
          <cell r="V323">
            <v>1.2788333333333332E-2</v>
          </cell>
        </row>
        <row r="324">
          <cell r="D324" t="str">
            <v>BC111-4EE80-1 C 0002</v>
          </cell>
          <cell r="E324" t="str">
            <v>BC111-4EE80-1</v>
          </cell>
          <cell r="F324">
            <v>323.2</v>
          </cell>
          <cell r="G324">
            <v>0</v>
          </cell>
          <cell r="H324">
            <v>2.7300000000000002E-3</v>
          </cell>
          <cell r="I324">
            <v>6.4333333333333334E-3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3.1633333333333331E-3</v>
          </cell>
          <cell r="Q324">
            <v>9.1633333333333341E-3</v>
          </cell>
          <cell r="R324">
            <v>3.1633333333333331E-3</v>
          </cell>
          <cell r="S324">
            <v>0</v>
          </cell>
          <cell r="T324">
            <v>0</v>
          </cell>
          <cell r="U324">
            <v>0</v>
          </cell>
          <cell r="V324">
            <v>1.2326666666666666E-2</v>
          </cell>
        </row>
        <row r="325">
          <cell r="D325" t="str">
            <v>BC111-4EW40-1 C 0002</v>
          </cell>
          <cell r="E325" t="str">
            <v>BC111-4EW40-1</v>
          </cell>
          <cell r="F325">
            <v>321.2</v>
          </cell>
          <cell r="G325">
            <v>0</v>
          </cell>
          <cell r="H325">
            <v>2.7366666666666668E-3</v>
          </cell>
          <cell r="I325">
            <v>6.4333333333333334E-3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3.1549999999999998E-3</v>
          </cell>
          <cell r="Q325">
            <v>9.1700000000000011E-3</v>
          </cell>
          <cell r="R325">
            <v>3.1549999999999998E-3</v>
          </cell>
          <cell r="S325">
            <v>0</v>
          </cell>
          <cell r="T325">
            <v>0</v>
          </cell>
          <cell r="U325">
            <v>0</v>
          </cell>
          <cell r="V325">
            <v>1.2325000000000001E-2</v>
          </cell>
        </row>
        <row r="326">
          <cell r="D326" t="str">
            <v>BC111-5A841-2 A 0002</v>
          </cell>
          <cell r="E326" t="str">
            <v>BC111-5A841-2</v>
          </cell>
          <cell r="F326">
            <v>454.1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1.4745000000000001E-2</v>
          </cell>
          <cell r="U326">
            <v>0</v>
          </cell>
          <cell r="V326">
            <v>1.4745000000000001E-2</v>
          </cell>
        </row>
        <row r="327">
          <cell r="D327" t="str">
            <v>BC111-5A843-2 0001</v>
          </cell>
          <cell r="E327" t="str">
            <v>BC111-5A843-2</v>
          </cell>
          <cell r="F327">
            <v>454.1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1.6293333333333333E-2</v>
          </cell>
          <cell r="U327">
            <v>0</v>
          </cell>
          <cell r="V327">
            <v>1.6293333333333333E-2</v>
          </cell>
        </row>
        <row r="328">
          <cell r="D328" t="str">
            <v>BC111-5A852-2 A 0002</v>
          </cell>
          <cell r="E328" t="str">
            <v>BC111-5A852-2</v>
          </cell>
          <cell r="F328">
            <v>452.7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1.4731666666666667E-2</v>
          </cell>
          <cell r="U328">
            <v>0</v>
          </cell>
          <cell r="V328">
            <v>1.4731666666666667E-2</v>
          </cell>
        </row>
        <row r="329">
          <cell r="D329" t="str">
            <v>BC111-5A881-2 A 0002</v>
          </cell>
          <cell r="E329" t="str">
            <v>BC111-5A881-2</v>
          </cell>
          <cell r="F329">
            <v>454.1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1.4745000000000001E-2</v>
          </cell>
          <cell r="U329">
            <v>0</v>
          </cell>
          <cell r="V329">
            <v>1.4745000000000001E-2</v>
          </cell>
        </row>
        <row r="330">
          <cell r="D330" t="str">
            <v>BC111-5A883-2 0001</v>
          </cell>
          <cell r="E330" t="str">
            <v>BC111-5A883-2</v>
          </cell>
          <cell r="F330">
            <v>454.1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1.6293333333333333E-2</v>
          </cell>
          <cell r="U330">
            <v>0</v>
          </cell>
          <cell r="V330">
            <v>1.6293333333333333E-2</v>
          </cell>
        </row>
        <row r="331">
          <cell r="D331" t="str">
            <v>BC111-5AA02-2 A 0002</v>
          </cell>
          <cell r="E331" t="str">
            <v>BC111-5AA02-2</v>
          </cell>
          <cell r="F331">
            <v>455.4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1.4756666666666666E-2</v>
          </cell>
          <cell r="U331">
            <v>0</v>
          </cell>
          <cell r="V331">
            <v>1.4756666666666666E-2</v>
          </cell>
        </row>
        <row r="332">
          <cell r="D332" t="str">
            <v>BC111-5AA03-2 0001</v>
          </cell>
          <cell r="E332" t="str">
            <v>BC111-5AA03-2</v>
          </cell>
          <cell r="F332">
            <v>455.4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1.6305E-2</v>
          </cell>
          <cell r="U332">
            <v>0</v>
          </cell>
          <cell r="V332">
            <v>1.6305E-2</v>
          </cell>
        </row>
        <row r="333">
          <cell r="D333" t="str">
            <v>BC111-5AC33-2 0001</v>
          </cell>
          <cell r="E333" t="str">
            <v>BC111-5AC33-2</v>
          </cell>
          <cell r="F333">
            <v>452.7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1.6279999999999999E-2</v>
          </cell>
          <cell r="U333">
            <v>0</v>
          </cell>
          <cell r="V333">
            <v>1.6279999999999999E-2</v>
          </cell>
        </row>
        <row r="334">
          <cell r="D334" t="str">
            <v>BC111-5DR50-1 B 0001</v>
          </cell>
          <cell r="E334" t="str">
            <v>BC111-5DR50-1</v>
          </cell>
          <cell r="F334">
            <v>72</v>
          </cell>
          <cell r="G334">
            <v>0</v>
          </cell>
          <cell r="H334">
            <v>8.8666666666666657E-4</v>
          </cell>
          <cell r="I334">
            <v>9.5300000000000003E-3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2.4933333333333335E-3</v>
          </cell>
          <cell r="Q334">
            <v>1.0416666666666666E-2</v>
          </cell>
          <cell r="R334">
            <v>2.4933333333333335E-3</v>
          </cell>
          <cell r="S334">
            <v>0</v>
          </cell>
          <cell r="T334">
            <v>0</v>
          </cell>
          <cell r="U334">
            <v>0</v>
          </cell>
          <cell r="V334">
            <v>1.291E-2</v>
          </cell>
        </row>
        <row r="335">
          <cell r="D335" t="str">
            <v>BC111-5DR50-2 B 0001</v>
          </cell>
          <cell r="E335" t="str">
            <v>BC111-5DR50-2</v>
          </cell>
          <cell r="F335">
            <v>106.4</v>
          </cell>
          <cell r="G335">
            <v>0</v>
          </cell>
          <cell r="H335">
            <v>1.5316666666666666E-3</v>
          </cell>
          <cell r="I335">
            <v>9.5300000000000003E-3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2.4483333333333332E-3</v>
          </cell>
          <cell r="Q335">
            <v>1.1061666666666668E-2</v>
          </cell>
          <cell r="R335">
            <v>2.4483333333333332E-3</v>
          </cell>
          <cell r="S335">
            <v>0</v>
          </cell>
          <cell r="T335">
            <v>0</v>
          </cell>
          <cell r="U335">
            <v>0</v>
          </cell>
          <cell r="V335">
            <v>1.3510000000000001E-2</v>
          </cell>
        </row>
        <row r="336">
          <cell r="D336" t="str">
            <v>BC111-62062-2 B 1001</v>
          </cell>
          <cell r="E336" t="str">
            <v>BC111-62062-2</v>
          </cell>
          <cell r="F336">
            <v>454.1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1.4745000000000001E-2</v>
          </cell>
          <cell r="U336">
            <v>0</v>
          </cell>
          <cell r="V336">
            <v>1.4745000000000001E-2</v>
          </cell>
        </row>
        <row r="337">
          <cell r="D337" t="str">
            <v>BC111-62064-2 0001</v>
          </cell>
          <cell r="E337" t="str">
            <v>BC111-62064-2</v>
          </cell>
          <cell r="F337">
            <v>454.1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1.6293333333333333E-2</v>
          </cell>
          <cell r="U337">
            <v>0</v>
          </cell>
          <cell r="V337">
            <v>1.6293333333333333E-2</v>
          </cell>
        </row>
        <row r="338">
          <cell r="D338" t="str">
            <v>BC111-62092-2 B 1001</v>
          </cell>
          <cell r="E338" t="str">
            <v>BC111-62092-2</v>
          </cell>
          <cell r="F338">
            <v>454.1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1.4745000000000001E-2</v>
          </cell>
          <cell r="U338">
            <v>0</v>
          </cell>
          <cell r="V338">
            <v>1.4745000000000001E-2</v>
          </cell>
        </row>
        <row r="339">
          <cell r="D339" t="str">
            <v>BC111-62215-2 0001</v>
          </cell>
          <cell r="E339" t="str">
            <v>BC111-62215-2</v>
          </cell>
          <cell r="F339">
            <v>454.1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1.6293333333333333E-2</v>
          </cell>
          <cell r="U339">
            <v>0</v>
          </cell>
          <cell r="V339">
            <v>1.6293333333333333E-2</v>
          </cell>
        </row>
        <row r="340">
          <cell r="D340" t="str">
            <v>BC111-V1020-1 D 0101</v>
          </cell>
          <cell r="E340" t="str">
            <v>BC111-V1020-1</v>
          </cell>
          <cell r="F340">
            <v>128.19999999999999</v>
          </cell>
          <cell r="G340">
            <v>0</v>
          </cell>
          <cell r="H340">
            <v>1.4683333333333332E-3</v>
          </cell>
          <cell r="I340">
            <v>7.9816666666666664E-3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2.3366666666666666E-3</v>
          </cell>
          <cell r="Q340">
            <v>9.4500000000000001E-3</v>
          </cell>
          <cell r="R340">
            <v>2.3366666666666666E-3</v>
          </cell>
          <cell r="S340">
            <v>0</v>
          </cell>
          <cell r="T340">
            <v>0</v>
          </cell>
          <cell r="U340">
            <v>0</v>
          </cell>
          <cell r="V340">
            <v>1.1786666666666668E-2</v>
          </cell>
        </row>
        <row r="341">
          <cell r="D341" t="str">
            <v>BC111-V1100-1 G 0201</v>
          </cell>
          <cell r="E341" t="str">
            <v>BC111-V1100-1</v>
          </cell>
          <cell r="F341">
            <v>136.6</v>
          </cell>
          <cell r="G341">
            <v>0</v>
          </cell>
          <cell r="H341">
            <v>1.5083333333333333E-3</v>
          </cell>
          <cell r="I341">
            <v>7.9816666666666664E-3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2.3733333333333332E-3</v>
          </cell>
          <cell r="Q341">
            <v>9.4900000000000002E-3</v>
          </cell>
          <cell r="R341">
            <v>2.3733333333333332E-3</v>
          </cell>
          <cell r="S341">
            <v>0</v>
          </cell>
          <cell r="T341">
            <v>0</v>
          </cell>
          <cell r="U341">
            <v>0</v>
          </cell>
          <cell r="V341">
            <v>1.1863333333333333E-2</v>
          </cell>
        </row>
        <row r="342">
          <cell r="D342" t="str">
            <v>BC111-V3650-2 C 0201</v>
          </cell>
          <cell r="E342" t="str">
            <v>BC111-V3650-2</v>
          </cell>
          <cell r="F342">
            <v>343.6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1.1546666666666667E-2</v>
          </cell>
          <cell r="U342">
            <v>0</v>
          </cell>
          <cell r="V342">
            <v>1.1546666666666667E-2</v>
          </cell>
        </row>
        <row r="343">
          <cell r="D343" t="str">
            <v>BC111-V3881-1 B 0201</v>
          </cell>
          <cell r="E343" t="str">
            <v>BC111-V3881-1</v>
          </cell>
          <cell r="F343">
            <v>64.7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8.1883333333333339E-3</v>
          </cell>
          <cell r="U343">
            <v>0</v>
          </cell>
          <cell r="V343">
            <v>8.1883333333333339E-3</v>
          </cell>
        </row>
        <row r="344">
          <cell r="D344" t="str">
            <v>BC111-V3891-1 F 0001</v>
          </cell>
          <cell r="E344" t="str">
            <v>BC111-V3891-1</v>
          </cell>
          <cell r="F344">
            <v>144.6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1.3916666666666666E-2</v>
          </cell>
          <cell r="U344">
            <v>0</v>
          </cell>
          <cell r="V344">
            <v>1.3916666666666666E-2</v>
          </cell>
        </row>
        <row r="345">
          <cell r="D345" t="str">
            <v>BC111-V3891-2 F 0001</v>
          </cell>
          <cell r="E345" t="str">
            <v>BC111-V3891-2</v>
          </cell>
          <cell r="F345">
            <v>164.5</v>
          </cell>
          <cell r="G345">
            <v>0</v>
          </cell>
          <cell r="H345">
            <v>1.2700000000000001E-3</v>
          </cell>
          <cell r="I345">
            <v>7.0400000000000003E-3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3.4266666666666668E-3</v>
          </cell>
          <cell r="Q345">
            <v>8.3099999999999997E-3</v>
          </cell>
          <cell r="R345">
            <v>3.4266666666666668E-3</v>
          </cell>
          <cell r="S345">
            <v>0</v>
          </cell>
          <cell r="T345">
            <v>0</v>
          </cell>
          <cell r="U345">
            <v>0</v>
          </cell>
          <cell r="V345">
            <v>1.1736666666666666E-2</v>
          </cell>
        </row>
        <row r="346">
          <cell r="D346" t="str">
            <v>BC111-V3891-6 B 0201</v>
          </cell>
          <cell r="E346" t="str">
            <v>BC111-V3891-6</v>
          </cell>
          <cell r="F346">
            <v>348.4</v>
          </cell>
          <cell r="G346">
            <v>0</v>
          </cell>
          <cell r="H346">
            <v>3.3933333333333333E-3</v>
          </cell>
          <cell r="I346">
            <v>7.0400000000000003E-3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3.7516666666666666E-3</v>
          </cell>
          <cell r="Q346">
            <v>1.0433333333333333E-2</v>
          </cell>
          <cell r="R346">
            <v>3.7516666666666666E-3</v>
          </cell>
          <cell r="S346">
            <v>0</v>
          </cell>
          <cell r="T346">
            <v>0</v>
          </cell>
          <cell r="U346">
            <v>0</v>
          </cell>
          <cell r="V346">
            <v>1.4185E-2</v>
          </cell>
        </row>
        <row r="347">
          <cell r="D347" t="str">
            <v>BC115-5CC80-1 0001</v>
          </cell>
          <cell r="E347" t="str">
            <v>BC115-5CC80-1</v>
          </cell>
          <cell r="F347">
            <v>72</v>
          </cell>
          <cell r="G347">
            <v>0</v>
          </cell>
          <cell r="H347">
            <v>8.8666666666666657E-4</v>
          </cell>
          <cell r="I347">
            <v>9.5300000000000003E-3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2.4383333333333336E-3</v>
          </cell>
          <cell r="Q347">
            <v>1.0416666666666666E-2</v>
          </cell>
          <cell r="R347">
            <v>2.4383333333333336E-3</v>
          </cell>
          <cell r="S347">
            <v>0</v>
          </cell>
          <cell r="T347">
            <v>0</v>
          </cell>
          <cell r="U347">
            <v>0</v>
          </cell>
          <cell r="V347">
            <v>1.2855E-2</v>
          </cell>
        </row>
        <row r="348">
          <cell r="D348" t="str">
            <v>BC115-5CC80-2 0001</v>
          </cell>
          <cell r="E348" t="str">
            <v>BC115-5CC80-2</v>
          </cell>
          <cell r="F348">
            <v>106.4</v>
          </cell>
          <cell r="G348">
            <v>0</v>
          </cell>
          <cell r="H348">
            <v>1.5316666666666666E-3</v>
          </cell>
          <cell r="I348">
            <v>9.5300000000000003E-3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2.3933333333333333E-3</v>
          </cell>
          <cell r="Q348">
            <v>1.1061666666666668E-2</v>
          </cell>
          <cell r="R348">
            <v>2.3933333333333333E-3</v>
          </cell>
          <cell r="S348">
            <v>0</v>
          </cell>
          <cell r="T348">
            <v>0</v>
          </cell>
          <cell r="U348">
            <v>0</v>
          </cell>
          <cell r="V348">
            <v>1.3455000000000002E-2</v>
          </cell>
        </row>
        <row r="349">
          <cell r="D349" t="str">
            <v>BC121-35G70-1 D 0001</v>
          </cell>
          <cell r="E349" t="str">
            <v>BC121-35G70-1</v>
          </cell>
          <cell r="F349">
            <v>338.1</v>
          </cell>
          <cell r="G349">
            <v>0</v>
          </cell>
          <cell r="H349">
            <v>2.6133333333333334E-3</v>
          </cell>
          <cell r="I349">
            <v>9.5300000000000003E-3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3.1749999999999999E-3</v>
          </cell>
          <cell r="Q349">
            <v>1.2143333333333334E-2</v>
          </cell>
          <cell r="R349">
            <v>3.1749999999999999E-3</v>
          </cell>
          <cell r="S349">
            <v>0</v>
          </cell>
          <cell r="T349">
            <v>0</v>
          </cell>
          <cell r="U349">
            <v>0</v>
          </cell>
          <cell r="V349">
            <v>1.5318333333333333E-2</v>
          </cell>
        </row>
        <row r="350">
          <cell r="D350" t="str">
            <v>BC121-35G90-1 D 0001</v>
          </cell>
          <cell r="E350" t="str">
            <v>BC121-35G90-1</v>
          </cell>
          <cell r="F350">
            <v>452.7</v>
          </cell>
          <cell r="G350">
            <v>0</v>
          </cell>
          <cell r="H350">
            <v>2.6199999999999999E-3</v>
          </cell>
          <cell r="I350">
            <v>9.5300000000000003E-3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3.1816666666666664E-3</v>
          </cell>
          <cell r="Q350">
            <v>1.2150000000000001E-2</v>
          </cell>
          <cell r="R350">
            <v>3.1816666666666664E-3</v>
          </cell>
          <cell r="S350">
            <v>0</v>
          </cell>
          <cell r="T350">
            <v>0</v>
          </cell>
          <cell r="U350">
            <v>0</v>
          </cell>
          <cell r="V350">
            <v>1.5331666666666667E-2</v>
          </cell>
        </row>
        <row r="351">
          <cell r="D351" t="str">
            <v>BC121-35K80-1 C 0001</v>
          </cell>
          <cell r="E351" t="str">
            <v>BC121-35K80-1</v>
          </cell>
          <cell r="F351">
            <v>335.3</v>
          </cell>
          <cell r="G351">
            <v>0</v>
          </cell>
          <cell r="H351">
            <v>2.6016666666666666E-3</v>
          </cell>
          <cell r="I351">
            <v>9.5300000000000003E-3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3.1650000000000003E-3</v>
          </cell>
          <cell r="Q351">
            <v>1.2131666666666667E-2</v>
          </cell>
          <cell r="R351">
            <v>3.1650000000000003E-3</v>
          </cell>
          <cell r="S351">
            <v>0</v>
          </cell>
          <cell r="T351">
            <v>0</v>
          </cell>
          <cell r="U351">
            <v>0</v>
          </cell>
          <cell r="V351">
            <v>1.5296666666666667E-2</v>
          </cell>
        </row>
        <row r="352">
          <cell r="D352" t="str">
            <v>BC121-6AM60-1 C 0001</v>
          </cell>
          <cell r="E352" t="str">
            <v>BC121-6AM60-1</v>
          </cell>
          <cell r="F352">
            <v>452.7</v>
          </cell>
          <cell r="G352">
            <v>0</v>
          </cell>
          <cell r="H352">
            <v>2.6199999999999999E-3</v>
          </cell>
          <cell r="I352">
            <v>9.5300000000000003E-3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3.1816666666666664E-3</v>
          </cell>
          <cell r="Q352">
            <v>1.2150000000000001E-2</v>
          </cell>
          <cell r="R352">
            <v>3.1816666666666664E-3</v>
          </cell>
          <cell r="S352">
            <v>0</v>
          </cell>
          <cell r="T352">
            <v>0</v>
          </cell>
          <cell r="U352">
            <v>0</v>
          </cell>
          <cell r="V352">
            <v>1.5331666666666667E-2</v>
          </cell>
        </row>
        <row r="353">
          <cell r="D353" t="str">
            <v>BC121-6B220-1 B 0001</v>
          </cell>
          <cell r="E353" t="str">
            <v>BC121-6B220-1</v>
          </cell>
          <cell r="F353">
            <v>124.3</v>
          </cell>
          <cell r="G353">
            <v>0</v>
          </cell>
          <cell r="H353">
            <v>1.6466666666666667E-3</v>
          </cell>
          <cell r="I353">
            <v>7.9816666666666664E-3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2.5483333333333334E-3</v>
          </cell>
          <cell r="Q353">
            <v>9.6283333333333325E-3</v>
          </cell>
          <cell r="R353">
            <v>2.5483333333333334E-3</v>
          </cell>
          <cell r="S353">
            <v>0</v>
          </cell>
          <cell r="T353">
            <v>0</v>
          </cell>
          <cell r="U353">
            <v>0</v>
          </cell>
          <cell r="V353">
            <v>1.2176666666666666E-2</v>
          </cell>
        </row>
        <row r="354">
          <cell r="D354" t="str">
            <v>BC121-6B260-1 B 0001</v>
          </cell>
          <cell r="E354" t="str">
            <v>BC121-6B260-1</v>
          </cell>
          <cell r="F354">
            <v>415.4</v>
          </cell>
          <cell r="G354">
            <v>0</v>
          </cell>
          <cell r="H354">
            <v>2.7099999999999997E-3</v>
          </cell>
          <cell r="I354">
            <v>9.5300000000000003E-3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3.4783333333333333E-3</v>
          </cell>
          <cell r="Q354">
            <v>1.2240000000000001E-2</v>
          </cell>
          <cell r="R354">
            <v>3.4783333333333333E-3</v>
          </cell>
          <cell r="S354">
            <v>0</v>
          </cell>
          <cell r="T354">
            <v>0</v>
          </cell>
          <cell r="U354">
            <v>0</v>
          </cell>
          <cell r="V354">
            <v>1.5718333333333334E-2</v>
          </cell>
        </row>
        <row r="355">
          <cell r="D355" t="str">
            <v>BC121-6B370-1 B 0001</v>
          </cell>
          <cell r="E355" t="str">
            <v>BC121-6B370-1</v>
          </cell>
          <cell r="F355">
            <v>287.8</v>
          </cell>
          <cell r="G355">
            <v>0</v>
          </cell>
          <cell r="H355">
            <v>2.698333333333333E-3</v>
          </cell>
          <cell r="I355">
            <v>9.5300000000000003E-3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3.4666666666666665E-3</v>
          </cell>
          <cell r="Q355">
            <v>1.2228333333333334E-2</v>
          </cell>
          <cell r="R355">
            <v>3.4666666666666665E-3</v>
          </cell>
          <cell r="S355">
            <v>0</v>
          </cell>
          <cell r="T355">
            <v>0</v>
          </cell>
          <cell r="U355">
            <v>0</v>
          </cell>
          <cell r="V355">
            <v>1.5695000000000001E-2</v>
          </cell>
        </row>
        <row r="356">
          <cell r="D356" t="str">
            <v>BC121-6B370-2 B 0001</v>
          </cell>
          <cell r="E356" t="str">
            <v>BC121-6B370-2</v>
          </cell>
          <cell r="F356">
            <v>292.10000000000002</v>
          </cell>
          <cell r="G356">
            <v>0</v>
          </cell>
          <cell r="H356">
            <v>2.725E-3</v>
          </cell>
          <cell r="I356">
            <v>9.5300000000000003E-3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3.4916666666666664E-3</v>
          </cell>
          <cell r="Q356">
            <v>1.2255E-2</v>
          </cell>
          <cell r="R356">
            <v>3.4916666666666664E-3</v>
          </cell>
          <cell r="S356">
            <v>0</v>
          </cell>
          <cell r="T356">
            <v>0</v>
          </cell>
          <cell r="U356">
            <v>0</v>
          </cell>
          <cell r="V356">
            <v>1.5746666666666666E-2</v>
          </cell>
        </row>
        <row r="357">
          <cell r="D357" t="str">
            <v>BC121-B1530-1 B 1102</v>
          </cell>
          <cell r="E357" t="str">
            <v>BC121-B1530-1</v>
          </cell>
          <cell r="F357">
            <v>186.5</v>
          </cell>
          <cell r="G357">
            <v>0</v>
          </cell>
          <cell r="H357">
            <v>2.2099999999999997E-3</v>
          </cell>
          <cell r="I357">
            <v>8.9750000000000003E-3</v>
          </cell>
          <cell r="J357">
            <v>2.0183333333333334E-3</v>
          </cell>
          <cell r="K357">
            <v>2.1516666666666667E-3</v>
          </cell>
          <cell r="L357">
            <v>4.3818333333333334E-2</v>
          </cell>
          <cell r="M357">
            <v>2.9483333333333332E-3</v>
          </cell>
          <cell r="N357">
            <v>0</v>
          </cell>
          <cell r="O357">
            <v>6.8783333333333335E-3</v>
          </cell>
          <cell r="P357">
            <v>3.3816666666666665E-3</v>
          </cell>
          <cell r="Q357">
            <v>1.3203333333333334E-2</v>
          </cell>
          <cell r="R357">
            <v>5.9178333333333333E-2</v>
          </cell>
          <cell r="S357">
            <v>0</v>
          </cell>
          <cell r="T357">
            <v>1.8568333333333333E-2</v>
          </cell>
          <cell r="U357">
            <v>0</v>
          </cell>
          <cell r="V357">
            <v>9.0950000000000003E-2</v>
          </cell>
        </row>
        <row r="358">
          <cell r="D358" t="str">
            <v>BC121-B1530-2 B 1102</v>
          </cell>
          <cell r="E358" t="str">
            <v>BC121-B1530-2</v>
          </cell>
          <cell r="F358">
            <v>236.1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3.5279999999999999E-2</v>
          </cell>
          <cell r="U358">
            <v>0</v>
          </cell>
          <cell r="V358">
            <v>3.5279999999999999E-2</v>
          </cell>
        </row>
        <row r="359">
          <cell r="D359" t="str">
            <v>BC121-B1550-1 B 0902</v>
          </cell>
          <cell r="E359" t="str">
            <v>BC121-B1550-1</v>
          </cell>
          <cell r="F359">
            <v>193.2</v>
          </cell>
          <cell r="G359">
            <v>0</v>
          </cell>
          <cell r="H359">
            <v>1.9449999999999999E-3</v>
          </cell>
          <cell r="I359">
            <v>8.9750000000000003E-3</v>
          </cell>
          <cell r="J359">
            <v>2.0183333333333334E-3</v>
          </cell>
          <cell r="K359">
            <v>2.1516666666666667E-3</v>
          </cell>
          <cell r="L359">
            <v>3.0823333333333331E-2</v>
          </cell>
          <cell r="M359">
            <v>2.9499999999999999E-3</v>
          </cell>
          <cell r="N359">
            <v>0</v>
          </cell>
          <cell r="O359">
            <v>6.9383333333333337E-3</v>
          </cell>
          <cell r="P359">
            <v>3.4233333333333333E-3</v>
          </cell>
          <cell r="Q359">
            <v>1.2938333333333335E-2</v>
          </cell>
          <cell r="R359">
            <v>4.6286666666666663E-2</v>
          </cell>
          <cell r="S359">
            <v>0</v>
          </cell>
          <cell r="T359">
            <v>1.8616666666666663E-2</v>
          </cell>
          <cell r="U359">
            <v>0</v>
          </cell>
          <cell r="V359">
            <v>7.784166666666667E-2</v>
          </cell>
        </row>
        <row r="360">
          <cell r="D360" t="str">
            <v>BC121-B1550-2 B 0902</v>
          </cell>
          <cell r="E360" t="str">
            <v>BC121-B1550-2</v>
          </cell>
          <cell r="F360">
            <v>121.3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4.2756666666666665E-2</v>
          </cell>
          <cell r="U360">
            <v>0</v>
          </cell>
          <cell r="V360">
            <v>4.2756666666666665E-2</v>
          </cell>
        </row>
        <row r="361">
          <cell r="D361" t="str">
            <v>DC111-2FE72 F 0201</v>
          </cell>
          <cell r="E361" t="str">
            <v>DC111-2FE72</v>
          </cell>
          <cell r="F361">
            <v>124</v>
          </cell>
          <cell r="G361">
            <v>0</v>
          </cell>
          <cell r="H361">
            <v>2.0100000000000001E-3</v>
          </cell>
          <cell r="I361">
            <v>9.5300000000000003E-3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3.6949999999999999E-3</v>
          </cell>
          <cell r="Q361">
            <v>1.154E-2</v>
          </cell>
          <cell r="R361">
            <v>3.6949999999999999E-3</v>
          </cell>
          <cell r="S361">
            <v>0</v>
          </cell>
          <cell r="T361">
            <v>0</v>
          </cell>
          <cell r="U361">
            <v>0</v>
          </cell>
          <cell r="V361">
            <v>1.5235E-2</v>
          </cell>
        </row>
        <row r="362">
          <cell r="D362" t="str">
            <v>DC111-2FK53 F 0201</v>
          </cell>
          <cell r="E362" t="str">
            <v>DC111-2FK53</v>
          </cell>
          <cell r="F362">
            <v>124</v>
          </cell>
          <cell r="G362">
            <v>0</v>
          </cell>
          <cell r="H362">
            <v>2.0100000000000001E-3</v>
          </cell>
          <cell r="I362">
            <v>9.5300000000000003E-3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3.6949999999999999E-3</v>
          </cell>
          <cell r="Q362">
            <v>1.154E-2</v>
          </cell>
          <cell r="R362">
            <v>3.6949999999999999E-3</v>
          </cell>
          <cell r="S362">
            <v>0</v>
          </cell>
          <cell r="T362">
            <v>0</v>
          </cell>
          <cell r="U362">
            <v>0</v>
          </cell>
          <cell r="V362">
            <v>1.5235E-2</v>
          </cell>
        </row>
        <row r="363">
          <cell r="D363" t="str">
            <v>DC111-V3650 C 0201</v>
          </cell>
          <cell r="E363" t="str">
            <v>DC111-V3650</v>
          </cell>
          <cell r="F363">
            <v>142.1</v>
          </cell>
          <cell r="G363">
            <v>0</v>
          </cell>
          <cell r="H363">
            <v>2.1183333333333332E-3</v>
          </cell>
          <cell r="I363">
            <v>5.9316666666666667E-3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3.9716666666666667E-3</v>
          </cell>
          <cell r="Q363">
            <v>8.0499999999999999E-3</v>
          </cell>
          <cell r="R363">
            <v>3.9716666666666667E-3</v>
          </cell>
          <cell r="S363">
            <v>0</v>
          </cell>
          <cell r="T363">
            <v>0</v>
          </cell>
          <cell r="U363">
            <v>0</v>
          </cell>
          <cell r="V363">
            <v>1.2021666666666667E-2</v>
          </cell>
        </row>
        <row r="364">
          <cell r="D364" t="str">
            <v>DC111-V3881 B 0201</v>
          </cell>
          <cell r="E364" t="str">
            <v>DC111-V3881</v>
          </cell>
          <cell r="F364">
            <v>104.1</v>
          </cell>
          <cell r="G364">
            <v>0</v>
          </cell>
          <cell r="H364">
            <v>1.8916666666666667E-3</v>
          </cell>
          <cell r="I364">
            <v>9.5300000000000003E-3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3.3899999999999998E-3</v>
          </cell>
          <cell r="Q364">
            <v>1.1421666666666667E-2</v>
          </cell>
          <cell r="R364">
            <v>3.3899999999999998E-3</v>
          </cell>
          <cell r="S364">
            <v>0</v>
          </cell>
          <cell r="T364">
            <v>0</v>
          </cell>
          <cell r="U364">
            <v>0</v>
          </cell>
          <cell r="V364">
            <v>1.4811666666666667E-2</v>
          </cell>
        </row>
        <row r="365">
          <cell r="D365" t="str">
            <v>DC111-V3891 B 0201</v>
          </cell>
          <cell r="E365" t="str">
            <v>DC111-V3891</v>
          </cell>
          <cell r="F365">
            <v>150.80000000000001</v>
          </cell>
          <cell r="G365">
            <v>0</v>
          </cell>
          <cell r="H365">
            <v>2.1700000000000001E-3</v>
          </cell>
          <cell r="I365">
            <v>9.5300000000000003E-3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4.1050000000000001E-3</v>
          </cell>
          <cell r="Q365">
            <v>1.17E-2</v>
          </cell>
          <cell r="R365">
            <v>4.1050000000000001E-3</v>
          </cell>
          <cell r="S365">
            <v>0</v>
          </cell>
          <cell r="T365">
            <v>0</v>
          </cell>
          <cell r="U365">
            <v>0</v>
          </cell>
          <cell r="V365">
            <v>1.5805E-2</v>
          </cell>
        </row>
        <row r="366">
          <cell r="D366" t="str">
            <v>DC111-V3A41 B 0201</v>
          </cell>
          <cell r="E366" t="str">
            <v>DC111-V3A41</v>
          </cell>
          <cell r="F366">
            <v>117.5</v>
          </cell>
          <cell r="G366">
            <v>0</v>
          </cell>
          <cell r="H366">
            <v>1.9716666666666667E-3</v>
          </cell>
          <cell r="I366">
            <v>9.5300000000000003E-3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3.5950000000000001E-3</v>
          </cell>
          <cell r="Q366">
            <v>1.1501666666666667E-2</v>
          </cell>
          <cell r="R366">
            <v>3.5950000000000001E-3</v>
          </cell>
          <cell r="S366">
            <v>0</v>
          </cell>
          <cell r="T366">
            <v>0</v>
          </cell>
          <cell r="U366">
            <v>0</v>
          </cell>
          <cell r="V366">
            <v>1.5096666666666668E-2</v>
          </cell>
        </row>
        <row r="367">
          <cell r="D367" t="str">
            <v>DC111-V3C10 B 0101</v>
          </cell>
          <cell r="E367" t="str">
            <v>DC111-V3C10</v>
          </cell>
          <cell r="F367">
            <v>121.9</v>
          </cell>
          <cell r="G367">
            <v>0</v>
          </cell>
          <cell r="H367">
            <v>1.9966666666666666E-3</v>
          </cell>
          <cell r="I367">
            <v>9.5300000000000003E-3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3.6616666666666668E-3</v>
          </cell>
          <cell r="Q367">
            <v>1.1526666666666668E-2</v>
          </cell>
          <cell r="R367">
            <v>3.6616666666666668E-3</v>
          </cell>
          <cell r="S367">
            <v>0</v>
          </cell>
          <cell r="T367">
            <v>0</v>
          </cell>
          <cell r="U367">
            <v>0</v>
          </cell>
          <cell r="V367">
            <v>1.5188333333333335E-2</v>
          </cell>
        </row>
        <row r="368">
          <cell r="D368" t="str">
            <v>DC111-V3C50 B 0101</v>
          </cell>
          <cell r="E368" t="str">
            <v>DC111-V3C50</v>
          </cell>
          <cell r="F368">
            <v>108.4</v>
          </cell>
          <cell r="G368">
            <v>0</v>
          </cell>
          <cell r="H368">
            <v>1.9166666666666668E-3</v>
          </cell>
          <cell r="I368">
            <v>9.5300000000000003E-3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3.4550000000000002E-3</v>
          </cell>
          <cell r="Q368">
            <v>1.1446666666666667E-2</v>
          </cell>
          <cell r="R368">
            <v>3.4550000000000002E-3</v>
          </cell>
          <cell r="S368">
            <v>0</v>
          </cell>
          <cell r="T368">
            <v>0</v>
          </cell>
          <cell r="U368">
            <v>0</v>
          </cell>
          <cell r="V368">
            <v>1.4901666666666667E-2</v>
          </cell>
        </row>
        <row r="369">
          <cell r="D369" t="str">
            <v>DC111-V3G90 B 0101</v>
          </cell>
          <cell r="E369" t="str">
            <v>DC111-V3G90</v>
          </cell>
          <cell r="F369">
            <v>155.1</v>
          </cell>
          <cell r="G369">
            <v>0</v>
          </cell>
          <cell r="H369">
            <v>2.1950000000000003E-3</v>
          </cell>
          <cell r="I369">
            <v>9.5300000000000003E-3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4.1716666666666673E-3</v>
          </cell>
          <cell r="Q369">
            <v>1.1725000000000001E-2</v>
          </cell>
          <cell r="R369">
            <v>4.1716666666666673E-3</v>
          </cell>
          <cell r="S369">
            <v>0</v>
          </cell>
          <cell r="T369">
            <v>0</v>
          </cell>
          <cell r="U369">
            <v>0</v>
          </cell>
          <cell r="V369">
            <v>1.589666666666667E-2</v>
          </cell>
        </row>
        <row r="370">
          <cell r="D370" t="str">
            <v>JN111-62063-3 0002</v>
          </cell>
          <cell r="E370" t="str">
            <v>JN111-62063-3</v>
          </cell>
          <cell r="F370">
            <v>0</v>
          </cell>
          <cell r="G370">
            <v>177.59549999999999</v>
          </cell>
          <cell r="H370">
            <v>4.6466666666666661E-3</v>
          </cell>
          <cell r="I370">
            <v>1.1551666666666667E-2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5.1699999999999992E-3</v>
          </cell>
          <cell r="Q370">
            <v>1.6198333333333332E-2</v>
          </cell>
          <cell r="R370">
            <v>5.1699999999999992E-3</v>
          </cell>
          <cell r="S370">
            <v>0</v>
          </cell>
          <cell r="T370">
            <v>0</v>
          </cell>
          <cell r="U370">
            <v>0</v>
          </cell>
          <cell r="V370">
            <v>2.1368333333333329E-2</v>
          </cell>
        </row>
        <row r="371">
          <cell r="D371" t="str">
            <v>JN111-62063-4 0002</v>
          </cell>
          <cell r="E371" t="str">
            <v>JN111-62063-4</v>
          </cell>
          <cell r="F371">
            <v>0</v>
          </cell>
          <cell r="G371">
            <v>142.07640000000001</v>
          </cell>
          <cell r="H371">
            <v>3.8866666666666663E-3</v>
          </cell>
          <cell r="I371">
            <v>9.5300000000000003E-3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4.5066666666666666E-3</v>
          </cell>
          <cell r="Q371">
            <v>1.3416666666666667E-2</v>
          </cell>
          <cell r="R371">
            <v>4.5066666666666666E-3</v>
          </cell>
          <cell r="S371">
            <v>0</v>
          </cell>
          <cell r="T371">
            <v>0</v>
          </cell>
          <cell r="U371">
            <v>0</v>
          </cell>
          <cell r="V371">
            <v>1.7923333333333333E-2</v>
          </cell>
        </row>
        <row r="372">
          <cell r="D372" t="str">
            <v>JN111-62064-1 0001</v>
          </cell>
          <cell r="E372" t="str">
            <v>JN111-62064-1</v>
          </cell>
          <cell r="F372">
            <v>0</v>
          </cell>
          <cell r="G372">
            <v>177.59549999999999</v>
          </cell>
          <cell r="H372">
            <v>4.6466666666666661E-3</v>
          </cell>
          <cell r="I372">
            <v>1.1551666666666667E-2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5.1149999999999998E-3</v>
          </cell>
          <cell r="Q372">
            <v>1.6198333333333332E-2</v>
          </cell>
          <cell r="R372">
            <v>5.1149999999999998E-3</v>
          </cell>
          <cell r="S372">
            <v>0</v>
          </cell>
          <cell r="T372">
            <v>0</v>
          </cell>
          <cell r="U372">
            <v>0</v>
          </cell>
          <cell r="V372">
            <v>2.131333333333333E-2</v>
          </cell>
        </row>
        <row r="373">
          <cell r="D373" t="str">
            <v>JN111-62064-3 0001</v>
          </cell>
          <cell r="E373" t="str">
            <v>JN111-62064-3</v>
          </cell>
          <cell r="F373">
            <v>0</v>
          </cell>
          <cell r="G373">
            <v>142.07640000000001</v>
          </cell>
          <cell r="H373">
            <v>3.8866666666666663E-3</v>
          </cell>
          <cell r="I373">
            <v>9.5300000000000003E-3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4.4516666666666671E-3</v>
          </cell>
          <cell r="Q373">
            <v>1.3416666666666667E-2</v>
          </cell>
          <cell r="R373">
            <v>4.4516666666666671E-3</v>
          </cell>
          <cell r="S373">
            <v>0</v>
          </cell>
          <cell r="T373">
            <v>0</v>
          </cell>
          <cell r="U373">
            <v>0</v>
          </cell>
          <cell r="V373">
            <v>1.7868333333333333E-2</v>
          </cell>
        </row>
        <row r="374">
          <cell r="D374" t="str">
            <v>JN111-62215-1 0001</v>
          </cell>
          <cell r="E374" t="str">
            <v>JN111-62215-1</v>
          </cell>
          <cell r="F374">
            <v>0</v>
          </cell>
          <cell r="G374">
            <v>114.5949</v>
          </cell>
          <cell r="H374">
            <v>3.3E-3</v>
          </cell>
          <cell r="I374">
            <v>1.1551666666666667E-2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3.9383333333333336E-3</v>
          </cell>
          <cell r="Q374">
            <v>1.4851666666666666E-2</v>
          </cell>
          <cell r="R374">
            <v>3.9383333333333336E-3</v>
          </cell>
          <cell r="S374">
            <v>0</v>
          </cell>
          <cell r="T374">
            <v>0</v>
          </cell>
          <cell r="U374">
            <v>0</v>
          </cell>
          <cell r="V374">
            <v>1.8790000000000001E-2</v>
          </cell>
        </row>
        <row r="375">
          <cell r="D375" t="str">
            <v>JN111-62215-3 0001</v>
          </cell>
          <cell r="E375" t="str">
            <v>JN111-62215-3</v>
          </cell>
          <cell r="F375">
            <v>0</v>
          </cell>
          <cell r="G375">
            <v>79.075800000000001</v>
          </cell>
          <cell r="H375">
            <v>2.5400000000000002E-3</v>
          </cell>
          <cell r="I375">
            <v>9.5300000000000003E-3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3.2733333333333334E-3</v>
          </cell>
          <cell r="Q375">
            <v>1.2070000000000001E-2</v>
          </cell>
          <cell r="R375">
            <v>3.2733333333333334E-3</v>
          </cell>
          <cell r="S375">
            <v>0</v>
          </cell>
          <cell r="T375">
            <v>0</v>
          </cell>
          <cell r="U375">
            <v>0</v>
          </cell>
          <cell r="V375">
            <v>1.5343333333333334E-2</v>
          </cell>
        </row>
        <row r="376">
          <cell r="D376" t="str">
            <v>24011-7YA0A 0201</v>
          </cell>
          <cell r="E376" t="str">
            <v>240117YA0A</v>
          </cell>
          <cell r="F376">
            <v>1562.0553500000001</v>
          </cell>
          <cell r="G376">
            <v>80.519199999999998</v>
          </cell>
          <cell r="H376">
            <v>0.17990333333333333</v>
          </cell>
          <cell r="I376">
            <v>0.57434333333333332</v>
          </cell>
          <cell r="J376">
            <v>0.30648166666666665</v>
          </cell>
          <cell r="K376">
            <v>0.43574333333333332</v>
          </cell>
          <cell r="L376">
            <v>1.2215366666666665</v>
          </cell>
          <cell r="M376">
            <v>1.3468333333333334E-2</v>
          </cell>
          <cell r="N376">
            <v>9.5913333333333337E-2</v>
          </cell>
          <cell r="O376">
            <v>9.2776666666666674E-2</v>
          </cell>
          <cell r="P376">
            <v>2.6553333333333332E-2</v>
          </cell>
          <cell r="Q376">
            <v>1.0607283333333333</v>
          </cell>
          <cell r="R376">
            <v>1.8859916666666667</v>
          </cell>
          <cell r="S376">
            <v>0</v>
          </cell>
          <cell r="T376">
            <v>0</v>
          </cell>
          <cell r="U376">
            <v>0</v>
          </cell>
          <cell r="V376">
            <v>2.94672</v>
          </cell>
        </row>
        <row r="377">
          <cell r="D377" t="str">
            <v>24012-6YZ0B 0501</v>
          </cell>
          <cell r="E377" t="str">
            <v>240126YZ0B</v>
          </cell>
          <cell r="F377">
            <v>2364.6030700000001</v>
          </cell>
          <cell r="G377">
            <v>0</v>
          </cell>
          <cell r="H377">
            <v>0.15972166666666665</v>
          </cell>
          <cell r="I377">
            <v>0.29966999999999999</v>
          </cell>
          <cell r="J377">
            <v>0.12239</v>
          </cell>
          <cell r="K377">
            <v>0.44143000000000004</v>
          </cell>
          <cell r="L377">
            <v>0.89677333333333331</v>
          </cell>
          <cell r="M377">
            <v>5.8783333333333333E-2</v>
          </cell>
          <cell r="N377">
            <v>0.15522</v>
          </cell>
          <cell r="O377">
            <v>0.12727833333333333</v>
          </cell>
          <cell r="P377">
            <v>2.5043333333333331E-2</v>
          </cell>
          <cell r="Q377">
            <v>0.58178166666666664</v>
          </cell>
          <cell r="R377">
            <v>1.7045283333333334</v>
          </cell>
          <cell r="S377">
            <v>0</v>
          </cell>
          <cell r="T377">
            <v>0</v>
          </cell>
          <cell r="U377">
            <v>0</v>
          </cell>
          <cell r="V377">
            <v>2.2863100000000003</v>
          </cell>
        </row>
        <row r="378">
          <cell r="D378" t="str">
            <v>24012-6YZ1B 0501</v>
          </cell>
          <cell r="E378" t="str">
            <v>240126YZ1B</v>
          </cell>
          <cell r="F378">
            <v>2367.5512199999998</v>
          </cell>
          <cell r="G378">
            <v>0</v>
          </cell>
          <cell r="H378">
            <v>0.15868166666666667</v>
          </cell>
          <cell r="I378">
            <v>0.2914983333333333</v>
          </cell>
          <cell r="J378">
            <v>0.10649500000000001</v>
          </cell>
          <cell r="K378">
            <v>0.43842333333333333</v>
          </cell>
          <cell r="L378">
            <v>0.89436166666666672</v>
          </cell>
          <cell r="M378">
            <v>5.8718333333333331E-2</v>
          </cell>
          <cell r="N378">
            <v>0.15627166666666667</v>
          </cell>
          <cell r="O378">
            <v>0.12480333333333334</v>
          </cell>
          <cell r="P378">
            <v>2.4843333333333332E-2</v>
          </cell>
          <cell r="Q378">
            <v>0.55667500000000003</v>
          </cell>
          <cell r="R378">
            <v>1.6974216666666668</v>
          </cell>
          <cell r="S378">
            <v>0</v>
          </cell>
          <cell r="T378">
            <v>0</v>
          </cell>
          <cell r="U378">
            <v>0</v>
          </cell>
          <cell r="V378">
            <v>2.2540966666666669</v>
          </cell>
        </row>
        <row r="379">
          <cell r="D379" t="str">
            <v>24012-6YZ2A 0501</v>
          </cell>
          <cell r="E379" t="str">
            <v>240126YZ2A</v>
          </cell>
          <cell r="F379">
            <v>2319.5507499999999</v>
          </cell>
          <cell r="G379">
            <v>0</v>
          </cell>
          <cell r="H379">
            <v>0.15246999999999999</v>
          </cell>
          <cell r="I379">
            <v>0.28432333333333332</v>
          </cell>
          <cell r="J379">
            <v>0.11023666666666668</v>
          </cell>
          <cell r="K379">
            <v>0.42438000000000003</v>
          </cell>
          <cell r="L379">
            <v>0.86578833333333327</v>
          </cell>
          <cell r="M379">
            <v>5.8701666666666666E-2</v>
          </cell>
          <cell r="N379">
            <v>0.14805833333333332</v>
          </cell>
          <cell r="O379">
            <v>0.12649000000000002</v>
          </cell>
          <cell r="P379">
            <v>2.4698333333333333E-2</v>
          </cell>
          <cell r="Q379">
            <v>0.54703000000000002</v>
          </cell>
          <cell r="R379">
            <v>1.6481166666666667</v>
          </cell>
          <cell r="S379">
            <v>0</v>
          </cell>
          <cell r="T379">
            <v>0</v>
          </cell>
          <cell r="U379">
            <v>0</v>
          </cell>
          <cell r="V379">
            <v>2.1951466666666666</v>
          </cell>
        </row>
        <row r="380">
          <cell r="D380" t="str">
            <v>24012-6YZ3A 0501</v>
          </cell>
          <cell r="E380" t="str">
            <v>240126YZ3A</v>
          </cell>
          <cell r="F380">
            <v>2322.4353999999998</v>
          </cell>
          <cell r="G380">
            <v>0</v>
          </cell>
          <cell r="H380">
            <v>0.15181500000000001</v>
          </cell>
          <cell r="I380">
            <v>0.27615166666666663</v>
          </cell>
          <cell r="J380">
            <v>9.4341666666666671E-2</v>
          </cell>
          <cell r="K380">
            <v>0.42137333333333332</v>
          </cell>
          <cell r="L380">
            <v>0.8841699999999999</v>
          </cell>
          <cell r="M380">
            <v>5.8711666666666669E-2</v>
          </cell>
          <cell r="N380">
            <v>0.15375833333333333</v>
          </cell>
          <cell r="O380">
            <v>0.12459166666666667</v>
          </cell>
          <cell r="P380">
            <v>2.4793333333333334E-2</v>
          </cell>
          <cell r="Q380">
            <v>0.52230833333333326</v>
          </cell>
          <cell r="R380">
            <v>1.6673983333333333</v>
          </cell>
          <cell r="S380">
            <v>0</v>
          </cell>
          <cell r="T380">
            <v>0</v>
          </cell>
          <cell r="U380">
            <v>0</v>
          </cell>
          <cell r="V380">
            <v>2.1897066666666665</v>
          </cell>
        </row>
        <row r="381">
          <cell r="D381" t="str">
            <v>24128-5TT0C 0611</v>
          </cell>
          <cell r="E381" t="str">
            <v>241285TT0C</v>
          </cell>
          <cell r="F381">
            <v>170.01603</v>
          </cell>
          <cell r="G381">
            <v>0</v>
          </cell>
          <cell r="H381">
            <v>1.5241666666666666E-2</v>
          </cell>
          <cell r="I381">
            <v>1.0681666666666667E-2</v>
          </cell>
          <cell r="J381">
            <v>0</v>
          </cell>
          <cell r="K381">
            <v>4.1398333333333336E-2</v>
          </cell>
          <cell r="L381">
            <v>0.10231</v>
          </cell>
          <cell r="M381">
            <v>2.0900000000000003E-3</v>
          </cell>
          <cell r="N381">
            <v>1.9833333333333331E-2</v>
          </cell>
          <cell r="O381">
            <v>9.640000000000001E-3</v>
          </cell>
          <cell r="P381">
            <v>5.4783333333333333E-3</v>
          </cell>
          <cell r="Q381">
            <v>2.5923333333333333E-2</v>
          </cell>
          <cell r="R381">
            <v>0.18075000000000002</v>
          </cell>
          <cell r="S381">
            <v>0</v>
          </cell>
          <cell r="T381">
            <v>0</v>
          </cell>
          <cell r="U381">
            <v>0</v>
          </cell>
          <cell r="V381">
            <v>0.20667333333333335</v>
          </cell>
        </row>
        <row r="382">
          <cell r="D382" t="str">
            <v>24128-7DA0A 0221</v>
          </cell>
          <cell r="E382" t="str">
            <v>241287DA0A</v>
          </cell>
          <cell r="F382">
            <v>97.304060000000007</v>
          </cell>
          <cell r="G382">
            <v>0</v>
          </cell>
          <cell r="H382">
            <v>1.1383333333333334E-2</v>
          </cell>
          <cell r="I382">
            <v>6.0283333333333335E-3</v>
          </cell>
          <cell r="J382">
            <v>0</v>
          </cell>
          <cell r="K382">
            <v>4.6894999999999999E-2</v>
          </cell>
          <cell r="L382">
            <v>0.10906166666666667</v>
          </cell>
          <cell r="M382">
            <v>2.0900000000000003E-3</v>
          </cell>
          <cell r="N382">
            <v>1.8899999999999997E-2</v>
          </cell>
          <cell r="O382">
            <v>9.2733333333333331E-3</v>
          </cell>
          <cell r="P382">
            <v>5.2266666666666668E-3</v>
          </cell>
          <cell r="Q382">
            <v>1.7411666666666666E-2</v>
          </cell>
          <cell r="R382">
            <v>0.19144666666666665</v>
          </cell>
          <cell r="S382">
            <v>0</v>
          </cell>
          <cell r="T382">
            <v>0</v>
          </cell>
          <cell r="U382">
            <v>0</v>
          </cell>
          <cell r="V382">
            <v>0.20885833333333331</v>
          </cell>
        </row>
        <row r="383">
          <cell r="D383" t="str">
            <v>24128-7DA0B 0221</v>
          </cell>
          <cell r="E383" t="str">
            <v>241287DA0B</v>
          </cell>
          <cell r="F383">
            <v>132.98765</v>
          </cell>
          <cell r="G383">
            <v>0</v>
          </cell>
          <cell r="H383">
            <v>1.737E-2</v>
          </cell>
          <cell r="I383">
            <v>1.0516666666666667E-2</v>
          </cell>
          <cell r="J383">
            <v>0</v>
          </cell>
          <cell r="K383">
            <v>5.3641666666666671E-2</v>
          </cell>
          <cell r="L383">
            <v>0.11542500000000001</v>
          </cell>
          <cell r="M383">
            <v>2.0900000000000003E-3</v>
          </cell>
          <cell r="N383">
            <v>1.9459999999999998E-2</v>
          </cell>
          <cell r="O383">
            <v>9.2733333333333331E-3</v>
          </cell>
          <cell r="P383">
            <v>5.2266666666666668E-3</v>
          </cell>
          <cell r="Q383">
            <v>2.7886666666666667E-2</v>
          </cell>
          <cell r="R383">
            <v>0.2051166666666667</v>
          </cell>
          <cell r="S383">
            <v>0</v>
          </cell>
          <cell r="T383">
            <v>0</v>
          </cell>
          <cell r="U383">
            <v>0</v>
          </cell>
          <cell r="V383">
            <v>0.23300333333333337</v>
          </cell>
        </row>
        <row r="384">
          <cell r="D384" t="str">
            <v>24128-7DA9E 0221</v>
          </cell>
          <cell r="E384" t="str">
            <v>241287DA9E</v>
          </cell>
          <cell r="F384">
            <v>132.98765</v>
          </cell>
          <cell r="G384">
            <v>0</v>
          </cell>
          <cell r="H384">
            <v>1.737E-2</v>
          </cell>
          <cell r="I384">
            <v>1.0516666666666667E-2</v>
          </cell>
          <cell r="J384">
            <v>0</v>
          </cell>
          <cell r="K384">
            <v>5.3641666666666671E-2</v>
          </cell>
          <cell r="L384">
            <v>0.11542500000000001</v>
          </cell>
          <cell r="M384">
            <v>2.0900000000000003E-3</v>
          </cell>
          <cell r="N384">
            <v>1.9459999999999998E-2</v>
          </cell>
          <cell r="O384">
            <v>9.2733333333333331E-3</v>
          </cell>
          <cell r="P384">
            <v>5.2266666666666668E-3</v>
          </cell>
          <cell r="Q384">
            <v>2.7886666666666667E-2</v>
          </cell>
          <cell r="R384">
            <v>0.2051166666666667</v>
          </cell>
          <cell r="S384">
            <v>0</v>
          </cell>
          <cell r="T384">
            <v>0</v>
          </cell>
          <cell r="U384">
            <v>0</v>
          </cell>
          <cell r="V384">
            <v>0.23300333333333337</v>
          </cell>
        </row>
        <row r="385">
          <cell r="D385" t="str">
            <v>24128-7YA0A 0111</v>
          </cell>
          <cell r="E385" t="str">
            <v>241287YA0A</v>
          </cell>
          <cell r="F385">
            <v>168.05508</v>
          </cell>
          <cell r="G385">
            <v>0</v>
          </cell>
          <cell r="H385">
            <v>1.5368333333333335E-2</v>
          </cell>
          <cell r="I385">
            <v>1.5893333333333332E-2</v>
          </cell>
          <cell r="J385">
            <v>0</v>
          </cell>
          <cell r="K385">
            <v>5.6338333333333337E-2</v>
          </cell>
          <cell r="L385">
            <v>0.11460666666666668</v>
          </cell>
          <cell r="M385">
            <v>2.0900000000000003E-3</v>
          </cell>
          <cell r="N385">
            <v>1.9241666666666667E-2</v>
          </cell>
          <cell r="O385">
            <v>1.1849999999999999E-2</v>
          </cell>
          <cell r="P385">
            <v>5.5966666666666665E-3</v>
          </cell>
          <cell r="Q385">
            <v>3.1261666666666667E-2</v>
          </cell>
          <cell r="R385">
            <v>0.20972333333333334</v>
          </cell>
          <cell r="S385">
            <v>0</v>
          </cell>
          <cell r="T385">
            <v>0</v>
          </cell>
          <cell r="U385">
            <v>0</v>
          </cell>
          <cell r="V385">
            <v>0.240985</v>
          </cell>
        </row>
        <row r="386">
          <cell r="D386" t="str">
            <v>24128-7YA0B 0111</v>
          </cell>
          <cell r="E386" t="str">
            <v>241287YA0B</v>
          </cell>
          <cell r="F386">
            <v>194.54876999999999</v>
          </cell>
          <cell r="G386">
            <v>0</v>
          </cell>
          <cell r="H386">
            <v>1.9361666666666666E-2</v>
          </cell>
          <cell r="I386">
            <v>1.5893333333333332E-2</v>
          </cell>
          <cell r="J386">
            <v>0</v>
          </cell>
          <cell r="K386">
            <v>6.469833333333333E-2</v>
          </cell>
          <cell r="L386">
            <v>0.12863666666666668</v>
          </cell>
          <cell r="M386">
            <v>2.0900000000000003E-3</v>
          </cell>
          <cell r="N386">
            <v>2.0301666666666666E-2</v>
          </cell>
          <cell r="O386">
            <v>1.2196666666666666E-2</v>
          </cell>
          <cell r="P386">
            <v>5.8316666666666664E-3</v>
          </cell>
          <cell r="Q386">
            <v>3.5254999999999995E-2</v>
          </cell>
          <cell r="R386">
            <v>0.23375500000000002</v>
          </cell>
          <cell r="S386">
            <v>0</v>
          </cell>
          <cell r="T386">
            <v>0</v>
          </cell>
          <cell r="U386">
            <v>0</v>
          </cell>
          <cell r="V386">
            <v>0.26901000000000003</v>
          </cell>
        </row>
        <row r="387">
          <cell r="D387" t="str">
            <v>24129-5TT0C 0611</v>
          </cell>
          <cell r="E387" t="str">
            <v>241295TT0C</v>
          </cell>
          <cell r="F387">
            <v>170.76340999999999</v>
          </cell>
          <cell r="G387">
            <v>0</v>
          </cell>
          <cell r="H387">
            <v>1.5315E-2</v>
          </cell>
          <cell r="I387">
            <v>1.1006666666666666E-2</v>
          </cell>
          <cell r="J387">
            <v>0</v>
          </cell>
          <cell r="K387">
            <v>4.2388333333333333E-2</v>
          </cell>
          <cell r="L387">
            <v>0.12155000000000001</v>
          </cell>
          <cell r="M387">
            <v>2.0900000000000003E-3</v>
          </cell>
          <cell r="N387">
            <v>2.1033333333333334E-2</v>
          </cell>
          <cell r="O387">
            <v>9.9816666666666665E-3</v>
          </cell>
          <cell r="P387">
            <v>5.528333333333333E-3</v>
          </cell>
          <cell r="Q387">
            <v>2.6321666666666667E-2</v>
          </cell>
          <cell r="R387">
            <v>0.20257166666666668</v>
          </cell>
          <cell r="S387">
            <v>0</v>
          </cell>
          <cell r="T387">
            <v>0</v>
          </cell>
          <cell r="U387">
            <v>0</v>
          </cell>
          <cell r="V387">
            <v>0.22889333333333334</v>
          </cell>
        </row>
        <row r="388">
          <cell r="D388" t="str">
            <v>24129-7DA0A 0211</v>
          </cell>
          <cell r="E388" t="str">
            <v>241297DA0A</v>
          </cell>
          <cell r="F388">
            <v>102.08654</v>
          </cell>
          <cell r="G388">
            <v>0</v>
          </cell>
          <cell r="H388">
            <v>1.0473333333333333E-2</v>
          </cell>
          <cell r="I388">
            <v>6.1500000000000001E-3</v>
          </cell>
          <cell r="J388">
            <v>0</v>
          </cell>
          <cell r="K388">
            <v>4.6385000000000003E-2</v>
          </cell>
          <cell r="L388">
            <v>0.10590000000000001</v>
          </cell>
          <cell r="M388">
            <v>2.0900000000000003E-3</v>
          </cell>
          <cell r="N388">
            <v>1.8165000000000001E-2</v>
          </cell>
          <cell r="O388">
            <v>9.0500000000000008E-3</v>
          </cell>
          <cell r="P388">
            <v>5.0749999999999997E-3</v>
          </cell>
          <cell r="Q388">
            <v>1.6623333333333334E-2</v>
          </cell>
          <cell r="R388">
            <v>0.18666500000000003</v>
          </cell>
          <cell r="S388">
            <v>0</v>
          </cell>
          <cell r="T388">
            <v>0</v>
          </cell>
          <cell r="U388">
            <v>0</v>
          </cell>
          <cell r="V388">
            <v>0.20328833333333335</v>
          </cell>
        </row>
        <row r="389">
          <cell r="D389" t="str">
            <v>24129-7DA0B 0221</v>
          </cell>
          <cell r="E389" t="str">
            <v>241297DA0B</v>
          </cell>
          <cell r="F389">
            <v>136.50053</v>
          </cell>
          <cell r="G389">
            <v>0</v>
          </cell>
          <cell r="H389">
            <v>1.6958333333333336E-2</v>
          </cell>
          <cell r="I389">
            <v>1.0465E-2</v>
          </cell>
          <cell r="J389">
            <v>0</v>
          </cell>
          <cell r="K389">
            <v>5.4928333333333336E-2</v>
          </cell>
          <cell r="L389">
            <v>0.11276</v>
          </cell>
          <cell r="M389">
            <v>2.0900000000000003E-3</v>
          </cell>
          <cell r="N389">
            <v>1.9465E-2</v>
          </cell>
          <cell r="O389">
            <v>9.385000000000001E-3</v>
          </cell>
          <cell r="P389">
            <v>5.3033333333333326E-3</v>
          </cell>
          <cell r="Q389">
            <v>2.7423333333333334E-2</v>
          </cell>
          <cell r="R389">
            <v>0.20393166666666668</v>
          </cell>
          <cell r="S389">
            <v>0</v>
          </cell>
          <cell r="T389">
            <v>0</v>
          </cell>
          <cell r="U389">
            <v>0</v>
          </cell>
          <cell r="V389">
            <v>0.23135500000000001</v>
          </cell>
        </row>
        <row r="390">
          <cell r="D390" t="str">
            <v>24129-7DA9E 0221</v>
          </cell>
          <cell r="E390" t="str">
            <v>241297DA9E</v>
          </cell>
          <cell r="F390">
            <v>136.50053</v>
          </cell>
          <cell r="G390">
            <v>0</v>
          </cell>
          <cell r="H390">
            <v>1.6958333333333336E-2</v>
          </cell>
          <cell r="I390">
            <v>1.0465E-2</v>
          </cell>
          <cell r="J390">
            <v>0</v>
          </cell>
          <cell r="K390">
            <v>5.4928333333333336E-2</v>
          </cell>
          <cell r="L390">
            <v>0.11276</v>
          </cell>
          <cell r="M390">
            <v>2.0900000000000003E-3</v>
          </cell>
          <cell r="N390">
            <v>1.9465E-2</v>
          </cell>
          <cell r="O390">
            <v>9.385000000000001E-3</v>
          </cell>
          <cell r="P390">
            <v>5.3033333333333326E-3</v>
          </cell>
          <cell r="Q390">
            <v>2.7423333333333334E-2</v>
          </cell>
          <cell r="R390">
            <v>0.20393166666666668</v>
          </cell>
          <cell r="S390">
            <v>0</v>
          </cell>
          <cell r="T390">
            <v>0</v>
          </cell>
          <cell r="U390">
            <v>0</v>
          </cell>
          <cell r="V390">
            <v>0.23135500000000001</v>
          </cell>
        </row>
        <row r="391">
          <cell r="D391" t="str">
            <v>24129-7YA0A 0101</v>
          </cell>
          <cell r="E391" t="str">
            <v>241297YA0A</v>
          </cell>
          <cell r="F391">
            <v>173.10684000000001</v>
          </cell>
          <cell r="G391">
            <v>0</v>
          </cell>
          <cell r="H391">
            <v>1.5906666666666666E-2</v>
          </cell>
          <cell r="I391">
            <v>1.576E-2</v>
          </cell>
          <cell r="J391">
            <v>0</v>
          </cell>
          <cell r="K391">
            <v>5.9225E-2</v>
          </cell>
          <cell r="L391">
            <v>0.12009666666666667</v>
          </cell>
          <cell r="M391">
            <v>2.0900000000000003E-3</v>
          </cell>
          <cell r="N391">
            <v>1.9318333333333333E-2</v>
          </cell>
          <cell r="O391">
            <v>9.4466666666666657E-3</v>
          </cell>
          <cell r="P391">
            <v>5.5316666666666665E-3</v>
          </cell>
          <cell r="Q391">
            <v>3.1666666666666662E-2</v>
          </cell>
          <cell r="R391">
            <v>0.21570833333333331</v>
          </cell>
          <cell r="S391">
            <v>0</v>
          </cell>
          <cell r="T391">
            <v>0</v>
          </cell>
          <cell r="U391">
            <v>0</v>
          </cell>
          <cell r="V391">
            <v>0.24737499999999996</v>
          </cell>
        </row>
        <row r="392">
          <cell r="D392" t="str">
            <v>24129-7YA0B 0101</v>
          </cell>
          <cell r="E392" t="str">
            <v>241297YA0B</v>
          </cell>
          <cell r="F392">
            <v>197.78124</v>
          </cell>
          <cell r="G392">
            <v>0</v>
          </cell>
          <cell r="H392">
            <v>1.9673333333333331E-2</v>
          </cell>
          <cell r="I392">
            <v>1.576E-2</v>
          </cell>
          <cell r="J392">
            <v>0</v>
          </cell>
          <cell r="K392">
            <v>6.9675000000000001E-2</v>
          </cell>
          <cell r="L392">
            <v>0.13127</v>
          </cell>
          <cell r="M392">
            <v>2.0900000000000003E-3</v>
          </cell>
          <cell r="N392">
            <v>2.0378333333333332E-2</v>
          </cell>
          <cell r="O392">
            <v>9.8133333333333336E-3</v>
          </cell>
          <cell r="P392">
            <v>5.7816666666666667E-3</v>
          </cell>
          <cell r="Q392">
            <v>3.5433333333333331E-2</v>
          </cell>
          <cell r="R392">
            <v>0.23900833333333332</v>
          </cell>
          <cell r="S392">
            <v>0</v>
          </cell>
          <cell r="T392">
            <v>0</v>
          </cell>
          <cell r="U392">
            <v>0</v>
          </cell>
          <cell r="V392">
            <v>0.27444166666666664</v>
          </cell>
        </row>
        <row r="393">
          <cell r="D393" t="str">
            <v>295J1-5570A 0001</v>
          </cell>
          <cell r="E393" t="str">
            <v>295J15570A</v>
          </cell>
          <cell r="F393">
            <v>149.0779</v>
          </cell>
          <cell r="G393">
            <v>0</v>
          </cell>
          <cell r="H393">
            <v>6.5561666666666671E-2</v>
          </cell>
          <cell r="I393">
            <v>5.5965000000000001E-2</v>
          </cell>
          <cell r="J393">
            <v>8.0483333333333327E-3</v>
          </cell>
          <cell r="K393">
            <v>0.20201166666666664</v>
          </cell>
          <cell r="L393">
            <v>0.13773333333333332</v>
          </cell>
          <cell r="M393">
            <v>0</v>
          </cell>
          <cell r="N393">
            <v>2.6131666666666668E-2</v>
          </cell>
          <cell r="O393">
            <v>1.3415E-2</v>
          </cell>
          <cell r="P393">
            <v>4.4066666666666672E-3</v>
          </cell>
          <cell r="Q393">
            <v>0.129575</v>
          </cell>
          <cell r="R393">
            <v>0.38369833333333331</v>
          </cell>
          <cell r="S393">
            <v>0</v>
          </cell>
          <cell r="T393">
            <v>0</v>
          </cell>
          <cell r="U393">
            <v>0</v>
          </cell>
          <cell r="V393">
            <v>0.51327333333333325</v>
          </cell>
        </row>
        <row r="394">
          <cell r="D394" t="str">
            <v>295J1-6RA0A 0511</v>
          </cell>
          <cell r="E394" t="str">
            <v>295J1-6RA0A</v>
          </cell>
          <cell r="F394">
            <v>149.77654000000001</v>
          </cell>
          <cell r="G394">
            <v>0</v>
          </cell>
          <cell r="H394">
            <v>6.5863333333333329E-2</v>
          </cell>
          <cell r="I394">
            <v>5.9441666666666663E-2</v>
          </cell>
          <cell r="J394">
            <v>8.0483333333333327E-3</v>
          </cell>
          <cell r="K394">
            <v>0.20201166666666664</v>
          </cell>
          <cell r="L394">
            <v>0.14968666666666666</v>
          </cell>
          <cell r="M394">
            <v>0</v>
          </cell>
          <cell r="N394">
            <v>2.6724999999999999E-2</v>
          </cell>
          <cell r="O394">
            <v>1.1094999999999999E-2</v>
          </cell>
          <cell r="P394">
            <v>4.306666666666667E-3</v>
          </cell>
          <cell r="Q394">
            <v>0.13335333333333332</v>
          </cell>
          <cell r="R394">
            <v>0.39382500000000004</v>
          </cell>
          <cell r="S394">
            <v>0</v>
          </cell>
          <cell r="T394">
            <v>0</v>
          </cell>
          <cell r="U394">
            <v>0</v>
          </cell>
          <cell r="V394">
            <v>0.5271783333333333</v>
          </cell>
        </row>
        <row r="395">
          <cell r="D395" t="str">
            <v>295J1-7YA0A 0101</v>
          </cell>
          <cell r="E395" t="str">
            <v>295J17YA0A</v>
          </cell>
          <cell r="F395">
            <v>149.0779</v>
          </cell>
          <cell r="G395">
            <v>0</v>
          </cell>
          <cell r="H395">
            <v>6.5561666666666671E-2</v>
          </cell>
          <cell r="I395">
            <v>5.5965000000000001E-2</v>
          </cell>
          <cell r="J395">
            <v>8.0483333333333327E-3</v>
          </cell>
          <cell r="K395">
            <v>0.20201166666666664</v>
          </cell>
          <cell r="L395">
            <v>0.13773333333333332</v>
          </cell>
          <cell r="M395">
            <v>0</v>
          </cell>
          <cell r="N395">
            <v>2.6131666666666668E-2</v>
          </cell>
          <cell r="O395">
            <v>1.3415E-2</v>
          </cell>
          <cell r="P395">
            <v>4.4066666666666672E-3</v>
          </cell>
          <cell r="Q395">
            <v>0.129575</v>
          </cell>
          <cell r="R395">
            <v>0.38369833333333331</v>
          </cell>
          <cell r="S395">
            <v>0</v>
          </cell>
          <cell r="T395">
            <v>0</v>
          </cell>
          <cell r="U395">
            <v>0</v>
          </cell>
          <cell r="V395">
            <v>0.51327333333333325</v>
          </cell>
        </row>
        <row r="396">
          <cell r="D396" t="str">
            <v>295J2-6RA0A 0701</v>
          </cell>
          <cell r="E396" t="str">
            <v>295J2-6RA0A</v>
          </cell>
          <cell r="F396">
            <v>95.387240000000006</v>
          </cell>
          <cell r="G396">
            <v>0</v>
          </cell>
          <cell r="H396">
            <v>2.614E-2</v>
          </cell>
          <cell r="I396">
            <v>6.5881666666666672E-2</v>
          </cell>
          <cell r="J396">
            <v>1.6096666666666665E-2</v>
          </cell>
          <cell r="K396">
            <v>7.5781666666666664E-2</v>
          </cell>
          <cell r="L396">
            <v>0.14323</v>
          </cell>
          <cell r="M396">
            <v>0</v>
          </cell>
          <cell r="N396">
            <v>2.0351666666666667E-2</v>
          </cell>
          <cell r="O396">
            <v>1.2383333333333333E-2</v>
          </cell>
          <cell r="P396">
            <v>5.0116666666666669E-3</v>
          </cell>
          <cell r="Q396">
            <v>0.10811833333333333</v>
          </cell>
          <cell r="R396">
            <v>0.25675833333333337</v>
          </cell>
          <cell r="S396">
            <v>0</v>
          </cell>
          <cell r="T396">
            <v>0</v>
          </cell>
          <cell r="U396">
            <v>0</v>
          </cell>
          <cell r="V396">
            <v>0.36487666666666668</v>
          </cell>
        </row>
        <row r="397">
          <cell r="D397" t="str">
            <v>295J2-7YA0A 0101</v>
          </cell>
          <cell r="E397" t="str">
            <v>295J27YA0A</v>
          </cell>
          <cell r="F397">
            <v>96.243849999999995</v>
          </cell>
          <cell r="G397">
            <v>0</v>
          </cell>
          <cell r="H397">
            <v>2.7021666666666666E-2</v>
          </cell>
          <cell r="I397">
            <v>6.5875000000000003E-2</v>
          </cell>
          <cell r="J397">
            <v>1.7695000000000002E-2</v>
          </cell>
          <cell r="K397">
            <v>7.7643333333333328E-2</v>
          </cell>
          <cell r="L397">
            <v>0.15399333333333332</v>
          </cell>
          <cell r="M397">
            <v>0</v>
          </cell>
          <cell r="N397">
            <v>2.1035000000000002E-2</v>
          </cell>
          <cell r="O397">
            <v>1.2616666666666667E-2</v>
          </cell>
          <cell r="P397">
            <v>5.078333333333334E-3</v>
          </cell>
          <cell r="Q397">
            <v>0.11059166666666667</v>
          </cell>
          <cell r="R397">
            <v>0.2703666666666667</v>
          </cell>
          <cell r="S397">
            <v>0</v>
          </cell>
          <cell r="T397">
            <v>0</v>
          </cell>
          <cell r="U397">
            <v>0</v>
          </cell>
          <cell r="V397">
            <v>0.3809583333333334</v>
          </cell>
        </row>
        <row r="398">
          <cell r="D398" t="str">
            <v>295J2-7YA1A 0001</v>
          </cell>
          <cell r="E398" t="str">
            <v>295J27YA1A</v>
          </cell>
          <cell r="F398">
            <v>85.457660000000004</v>
          </cell>
          <cell r="G398">
            <v>0</v>
          </cell>
          <cell r="H398">
            <v>2.3286666666666667E-2</v>
          </cell>
          <cell r="I398">
            <v>4.3268333333333332E-2</v>
          </cell>
          <cell r="J398">
            <v>1.2880000000000001E-2</v>
          </cell>
          <cell r="K398">
            <v>7.4160000000000004E-2</v>
          </cell>
          <cell r="L398">
            <v>0.14658333333333334</v>
          </cell>
          <cell r="M398">
            <v>0</v>
          </cell>
          <cell r="N398">
            <v>2.0216666666666668E-2</v>
          </cell>
          <cell r="O398">
            <v>1.0013333333333334E-2</v>
          </cell>
          <cell r="P398">
            <v>4.8783333333333335E-3</v>
          </cell>
          <cell r="Q398">
            <v>7.9435000000000006E-2</v>
          </cell>
          <cell r="R398">
            <v>0.25585166666666664</v>
          </cell>
          <cell r="S398">
            <v>0</v>
          </cell>
          <cell r="T398">
            <v>0</v>
          </cell>
          <cell r="U398">
            <v>0</v>
          </cell>
          <cell r="V398">
            <v>0.33528666666666662</v>
          </cell>
        </row>
        <row r="399">
          <cell r="D399" t="str">
            <v>82111-F4L10 K 0001</v>
          </cell>
          <cell r="E399" t="str">
            <v>82111F4L10</v>
          </cell>
          <cell r="F399">
            <v>2515.1999999999998</v>
          </cell>
          <cell r="G399">
            <v>0</v>
          </cell>
          <cell r="H399">
            <v>0.17911166666666667</v>
          </cell>
          <cell r="I399">
            <v>8.7393333333333337E-2</v>
          </cell>
          <cell r="J399">
            <v>0.12803</v>
          </cell>
          <cell r="K399">
            <v>0.50845499999999999</v>
          </cell>
          <cell r="L399">
            <v>1.4777916666666668</v>
          </cell>
          <cell r="M399">
            <v>6.2816666666666673E-2</v>
          </cell>
          <cell r="N399">
            <v>0.15845666666666666</v>
          </cell>
          <cell r="O399">
            <v>0.18387166666666666</v>
          </cell>
          <cell r="P399">
            <v>6.4603333333333332E-2</v>
          </cell>
          <cell r="Q399">
            <v>0.39453499999999997</v>
          </cell>
          <cell r="R399">
            <v>2.4559949999999997</v>
          </cell>
          <cell r="S399">
            <v>4.6934999999999998E-2</v>
          </cell>
          <cell r="T399">
            <v>4.0425000000000003E-2</v>
          </cell>
          <cell r="U399">
            <v>0</v>
          </cell>
          <cell r="V399">
            <v>2.9378899999999994</v>
          </cell>
        </row>
        <row r="400">
          <cell r="D400" t="str">
            <v>82111-F4L20 J 0001</v>
          </cell>
          <cell r="E400" t="str">
            <v>82111F4L20</v>
          </cell>
          <cell r="F400">
            <v>3705.6</v>
          </cell>
          <cell r="G400">
            <v>0</v>
          </cell>
          <cell r="H400">
            <v>0.21766833333333332</v>
          </cell>
          <cell r="I400">
            <v>0.31809666666666664</v>
          </cell>
          <cell r="J400">
            <v>0.28766666666666668</v>
          </cell>
          <cell r="K400">
            <v>0.58445333333333338</v>
          </cell>
          <cell r="L400">
            <v>1.642995</v>
          </cell>
          <cell r="M400">
            <v>6.8545000000000009E-2</v>
          </cell>
          <cell r="N400">
            <v>0.18079666666666666</v>
          </cell>
          <cell r="O400">
            <v>0.15011999999999998</v>
          </cell>
          <cell r="P400">
            <v>8.0033333333333331E-2</v>
          </cell>
          <cell r="Q400">
            <v>0.82343166666666656</v>
          </cell>
          <cell r="R400">
            <v>2.7069433333333328</v>
          </cell>
          <cell r="S400">
            <v>4.7993333333333332E-2</v>
          </cell>
          <cell r="T400">
            <v>3.7748333333333335E-2</v>
          </cell>
          <cell r="U400">
            <v>0</v>
          </cell>
          <cell r="V400">
            <v>3.6161166666666662</v>
          </cell>
        </row>
        <row r="401">
          <cell r="D401" t="str">
            <v>82111-F4L30 J 0001</v>
          </cell>
          <cell r="E401" t="str">
            <v>82111F4L30</v>
          </cell>
          <cell r="F401">
            <v>3735.3</v>
          </cell>
          <cell r="G401">
            <v>0</v>
          </cell>
          <cell r="H401">
            <v>0.22378499999999998</v>
          </cell>
          <cell r="I401">
            <v>0.33325500000000002</v>
          </cell>
          <cell r="J401">
            <v>0.28766666666666668</v>
          </cell>
          <cell r="K401">
            <v>0.59913000000000005</v>
          </cell>
          <cell r="L401">
            <v>1.6674816666666668</v>
          </cell>
          <cell r="M401">
            <v>6.8650000000000003E-2</v>
          </cell>
          <cell r="N401">
            <v>0.18178666666666665</v>
          </cell>
          <cell r="O401">
            <v>0.15303333333333333</v>
          </cell>
          <cell r="P401">
            <v>8.0433333333333329E-2</v>
          </cell>
          <cell r="Q401">
            <v>0.84470666666666672</v>
          </cell>
          <cell r="R401">
            <v>2.7505149999999996</v>
          </cell>
          <cell r="S401">
            <v>4.7993333333333332E-2</v>
          </cell>
          <cell r="T401">
            <v>3.7748333333333335E-2</v>
          </cell>
          <cell r="U401">
            <v>0</v>
          </cell>
          <cell r="V401">
            <v>3.6809633333333331</v>
          </cell>
        </row>
        <row r="402">
          <cell r="D402" t="str">
            <v>82111-F2131 D 0101</v>
          </cell>
          <cell r="E402" t="str">
            <v>82111F2131</v>
          </cell>
          <cell r="F402">
            <v>3239.7</v>
          </cell>
          <cell r="G402">
            <v>0</v>
          </cell>
          <cell r="H402">
            <v>0.23116499999999998</v>
          </cell>
          <cell r="I402">
            <v>0.27012166666666665</v>
          </cell>
          <cell r="J402">
            <v>0.29005666666666668</v>
          </cell>
          <cell r="K402">
            <v>0.60341333333333336</v>
          </cell>
          <cell r="L402">
            <v>1.7462599999999999</v>
          </cell>
          <cell r="M402">
            <v>6.9225000000000009E-2</v>
          </cell>
          <cell r="N402">
            <v>0.17413500000000001</v>
          </cell>
          <cell r="O402">
            <v>0.14865666666666666</v>
          </cell>
          <cell r="P402">
            <v>6.0520000000000004E-2</v>
          </cell>
          <cell r="Q402">
            <v>0.79134333333333329</v>
          </cell>
          <cell r="R402">
            <v>2.8022100000000001</v>
          </cell>
          <cell r="S402">
            <v>4.1920000000000006E-2</v>
          </cell>
          <cell r="T402">
            <v>3.7756666666666668E-2</v>
          </cell>
          <cell r="U402">
            <v>0</v>
          </cell>
          <cell r="V402">
            <v>3.6732300000000002</v>
          </cell>
        </row>
        <row r="403">
          <cell r="D403" t="str">
            <v>82111-F2132 B 0101</v>
          </cell>
          <cell r="E403" t="str">
            <v>82111F2132</v>
          </cell>
          <cell r="F403">
            <v>3259</v>
          </cell>
          <cell r="G403">
            <v>0</v>
          </cell>
          <cell r="H403">
            <v>0.23245333333333335</v>
          </cell>
          <cell r="I403">
            <v>0.27012166666666665</v>
          </cell>
          <cell r="J403">
            <v>0.30343999999999999</v>
          </cell>
          <cell r="K403">
            <v>0.60742833333333335</v>
          </cell>
          <cell r="L403">
            <v>1.7345666666666666</v>
          </cell>
          <cell r="M403">
            <v>6.9225000000000009E-2</v>
          </cell>
          <cell r="N403">
            <v>0.17521166666666668</v>
          </cell>
          <cell r="O403">
            <v>0.14879166666666668</v>
          </cell>
          <cell r="P403">
            <v>5.5844999999999999E-2</v>
          </cell>
          <cell r="Q403">
            <v>0.80601499999999993</v>
          </cell>
          <cell r="R403">
            <v>2.7910683333333335</v>
          </cell>
          <cell r="S403">
            <v>4.1920000000000006E-2</v>
          </cell>
          <cell r="T403">
            <v>3.7756666666666668E-2</v>
          </cell>
          <cell r="U403">
            <v>0</v>
          </cell>
          <cell r="V403">
            <v>3.6767600000000003</v>
          </cell>
        </row>
        <row r="404">
          <cell r="D404" t="str">
            <v>82111-F2211 B 0201</v>
          </cell>
          <cell r="E404" t="str">
            <v>82111F2211</v>
          </cell>
          <cell r="F404">
            <v>2960.6</v>
          </cell>
          <cell r="G404">
            <v>0</v>
          </cell>
          <cell r="H404">
            <v>0.17323333333333332</v>
          </cell>
          <cell r="I404">
            <v>0.11832333333333334</v>
          </cell>
          <cell r="J404">
            <v>0.18358333333333335</v>
          </cell>
          <cell r="K404">
            <v>0.50310166666666667</v>
          </cell>
          <cell r="L404">
            <v>1.4259016666666668</v>
          </cell>
          <cell r="M404">
            <v>6.3626666666666665E-2</v>
          </cell>
          <cell r="N404">
            <v>0.16283499999999998</v>
          </cell>
          <cell r="O404">
            <v>0.13167833333333331</v>
          </cell>
          <cell r="P404">
            <v>6.0350000000000001E-2</v>
          </cell>
          <cell r="Q404">
            <v>0.47514000000000001</v>
          </cell>
          <cell r="R404">
            <v>2.3474933333333339</v>
          </cell>
          <cell r="S404">
            <v>4.4470000000000003E-2</v>
          </cell>
          <cell r="T404">
            <v>4.6706666666666674E-2</v>
          </cell>
          <cell r="U404">
            <v>0</v>
          </cell>
          <cell r="V404">
            <v>2.9138100000000007</v>
          </cell>
        </row>
        <row r="405">
          <cell r="D405" t="str">
            <v>82111-F2L51 B 0101</v>
          </cell>
          <cell r="E405" t="str">
            <v>82111F2L51</v>
          </cell>
          <cell r="F405">
            <v>2689.2</v>
          </cell>
          <cell r="G405">
            <v>0</v>
          </cell>
          <cell r="H405">
            <v>0.17239499999999999</v>
          </cell>
          <cell r="I405">
            <v>0.12714666666666666</v>
          </cell>
          <cell r="J405">
            <v>0.167735</v>
          </cell>
          <cell r="K405">
            <v>0.489035</v>
          </cell>
          <cell r="L405">
            <v>1.4729400000000001</v>
          </cell>
          <cell r="M405">
            <v>6.2545000000000003E-2</v>
          </cell>
          <cell r="N405">
            <v>0.15503</v>
          </cell>
          <cell r="O405">
            <v>0.13877166666666665</v>
          </cell>
          <cell r="P405">
            <v>4.9541666666666671E-2</v>
          </cell>
          <cell r="Q405">
            <v>0.46727666666666667</v>
          </cell>
          <cell r="R405">
            <v>2.3678633333333337</v>
          </cell>
          <cell r="S405">
            <v>4.1839999999999995E-2</v>
          </cell>
          <cell r="T405">
            <v>4.2001666666666673E-2</v>
          </cell>
          <cell r="U405">
            <v>0</v>
          </cell>
          <cell r="V405">
            <v>2.9189816666666673</v>
          </cell>
        </row>
        <row r="406">
          <cell r="D406" t="str">
            <v>82111-F2W22 B 0101</v>
          </cell>
          <cell r="E406" t="str">
            <v>82111F2W22</v>
          </cell>
          <cell r="F406">
            <v>2686.2</v>
          </cell>
          <cell r="G406">
            <v>0</v>
          </cell>
          <cell r="H406">
            <v>0.17287833333333333</v>
          </cell>
          <cell r="I406">
            <v>0.12714666666666666</v>
          </cell>
          <cell r="J406">
            <v>0.16768166666666667</v>
          </cell>
          <cell r="K406">
            <v>0.48022333333333334</v>
          </cell>
          <cell r="L406">
            <v>1.4961799999999998</v>
          </cell>
          <cell r="M406">
            <v>6.2560000000000004E-2</v>
          </cell>
          <cell r="N406">
            <v>0.15563333333333332</v>
          </cell>
          <cell r="O406">
            <v>0.13904333333333332</v>
          </cell>
          <cell r="P406">
            <v>4.9633333333333335E-2</v>
          </cell>
          <cell r="Q406">
            <v>0.46770666666666666</v>
          </cell>
          <cell r="R406">
            <v>2.3832733333333334</v>
          </cell>
          <cell r="S406">
            <v>4.1839999999999995E-2</v>
          </cell>
          <cell r="T406">
            <v>4.2001666666666673E-2</v>
          </cell>
          <cell r="U406">
            <v>0</v>
          </cell>
          <cell r="V406">
            <v>2.9348216666666667</v>
          </cell>
        </row>
        <row r="407">
          <cell r="D407" t="str">
            <v>82111-F2W92 C 0101</v>
          </cell>
          <cell r="E407" t="str">
            <v>82111F2W92</v>
          </cell>
          <cell r="F407">
            <v>2983.4</v>
          </cell>
          <cell r="G407">
            <v>0</v>
          </cell>
          <cell r="H407">
            <v>0.173315</v>
          </cell>
          <cell r="I407">
            <v>0.11146666666666666</v>
          </cell>
          <cell r="J407">
            <v>0.18029833333333334</v>
          </cell>
          <cell r="K407">
            <v>0.50301833333333335</v>
          </cell>
          <cell r="L407">
            <v>1.4243716666666666</v>
          </cell>
          <cell r="M407">
            <v>6.3716666666666671E-2</v>
          </cell>
          <cell r="N407">
            <v>0.16377499999999998</v>
          </cell>
          <cell r="O407">
            <v>0.13201000000000002</v>
          </cell>
          <cell r="P407">
            <v>7.4116666666666664E-2</v>
          </cell>
          <cell r="Q407">
            <v>0.46507999999999999</v>
          </cell>
          <cell r="R407">
            <v>2.3610083333333334</v>
          </cell>
          <cell r="S407">
            <v>4.4470000000000003E-2</v>
          </cell>
          <cell r="T407">
            <v>4.6706666666666674E-2</v>
          </cell>
          <cell r="U407">
            <v>0</v>
          </cell>
          <cell r="V407">
            <v>2.917265</v>
          </cell>
        </row>
        <row r="408">
          <cell r="D408" t="str">
            <v>82111-FE150 0001</v>
          </cell>
          <cell r="E408" t="str">
            <v>82111-FE150</v>
          </cell>
          <cell r="F408">
            <v>3251.1</v>
          </cell>
          <cell r="G408">
            <v>0</v>
          </cell>
          <cell r="H408">
            <v>0.23194999999999999</v>
          </cell>
          <cell r="I408">
            <v>0.28115999999999997</v>
          </cell>
          <cell r="J408">
            <v>0.30346166666666663</v>
          </cell>
          <cell r="K408">
            <v>0.61091166666666663</v>
          </cell>
          <cell r="L408">
            <v>1.7057399999999998</v>
          </cell>
          <cell r="M408">
            <v>6.9205000000000003E-2</v>
          </cell>
          <cell r="N408">
            <v>0.17460666666666666</v>
          </cell>
          <cell r="O408">
            <v>0.14848166666666665</v>
          </cell>
          <cell r="P408">
            <v>6.9186666666666674E-2</v>
          </cell>
          <cell r="Q408">
            <v>0.81657166666666658</v>
          </cell>
          <cell r="R408">
            <v>2.7781316666666664</v>
          </cell>
          <cell r="S408">
            <v>3.0056666666666669E-2</v>
          </cell>
          <cell r="T408">
            <v>3.7756666666666668E-2</v>
          </cell>
          <cell r="U408">
            <v>0</v>
          </cell>
          <cell r="V408">
            <v>3.6625166666666664</v>
          </cell>
        </row>
        <row r="409">
          <cell r="D409" t="str">
            <v>82111-FE200 0001</v>
          </cell>
          <cell r="E409" t="str">
            <v>82111-FE200</v>
          </cell>
          <cell r="F409">
            <v>2626.8</v>
          </cell>
          <cell r="G409">
            <v>0</v>
          </cell>
          <cell r="H409">
            <v>0.16186999999999999</v>
          </cell>
          <cell r="I409">
            <v>0.12967166666666669</v>
          </cell>
          <cell r="J409">
            <v>0.15002833333333332</v>
          </cell>
          <cell r="K409">
            <v>0.4713</v>
          </cell>
          <cell r="L409">
            <v>1.3999950000000001</v>
          </cell>
          <cell r="M409">
            <v>6.2491666666666661E-2</v>
          </cell>
          <cell r="N409">
            <v>0.15697999999999998</v>
          </cell>
          <cell r="O409">
            <v>0.12628666666666669</v>
          </cell>
          <cell r="P409">
            <v>4.7841666666666664E-2</v>
          </cell>
          <cell r="Q409">
            <v>0.44157000000000002</v>
          </cell>
          <cell r="R409">
            <v>2.2648950000000001</v>
          </cell>
          <cell r="S409">
            <v>3.6031666666666663E-2</v>
          </cell>
          <cell r="T409">
            <v>4.2001666666666673E-2</v>
          </cell>
          <cell r="U409">
            <v>0</v>
          </cell>
          <cell r="V409">
            <v>2.7844983333333335</v>
          </cell>
        </row>
        <row r="410">
          <cell r="D410" t="str">
            <v>82111-FE210 0001</v>
          </cell>
          <cell r="E410" t="str">
            <v>82111-FE210</v>
          </cell>
          <cell r="F410">
            <v>2677.5</v>
          </cell>
          <cell r="G410">
            <v>0</v>
          </cell>
          <cell r="H410">
            <v>0.17233833333333332</v>
          </cell>
          <cell r="I410">
            <v>0.13213166666666668</v>
          </cell>
          <cell r="J410">
            <v>0.17701500000000001</v>
          </cell>
          <cell r="K410">
            <v>0.48565833333333336</v>
          </cell>
          <cell r="L410">
            <v>1.4603983333333335</v>
          </cell>
          <cell r="M410">
            <v>6.2524999999999997E-2</v>
          </cell>
          <cell r="N410">
            <v>0.15502333333333332</v>
          </cell>
          <cell r="O410">
            <v>0.13861833333333334</v>
          </cell>
          <cell r="P410">
            <v>4.9443333333333332E-2</v>
          </cell>
          <cell r="Q410">
            <v>0.48148500000000005</v>
          </cell>
          <cell r="R410">
            <v>2.351666666666667</v>
          </cell>
          <cell r="S410">
            <v>3.6031666666666663E-2</v>
          </cell>
          <cell r="T410">
            <v>4.2001666666666673E-2</v>
          </cell>
          <cell r="U410">
            <v>0</v>
          </cell>
          <cell r="V410">
            <v>2.9111850000000006</v>
          </cell>
        </row>
        <row r="411">
          <cell r="D411" t="str">
            <v>82111-FE460 0001</v>
          </cell>
          <cell r="E411" t="str">
            <v>82111FE460</v>
          </cell>
          <cell r="F411">
            <v>2662.4</v>
          </cell>
          <cell r="G411">
            <v>0</v>
          </cell>
          <cell r="H411">
            <v>0.16463333333333333</v>
          </cell>
          <cell r="I411">
            <v>0.14230499999999999</v>
          </cell>
          <cell r="J411">
            <v>0.15429000000000001</v>
          </cell>
          <cell r="K411">
            <v>0.47933166666666666</v>
          </cell>
          <cell r="L411">
            <v>1.3992150000000001</v>
          </cell>
          <cell r="M411">
            <v>6.3601666666666667E-2</v>
          </cell>
          <cell r="N411">
            <v>0.15803666666666669</v>
          </cell>
          <cell r="O411">
            <v>0.12656999999999999</v>
          </cell>
          <cell r="P411">
            <v>4.8031666666666667E-2</v>
          </cell>
          <cell r="Q411">
            <v>0.46122833333333335</v>
          </cell>
          <cell r="R411">
            <v>2.274786666666667</v>
          </cell>
          <cell r="S411">
            <v>2.9931666666666669E-2</v>
          </cell>
          <cell r="T411">
            <v>4.2001666666666673E-2</v>
          </cell>
          <cell r="U411">
            <v>0</v>
          </cell>
          <cell r="V411">
            <v>2.8079483333333335</v>
          </cell>
        </row>
        <row r="412">
          <cell r="D412" t="str">
            <v>82111-FE470 0001</v>
          </cell>
          <cell r="E412" t="str">
            <v>82111FE470</v>
          </cell>
          <cell r="F412">
            <v>2713.2</v>
          </cell>
          <cell r="G412">
            <v>0</v>
          </cell>
          <cell r="H412">
            <v>0.17510499999999998</v>
          </cell>
          <cell r="I412">
            <v>0.144765</v>
          </cell>
          <cell r="J412">
            <v>0.18127666666666667</v>
          </cell>
          <cell r="K412">
            <v>0.49173666666666666</v>
          </cell>
          <cell r="L412">
            <v>1.4596383333333334</v>
          </cell>
          <cell r="M412">
            <v>6.3634999999999997E-2</v>
          </cell>
          <cell r="N412">
            <v>0.15608000000000002</v>
          </cell>
          <cell r="O412">
            <v>0.13890166666666665</v>
          </cell>
          <cell r="P412">
            <v>4.9633333333333335E-2</v>
          </cell>
          <cell r="Q412">
            <v>0.50114666666666663</v>
          </cell>
          <cell r="R412">
            <v>2.3596250000000003</v>
          </cell>
          <cell r="S412">
            <v>2.9931666666666669E-2</v>
          </cell>
          <cell r="T412">
            <v>4.2001666666666673E-2</v>
          </cell>
          <cell r="U412">
            <v>0</v>
          </cell>
          <cell r="V412">
            <v>2.9327050000000003</v>
          </cell>
        </row>
        <row r="413">
          <cell r="D413" t="str">
            <v>82111-FEQ60 C 0101</v>
          </cell>
          <cell r="E413" t="str">
            <v>82111FEQ60</v>
          </cell>
          <cell r="F413">
            <v>2946.7</v>
          </cell>
          <cell r="G413">
            <v>0</v>
          </cell>
          <cell r="H413">
            <v>0.16594666666666666</v>
          </cell>
          <cell r="I413">
            <v>0.110405</v>
          </cell>
          <cell r="J413">
            <v>0.19802666666666668</v>
          </cell>
          <cell r="K413">
            <v>0.48776499999999995</v>
          </cell>
          <cell r="L413">
            <v>1.4337766666666667</v>
          </cell>
          <cell r="M413">
            <v>6.3856666666666659E-2</v>
          </cell>
          <cell r="N413">
            <v>0.16166333333333333</v>
          </cell>
          <cell r="O413">
            <v>0.13036666666666666</v>
          </cell>
          <cell r="P413">
            <v>6.1281666666666665E-2</v>
          </cell>
          <cell r="Q413">
            <v>0.47437833333333335</v>
          </cell>
          <cell r="R413">
            <v>2.3387099999999998</v>
          </cell>
          <cell r="S413">
            <v>4.4470000000000003E-2</v>
          </cell>
          <cell r="T413">
            <v>4.6706666666666674E-2</v>
          </cell>
          <cell r="U413">
            <v>0</v>
          </cell>
          <cell r="V413">
            <v>2.9042649999999997</v>
          </cell>
        </row>
        <row r="414">
          <cell r="D414" t="str">
            <v>82111-FET00 A 0101</v>
          </cell>
          <cell r="E414" t="str">
            <v>82111-FET00</v>
          </cell>
          <cell r="F414">
            <v>3248.4</v>
          </cell>
          <cell r="G414">
            <v>0</v>
          </cell>
          <cell r="H414">
            <v>0.23245166666666667</v>
          </cell>
          <cell r="I414">
            <v>0.28115999999999997</v>
          </cell>
          <cell r="J414">
            <v>0.30343999999999999</v>
          </cell>
          <cell r="K414">
            <v>0.60600500000000002</v>
          </cell>
          <cell r="L414">
            <v>1.7341883333333332</v>
          </cell>
          <cell r="M414">
            <v>6.9225000000000009E-2</v>
          </cell>
          <cell r="N414">
            <v>0.17521166666666668</v>
          </cell>
          <cell r="O414">
            <v>0.14879166666666668</v>
          </cell>
          <cell r="P414">
            <v>5.5844999999999999E-2</v>
          </cell>
          <cell r="Q414">
            <v>0.81705166666666651</v>
          </cell>
          <cell r="R414">
            <v>2.7892666666666668</v>
          </cell>
          <cell r="S414">
            <v>3.0056666666666669E-2</v>
          </cell>
          <cell r="T414">
            <v>3.7756666666666668E-2</v>
          </cell>
          <cell r="U414">
            <v>0</v>
          </cell>
          <cell r="V414">
            <v>3.6741316666666668</v>
          </cell>
        </row>
        <row r="415">
          <cell r="D415" t="str">
            <v>82111-FET10 A 0101</v>
          </cell>
          <cell r="E415" t="str">
            <v>82111-FET10</v>
          </cell>
          <cell r="F415">
            <v>3155.1</v>
          </cell>
          <cell r="G415">
            <v>0</v>
          </cell>
          <cell r="H415">
            <v>0.21795166666666665</v>
          </cell>
          <cell r="I415">
            <v>0.25292333333333333</v>
          </cell>
          <cell r="J415">
            <v>0.28882999999999998</v>
          </cell>
          <cell r="K415">
            <v>0.58646333333333334</v>
          </cell>
          <cell r="L415">
            <v>1.5965783333333334</v>
          </cell>
          <cell r="M415">
            <v>6.8699999999999997E-2</v>
          </cell>
          <cell r="N415">
            <v>0.16978499999999999</v>
          </cell>
          <cell r="O415">
            <v>0.14546000000000001</v>
          </cell>
          <cell r="P415">
            <v>6.7964999999999998E-2</v>
          </cell>
          <cell r="Q415">
            <v>0.75970499999999996</v>
          </cell>
          <cell r="R415">
            <v>2.6349516666666672</v>
          </cell>
          <cell r="S415">
            <v>3.0056666666666669E-2</v>
          </cell>
          <cell r="T415">
            <v>3.7756666666666668E-2</v>
          </cell>
          <cell r="U415">
            <v>0</v>
          </cell>
          <cell r="V415">
            <v>3.4624700000000006</v>
          </cell>
        </row>
        <row r="416">
          <cell r="D416" t="str">
            <v>82111-FET20 A 0101</v>
          </cell>
          <cell r="E416" t="str">
            <v>82111-FET20</v>
          </cell>
          <cell r="F416">
            <v>2958.9</v>
          </cell>
          <cell r="G416">
            <v>0</v>
          </cell>
          <cell r="H416">
            <v>0.17452333333333331</v>
          </cell>
          <cell r="I416">
            <v>0.123445</v>
          </cell>
          <cell r="J416">
            <v>0.19562833333333335</v>
          </cell>
          <cell r="K416">
            <v>0.50569333333333333</v>
          </cell>
          <cell r="L416">
            <v>1.415205</v>
          </cell>
          <cell r="M416">
            <v>6.3626666666666665E-2</v>
          </cell>
          <cell r="N416">
            <v>0.16391166666666665</v>
          </cell>
          <cell r="O416">
            <v>0.13181333333333334</v>
          </cell>
          <cell r="P416">
            <v>4.8176666666666666E-2</v>
          </cell>
          <cell r="Q416">
            <v>0.49359666666666663</v>
          </cell>
          <cell r="R416">
            <v>2.3284266666666662</v>
          </cell>
          <cell r="S416">
            <v>3.8523333333333333E-2</v>
          </cell>
          <cell r="T416">
            <v>4.6706666666666674E-2</v>
          </cell>
          <cell r="U416">
            <v>0</v>
          </cell>
          <cell r="V416">
            <v>2.9072533333333328</v>
          </cell>
        </row>
        <row r="417">
          <cell r="D417" t="str">
            <v>82111-FET30 A 0101</v>
          </cell>
          <cell r="E417" t="str">
            <v>82111-FET30</v>
          </cell>
          <cell r="F417">
            <v>2930.1</v>
          </cell>
          <cell r="G417">
            <v>0</v>
          </cell>
          <cell r="H417">
            <v>0.16789999999999999</v>
          </cell>
          <cell r="I417">
            <v>0.12238333333333333</v>
          </cell>
          <cell r="J417">
            <v>0.21335666666666667</v>
          </cell>
          <cell r="K417">
            <v>0.49222833333333332</v>
          </cell>
          <cell r="L417">
            <v>1.4248833333333333</v>
          </cell>
          <cell r="M417">
            <v>6.3771666666666657E-2</v>
          </cell>
          <cell r="N417">
            <v>0.16188166666666665</v>
          </cell>
          <cell r="O417">
            <v>0.13017333333333334</v>
          </cell>
          <cell r="P417">
            <v>4.8798333333333339E-2</v>
          </cell>
          <cell r="Q417">
            <v>0.50363999999999998</v>
          </cell>
          <cell r="R417">
            <v>2.3217366666666668</v>
          </cell>
          <cell r="S417">
            <v>3.8523333333333333E-2</v>
          </cell>
          <cell r="T417">
            <v>4.6706666666666674E-2</v>
          </cell>
          <cell r="U417">
            <v>0</v>
          </cell>
          <cell r="V417">
            <v>2.9106066666666668</v>
          </cell>
        </row>
        <row r="418">
          <cell r="D418" t="str">
            <v>82111-FET40 A 0101</v>
          </cell>
          <cell r="E418" t="str">
            <v>82111-FET40</v>
          </cell>
          <cell r="F418">
            <v>2945</v>
          </cell>
          <cell r="G418">
            <v>0</v>
          </cell>
          <cell r="H418">
            <v>0.16723833333333332</v>
          </cell>
          <cell r="I418">
            <v>0.11552666666666668</v>
          </cell>
          <cell r="J418">
            <v>0.21007166666666668</v>
          </cell>
          <cell r="K418">
            <v>0.48840333333333336</v>
          </cell>
          <cell r="L418">
            <v>1.4261233333333334</v>
          </cell>
          <cell r="M418">
            <v>6.3856666666666659E-2</v>
          </cell>
          <cell r="N418">
            <v>0.16274</v>
          </cell>
          <cell r="O418">
            <v>0.13050166666666665</v>
          </cell>
          <cell r="P418">
            <v>4.910833333333333E-2</v>
          </cell>
          <cell r="Q418">
            <v>0.4928366666666667</v>
          </cell>
          <cell r="R418">
            <v>2.3207333333333331</v>
          </cell>
          <cell r="S418">
            <v>3.8523333333333333E-2</v>
          </cell>
          <cell r="T418">
            <v>4.6706666666666674E-2</v>
          </cell>
          <cell r="U418">
            <v>0</v>
          </cell>
          <cell r="V418">
            <v>2.8988</v>
          </cell>
        </row>
        <row r="419">
          <cell r="D419" t="str">
            <v>82111-KC012 B 0101</v>
          </cell>
          <cell r="E419" t="str">
            <v>82111KC012</v>
          </cell>
          <cell r="F419">
            <v>2726.5</v>
          </cell>
          <cell r="G419">
            <v>0</v>
          </cell>
          <cell r="H419">
            <v>0.176205</v>
          </cell>
          <cell r="I419">
            <v>0.13445000000000001</v>
          </cell>
          <cell r="J419">
            <v>0.16764666666666667</v>
          </cell>
          <cell r="K419">
            <v>0.49694500000000003</v>
          </cell>
          <cell r="L419">
            <v>1.4886916666666667</v>
          </cell>
          <cell r="M419">
            <v>6.2604999999999994E-2</v>
          </cell>
          <cell r="N419">
            <v>0.15592499999999998</v>
          </cell>
          <cell r="O419">
            <v>0.14132</v>
          </cell>
          <cell r="P419">
            <v>4.9703333333333335E-2</v>
          </cell>
          <cell r="Q419">
            <v>0.47830166666666668</v>
          </cell>
          <cell r="R419">
            <v>2.3951899999999999</v>
          </cell>
          <cell r="S419">
            <v>4.1839999999999995E-2</v>
          </cell>
          <cell r="T419">
            <v>4.2001666666666673E-2</v>
          </cell>
          <cell r="U419">
            <v>0</v>
          </cell>
          <cell r="V419">
            <v>2.9573333333333336</v>
          </cell>
        </row>
        <row r="420">
          <cell r="D420" t="str">
            <v>82115-F2390 B 0101</v>
          </cell>
          <cell r="E420" t="str">
            <v>82115-F2390</v>
          </cell>
          <cell r="F420">
            <v>3020</v>
          </cell>
          <cell r="G420">
            <v>0</v>
          </cell>
          <cell r="H420">
            <v>0.18954666666666667</v>
          </cell>
          <cell r="I420">
            <v>0.14792</v>
          </cell>
          <cell r="J420">
            <v>0.21547833333333333</v>
          </cell>
          <cell r="K420">
            <v>0.53073666666666663</v>
          </cell>
          <cell r="L420">
            <v>1.5286283333333333</v>
          </cell>
          <cell r="M420">
            <v>6.3924999999999996E-2</v>
          </cell>
          <cell r="N420">
            <v>0.17076166666666664</v>
          </cell>
          <cell r="O420">
            <v>0.14294999999999999</v>
          </cell>
          <cell r="P420">
            <v>6.4155000000000004E-2</v>
          </cell>
          <cell r="Q420">
            <v>0.55294500000000002</v>
          </cell>
          <cell r="R420">
            <v>2.5011566666666658</v>
          </cell>
          <cell r="S420">
            <v>3.2423333333333339E-2</v>
          </cell>
          <cell r="T420">
            <v>4.6706666666666674E-2</v>
          </cell>
          <cell r="U420">
            <v>0</v>
          </cell>
          <cell r="V420">
            <v>3.1332316666666662</v>
          </cell>
        </row>
        <row r="421">
          <cell r="D421" t="str">
            <v>82116-0ZW70 A 0101</v>
          </cell>
          <cell r="E421" t="str">
            <v>82116-0ZW70</v>
          </cell>
          <cell r="F421">
            <v>3250.5</v>
          </cell>
          <cell r="G421">
            <v>0</v>
          </cell>
          <cell r="H421">
            <v>0.23191166666666665</v>
          </cell>
          <cell r="I421">
            <v>0.28115999999999997</v>
          </cell>
          <cell r="J421">
            <v>0.30339833333333333</v>
          </cell>
          <cell r="K421">
            <v>0.61091166666666663</v>
          </cell>
          <cell r="L421">
            <v>1.7039883333333334</v>
          </cell>
          <cell r="M421">
            <v>6.9190000000000002E-2</v>
          </cell>
          <cell r="N421">
            <v>0.17460166666666668</v>
          </cell>
          <cell r="O421">
            <v>0.14836666666666665</v>
          </cell>
          <cell r="P421">
            <v>6.9808333333333333E-2</v>
          </cell>
          <cell r="Q421">
            <v>0.81646999999999992</v>
          </cell>
          <cell r="R421">
            <v>2.7768666666666668</v>
          </cell>
          <cell r="S421">
            <v>3.0056666666666669E-2</v>
          </cell>
          <cell r="T421">
            <v>3.7756666666666668E-2</v>
          </cell>
          <cell r="U421">
            <v>0</v>
          </cell>
          <cell r="V421">
            <v>3.6611500000000001</v>
          </cell>
        </row>
        <row r="422">
          <cell r="D422" t="str">
            <v>82116-0ZW80 A 0101</v>
          </cell>
          <cell r="E422" t="str">
            <v>82116-0ZW80</v>
          </cell>
          <cell r="F422">
            <v>2675.5</v>
          </cell>
          <cell r="G422">
            <v>0</v>
          </cell>
          <cell r="H422">
            <v>0.172875</v>
          </cell>
          <cell r="I422">
            <v>0.13823166666666667</v>
          </cell>
          <cell r="J422">
            <v>0.17704999999999999</v>
          </cell>
          <cell r="K422">
            <v>0.48075333333333331</v>
          </cell>
          <cell r="L422">
            <v>1.4898683333333334</v>
          </cell>
          <cell r="M422">
            <v>6.2560000000000004E-2</v>
          </cell>
          <cell r="N422">
            <v>0.15563333333333332</v>
          </cell>
          <cell r="O422">
            <v>0.13904333333333332</v>
          </cell>
          <cell r="P422">
            <v>4.9633333333333335E-2</v>
          </cell>
          <cell r="Q422">
            <v>0.48815666666666663</v>
          </cell>
          <cell r="R422">
            <v>2.3774916666666668</v>
          </cell>
          <cell r="S422">
            <v>2.9931666666666669E-2</v>
          </cell>
          <cell r="T422">
            <v>4.2001666666666673E-2</v>
          </cell>
          <cell r="U422">
            <v>0</v>
          </cell>
          <cell r="V422">
            <v>2.937581666666667</v>
          </cell>
        </row>
        <row r="423">
          <cell r="D423" t="str">
            <v>82116-0ZW90 A 0101</v>
          </cell>
          <cell r="E423" t="str">
            <v>82116-0ZW90</v>
          </cell>
          <cell r="F423">
            <v>2559.1999999999998</v>
          </cell>
          <cell r="G423">
            <v>0</v>
          </cell>
          <cell r="H423">
            <v>0.14669333333333334</v>
          </cell>
          <cell r="I423">
            <v>0.11465499999999999</v>
          </cell>
          <cell r="J423">
            <v>0.16080333333333333</v>
          </cell>
          <cell r="K423">
            <v>0.43890666666666667</v>
          </cell>
          <cell r="L423">
            <v>1.3828333333333334</v>
          </cell>
          <cell r="M423">
            <v>6.2431666666666663E-2</v>
          </cell>
          <cell r="N423">
            <v>0.15317500000000001</v>
          </cell>
          <cell r="O423">
            <v>0.12621000000000002</v>
          </cell>
          <cell r="P423">
            <v>4.787333333333333E-2</v>
          </cell>
          <cell r="Q423">
            <v>0.4221516666666667</v>
          </cell>
          <cell r="R423">
            <v>2.21143</v>
          </cell>
          <cell r="S423">
            <v>2.9931666666666669E-2</v>
          </cell>
          <cell r="T423">
            <v>4.2001666666666673E-2</v>
          </cell>
          <cell r="U423">
            <v>0</v>
          </cell>
          <cell r="V423">
            <v>2.7055150000000001</v>
          </cell>
        </row>
        <row r="424">
          <cell r="D424" t="str">
            <v>82116-0ZX70 A 0101</v>
          </cell>
          <cell r="E424" t="str">
            <v>82116-0ZX70</v>
          </cell>
          <cell r="F424">
            <v>3004.7</v>
          </cell>
          <cell r="G424">
            <v>0</v>
          </cell>
          <cell r="H424">
            <v>0.18210000000000001</v>
          </cell>
          <cell r="I424">
            <v>0.12819</v>
          </cell>
          <cell r="J424">
            <v>0.22534833333333332</v>
          </cell>
          <cell r="K424">
            <v>0.51956333333333338</v>
          </cell>
          <cell r="L424">
            <v>1.4393666666666667</v>
          </cell>
          <cell r="M424">
            <v>6.3570000000000002E-2</v>
          </cell>
          <cell r="N424">
            <v>0.16638</v>
          </cell>
          <cell r="O424">
            <v>0.13751833333333333</v>
          </cell>
          <cell r="P424">
            <v>6.2534999999999993E-2</v>
          </cell>
          <cell r="Q424">
            <v>0.53563833333333333</v>
          </cell>
          <cell r="R424">
            <v>2.3889333333333336</v>
          </cell>
          <cell r="S424">
            <v>3.2423333333333339E-2</v>
          </cell>
          <cell r="T424">
            <v>4.6706666666666674E-2</v>
          </cell>
          <cell r="U424">
            <v>0</v>
          </cell>
          <cell r="V424">
            <v>3.0037016666666672</v>
          </cell>
        </row>
        <row r="425">
          <cell r="D425" t="str">
            <v>82116-0ZX80 0021</v>
          </cell>
          <cell r="E425" t="str">
            <v>82116-0ZX80</v>
          </cell>
          <cell r="F425">
            <v>2624.7</v>
          </cell>
          <cell r="G425">
            <v>0</v>
          </cell>
          <cell r="H425">
            <v>0.16240833333333335</v>
          </cell>
          <cell r="I425">
            <v>0.13577166666666668</v>
          </cell>
          <cell r="J425">
            <v>0.15006333333333333</v>
          </cell>
          <cell r="K425">
            <v>0.466395</v>
          </cell>
          <cell r="L425">
            <v>1.4300333333333335</v>
          </cell>
          <cell r="M425">
            <v>6.2526666666666661E-2</v>
          </cell>
          <cell r="N425">
            <v>0.15758999999999998</v>
          </cell>
          <cell r="O425">
            <v>0.12671166666666667</v>
          </cell>
          <cell r="P425">
            <v>4.8031666666666667E-2</v>
          </cell>
          <cell r="Q425">
            <v>0.44824333333333333</v>
          </cell>
          <cell r="R425">
            <v>2.2912883333333336</v>
          </cell>
          <cell r="S425">
            <v>2.9931666666666669E-2</v>
          </cell>
          <cell r="T425">
            <v>4.2001666666666673E-2</v>
          </cell>
          <cell r="U425">
            <v>0</v>
          </cell>
          <cell r="V425">
            <v>2.8114650000000005</v>
          </cell>
        </row>
        <row r="426">
          <cell r="D426" t="str">
            <v>82116-0ZX90 A 0101</v>
          </cell>
          <cell r="E426" t="str">
            <v>82116-0ZX90</v>
          </cell>
          <cell r="F426">
            <v>2595.1</v>
          </cell>
          <cell r="G426">
            <v>0</v>
          </cell>
          <cell r="H426">
            <v>0.15403500000000001</v>
          </cell>
          <cell r="I426">
            <v>0.11571666666666666</v>
          </cell>
          <cell r="J426">
            <v>0.14306833333333333</v>
          </cell>
          <cell r="K426">
            <v>0.45611333333333337</v>
          </cell>
          <cell r="L426">
            <v>1.3735133333333331</v>
          </cell>
          <cell r="M426">
            <v>6.2286666666666671E-2</v>
          </cell>
          <cell r="N426">
            <v>0.15528500000000001</v>
          </cell>
          <cell r="O426">
            <v>0.12784999999999999</v>
          </cell>
          <cell r="P426">
            <v>4.7251666666666671E-2</v>
          </cell>
          <cell r="Q426">
            <v>0.41281999999999996</v>
          </cell>
          <cell r="R426">
            <v>2.2222999999999997</v>
          </cell>
          <cell r="S426">
            <v>2.9931666666666669E-2</v>
          </cell>
          <cell r="T426">
            <v>4.2001666666666673E-2</v>
          </cell>
          <cell r="U426">
            <v>0</v>
          </cell>
          <cell r="V426">
            <v>2.7070533333333331</v>
          </cell>
        </row>
        <row r="427">
          <cell r="D427" t="str">
            <v>82116-0ZY00 A 0101</v>
          </cell>
          <cell r="E427" t="str">
            <v>82116-0ZY00</v>
          </cell>
          <cell r="F427">
            <v>2981.7</v>
          </cell>
          <cell r="G427">
            <v>0</v>
          </cell>
          <cell r="H427">
            <v>0.17460666666666666</v>
          </cell>
          <cell r="I427">
            <v>0.11658833333333334</v>
          </cell>
          <cell r="J427">
            <v>0.19234333333333334</v>
          </cell>
          <cell r="K427">
            <v>0.50365666666666664</v>
          </cell>
          <cell r="L427">
            <v>1.4167183333333333</v>
          </cell>
          <cell r="M427">
            <v>6.3716666666666671E-2</v>
          </cell>
          <cell r="N427">
            <v>0.16485166666666667</v>
          </cell>
          <cell r="O427">
            <v>0.13214500000000001</v>
          </cell>
          <cell r="P427">
            <v>6.1943333333333336E-2</v>
          </cell>
          <cell r="Q427">
            <v>0.48353833333333329</v>
          </cell>
          <cell r="R427">
            <v>2.3430316666666666</v>
          </cell>
          <cell r="S427">
            <v>3.8523333333333333E-2</v>
          </cell>
          <cell r="T427">
            <v>4.6706666666666674E-2</v>
          </cell>
          <cell r="U427">
            <v>0</v>
          </cell>
          <cell r="V427">
            <v>2.9117999999999999</v>
          </cell>
        </row>
        <row r="428">
          <cell r="D428" t="str">
            <v>82116-0ZY10 A 0101</v>
          </cell>
          <cell r="E428" t="str">
            <v>82116-0ZY10</v>
          </cell>
          <cell r="F428">
            <v>3068</v>
          </cell>
          <cell r="G428">
            <v>0</v>
          </cell>
          <cell r="H428">
            <v>0.20702000000000001</v>
          </cell>
          <cell r="I428">
            <v>0.24881999999999999</v>
          </cell>
          <cell r="J428">
            <v>0.25528000000000001</v>
          </cell>
          <cell r="K428">
            <v>0.564975</v>
          </cell>
          <cell r="L428">
            <v>1.5745916666666666</v>
          </cell>
          <cell r="M428">
            <v>6.8475000000000008E-2</v>
          </cell>
          <cell r="N428">
            <v>0.16688500000000001</v>
          </cell>
          <cell r="O428">
            <v>0.13990166666666667</v>
          </cell>
          <cell r="P428">
            <v>6.7246666666666663E-2</v>
          </cell>
          <cell r="Q428">
            <v>0.71111999999999997</v>
          </cell>
          <cell r="R428">
            <v>2.5820750000000001</v>
          </cell>
          <cell r="S428">
            <v>3.0056666666666669E-2</v>
          </cell>
          <cell r="T428">
            <v>3.7756666666666668E-2</v>
          </cell>
          <cell r="U428">
            <v>0</v>
          </cell>
          <cell r="V428">
            <v>3.3610083333333334</v>
          </cell>
        </row>
        <row r="429">
          <cell r="D429" t="str">
            <v>82116-0E090 0141</v>
          </cell>
          <cell r="E429" t="str">
            <v>82116-0E090</v>
          </cell>
          <cell r="F429">
            <v>4207.6000000000004</v>
          </cell>
          <cell r="G429">
            <v>471.99309999999997</v>
          </cell>
          <cell r="H429">
            <v>0.35491166666666663</v>
          </cell>
          <cell r="I429">
            <v>0.77903500000000003</v>
          </cell>
          <cell r="J429">
            <v>0.21127166666666666</v>
          </cell>
          <cell r="K429">
            <v>1.014845</v>
          </cell>
          <cell r="L429">
            <v>2.3377283333333332</v>
          </cell>
          <cell r="M429">
            <v>6.561666666666667E-2</v>
          </cell>
          <cell r="N429">
            <v>0.25882666666666665</v>
          </cell>
          <cell r="O429">
            <v>0.32592499999999996</v>
          </cell>
          <cell r="P429">
            <v>0.13295333333333334</v>
          </cell>
          <cell r="Q429">
            <v>1.3452183333333334</v>
          </cell>
          <cell r="R429">
            <v>4.1358949999999997</v>
          </cell>
          <cell r="S429">
            <v>0</v>
          </cell>
          <cell r="T429">
            <v>3.0893333333333328E-2</v>
          </cell>
          <cell r="U429">
            <v>0.47013999999999995</v>
          </cell>
          <cell r="V429">
            <v>5.9821466666666661</v>
          </cell>
        </row>
        <row r="430">
          <cell r="D430" t="str">
            <v>82116-0E100 0141</v>
          </cell>
          <cell r="E430" t="str">
            <v>82116-0E100</v>
          </cell>
          <cell r="F430">
            <v>4184.3999999999996</v>
          </cell>
          <cell r="G430">
            <v>471.99309999999997</v>
          </cell>
          <cell r="H430">
            <v>0.35296333333333335</v>
          </cell>
          <cell r="I430">
            <v>0.76993333333333325</v>
          </cell>
          <cell r="J430">
            <v>0.21127166666666666</v>
          </cell>
          <cell r="K430">
            <v>1.0190183333333334</v>
          </cell>
          <cell r="L430">
            <v>2.33528</v>
          </cell>
          <cell r="M430">
            <v>6.561666666666667E-2</v>
          </cell>
          <cell r="N430">
            <v>0.25874666666666668</v>
          </cell>
          <cell r="O430">
            <v>0.32592499999999996</v>
          </cell>
          <cell r="P430">
            <v>0.13295333333333334</v>
          </cell>
          <cell r="Q430">
            <v>1.3341683333333334</v>
          </cell>
          <cell r="R430">
            <v>4.1375399999999996</v>
          </cell>
          <cell r="S430">
            <v>0</v>
          </cell>
          <cell r="T430">
            <v>3.0893333333333328E-2</v>
          </cell>
          <cell r="U430">
            <v>0.47013999999999995</v>
          </cell>
          <cell r="V430">
            <v>5.9727416666666659</v>
          </cell>
        </row>
        <row r="431">
          <cell r="D431" t="str">
            <v>82116-0E110 0141</v>
          </cell>
          <cell r="E431" t="str">
            <v>82116-0E110</v>
          </cell>
          <cell r="F431">
            <v>3946.4</v>
          </cell>
          <cell r="G431">
            <v>453.84359999999998</v>
          </cell>
          <cell r="H431">
            <v>0.34136666666666665</v>
          </cell>
          <cell r="I431">
            <v>0.75783833333333339</v>
          </cell>
          <cell r="J431">
            <v>0.21005500000000002</v>
          </cell>
          <cell r="K431">
            <v>0.95931333333333335</v>
          </cell>
          <cell r="L431">
            <v>2.3187716666666662</v>
          </cell>
          <cell r="M431">
            <v>6.4841666666666659E-2</v>
          </cell>
          <cell r="N431">
            <v>0.25814666666666664</v>
          </cell>
          <cell r="O431">
            <v>0.32882</v>
          </cell>
          <cell r="P431">
            <v>0.13392666666666667</v>
          </cell>
          <cell r="Q431">
            <v>1.3092600000000001</v>
          </cell>
          <cell r="R431">
            <v>4.0638199999999998</v>
          </cell>
          <cell r="S431">
            <v>0</v>
          </cell>
          <cell r="T431">
            <v>3.0893333333333328E-2</v>
          </cell>
          <cell r="U431">
            <v>0.50241333333333327</v>
          </cell>
          <cell r="V431">
            <v>5.9063866666666662</v>
          </cell>
        </row>
        <row r="432">
          <cell r="D432" t="str">
            <v>82116-0E120 0141</v>
          </cell>
          <cell r="E432" t="str">
            <v>82116-0E120</v>
          </cell>
          <cell r="F432">
            <v>3923.2</v>
          </cell>
          <cell r="G432">
            <v>453.84359999999998</v>
          </cell>
          <cell r="H432">
            <v>0.33942</v>
          </cell>
          <cell r="I432">
            <v>0.74873666666666661</v>
          </cell>
          <cell r="J432">
            <v>0.21005500000000002</v>
          </cell>
          <cell r="K432">
            <v>0.96543999999999996</v>
          </cell>
          <cell r="L432">
            <v>2.3163233333333335</v>
          </cell>
          <cell r="M432">
            <v>6.4841666666666659E-2</v>
          </cell>
          <cell r="N432">
            <v>0.25806666666666667</v>
          </cell>
          <cell r="O432">
            <v>0.32882</v>
          </cell>
          <cell r="P432">
            <v>0.13392666666666667</v>
          </cell>
          <cell r="Q432">
            <v>1.2982116666666668</v>
          </cell>
          <cell r="R432">
            <v>4.0674183333333334</v>
          </cell>
          <cell r="S432">
            <v>0</v>
          </cell>
          <cell r="T432">
            <v>3.0893333333333328E-2</v>
          </cell>
          <cell r="U432">
            <v>0.50241333333333327</v>
          </cell>
          <cell r="V432">
            <v>5.8989366666666667</v>
          </cell>
        </row>
        <row r="433">
          <cell r="D433" t="str">
            <v>82115-0E221 B 1301</v>
          </cell>
          <cell r="E433" t="str">
            <v>82115-0E221</v>
          </cell>
          <cell r="F433">
            <v>3698.8</v>
          </cell>
          <cell r="G433">
            <v>455.27350000000001</v>
          </cell>
          <cell r="H433">
            <v>0.275615</v>
          </cell>
          <cell r="I433">
            <v>0.45624333333333333</v>
          </cell>
          <cell r="J433">
            <v>0.10049666666666666</v>
          </cell>
          <cell r="K433">
            <v>0.78088000000000002</v>
          </cell>
          <cell r="L433">
            <v>2.1106433333333334</v>
          </cell>
          <cell r="M433">
            <v>6.030166666666667E-2</v>
          </cell>
          <cell r="N433">
            <v>0.23228666666666667</v>
          </cell>
          <cell r="O433">
            <v>0.29524166666666668</v>
          </cell>
          <cell r="P433">
            <v>0.13128500000000001</v>
          </cell>
          <cell r="Q433">
            <v>0.83235499999999996</v>
          </cell>
          <cell r="R433">
            <v>3.6106383333333336</v>
          </cell>
          <cell r="S433">
            <v>0</v>
          </cell>
          <cell r="T433">
            <v>4.7293333333333333E-2</v>
          </cell>
          <cell r="U433">
            <v>0.45591999999999999</v>
          </cell>
          <cell r="V433">
            <v>4.9462066666666669</v>
          </cell>
        </row>
        <row r="434">
          <cell r="D434" t="str">
            <v>82111-0EZ80 0101</v>
          </cell>
          <cell r="E434" t="str">
            <v>82111-0EZ80</v>
          </cell>
          <cell r="F434">
            <v>3698.8</v>
          </cell>
          <cell r="G434">
            <v>452.6189</v>
          </cell>
          <cell r="H434">
            <v>0.27494666666666667</v>
          </cell>
          <cell r="I434">
            <v>0.45112000000000002</v>
          </cell>
          <cell r="J434">
            <v>0.10049666666666666</v>
          </cell>
          <cell r="K434">
            <v>0.7849516666666666</v>
          </cell>
          <cell r="L434">
            <v>2.10948</v>
          </cell>
          <cell r="M434">
            <v>6.030166666666667E-2</v>
          </cell>
          <cell r="N434">
            <v>0.23220666666666664</v>
          </cell>
          <cell r="O434">
            <v>0.29524166666666668</v>
          </cell>
          <cell r="P434">
            <v>0.13128500000000001</v>
          </cell>
          <cell r="Q434">
            <v>0.82656333333333332</v>
          </cell>
          <cell r="R434">
            <v>3.6134666666666666</v>
          </cell>
          <cell r="S434">
            <v>0</v>
          </cell>
          <cell r="T434">
            <v>4.2983333333333332E-2</v>
          </cell>
          <cell r="U434">
            <v>0.45591999999999999</v>
          </cell>
          <cell r="V434">
            <v>4.938933333333333</v>
          </cell>
        </row>
        <row r="435">
          <cell r="D435" t="str">
            <v>82111-F2E21 0121</v>
          </cell>
          <cell r="E435" t="str">
            <v>82111F2E21</v>
          </cell>
          <cell r="F435">
            <v>2830.2614999999996</v>
          </cell>
          <cell r="G435">
            <v>0</v>
          </cell>
          <cell r="H435">
            <v>0.16896999999999998</v>
          </cell>
          <cell r="I435">
            <v>9.594833333333333E-2</v>
          </cell>
          <cell r="J435">
            <v>8.3926666666666663E-2</v>
          </cell>
          <cell r="K435">
            <v>0.47551833333333332</v>
          </cell>
          <cell r="L435">
            <v>1.3875966666666666</v>
          </cell>
          <cell r="M435">
            <v>6.2715000000000007E-2</v>
          </cell>
          <cell r="N435">
            <v>0.14802333333333331</v>
          </cell>
          <cell r="O435">
            <v>0.12192500000000001</v>
          </cell>
          <cell r="P435">
            <v>0.17413500000000001</v>
          </cell>
          <cell r="Q435">
            <v>0.34884499999999996</v>
          </cell>
          <cell r="R435">
            <v>2.3699133333333333</v>
          </cell>
          <cell r="S435">
            <v>4.1791666666666664E-2</v>
          </cell>
          <cell r="T435">
            <v>4.2001666666666673E-2</v>
          </cell>
          <cell r="U435">
            <v>0</v>
          </cell>
          <cell r="V435">
            <v>2.8025516666666666</v>
          </cell>
        </row>
        <row r="436">
          <cell r="D436" t="str">
            <v>82115-0E310 B 1001</v>
          </cell>
          <cell r="E436" t="str">
            <v>82115-0E310 B</v>
          </cell>
          <cell r="F436">
            <v>3758.5</v>
          </cell>
          <cell r="G436">
            <v>440.48450000000003</v>
          </cell>
          <cell r="H436">
            <v>0.27169666666666664</v>
          </cell>
          <cell r="I436">
            <v>0.42203166666666664</v>
          </cell>
          <cell r="J436">
            <v>9.5118333333333333E-2</v>
          </cell>
          <cell r="K436">
            <v>0.78482666666666667</v>
          </cell>
          <cell r="L436">
            <v>2.0061883333333332</v>
          </cell>
          <cell r="M436">
            <v>5.407E-2</v>
          </cell>
          <cell r="N436">
            <v>0.24104500000000001</v>
          </cell>
          <cell r="O436">
            <v>0.27606333333333333</v>
          </cell>
          <cell r="P436">
            <v>0.14019499999999999</v>
          </cell>
          <cell r="Q436">
            <v>0.78884666666666658</v>
          </cell>
          <cell r="R436">
            <v>3.5023883333333328</v>
          </cell>
          <cell r="S436">
            <v>0</v>
          </cell>
          <cell r="T436">
            <v>4.7335000000000002E-2</v>
          </cell>
          <cell r="U436">
            <v>0.4010016666666667</v>
          </cell>
          <cell r="V436">
            <v>4.7395716666666665</v>
          </cell>
        </row>
        <row r="437">
          <cell r="D437" t="str">
            <v>82115-0E391 B 1301</v>
          </cell>
          <cell r="E437" t="str">
            <v>82115-0E391</v>
          </cell>
          <cell r="F437">
            <v>4082.4</v>
          </cell>
          <cell r="G437">
            <v>498.13220000000001</v>
          </cell>
          <cell r="H437">
            <v>0.30907999999999997</v>
          </cell>
          <cell r="I437">
            <v>0.52524833333333332</v>
          </cell>
          <cell r="J437">
            <v>0.12706500000000001</v>
          </cell>
          <cell r="K437">
            <v>0.90938000000000008</v>
          </cell>
          <cell r="L437">
            <v>2.2409166666666667</v>
          </cell>
          <cell r="M437">
            <v>6.362166666666666E-2</v>
          </cell>
          <cell r="N437">
            <v>0.24558666666666668</v>
          </cell>
          <cell r="O437">
            <v>0.311</v>
          </cell>
          <cell r="P437">
            <v>0.132135</v>
          </cell>
          <cell r="Q437">
            <v>0.96139333333333332</v>
          </cell>
          <cell r="R437">
            <v>3.9026399999999999</v>
          </cell>
          <cell r="S437">
            <v>0</v>
          </cell>
          <cell r="T437">
            <v>4.7293333333333333E-2</v>
          </cell>
          <cell r="U437">
            <v>0.45014666666666669</v>
          </cell>
          <cell r="V437">
            <v>5.3614733333333335</v>
          </cell>
        </row>
        <row r="438">
          <cell r="D438" t="str">
            <v>82115-0E440 K 0001</v>
          </cell>
          <cell r="E438" t="str">
            <v>82115-0E440.</v>
          </cell>
          <cell r="F438">
            <v>3479.4</v>
          </cell>
          <cell r="G438">
            <v>370.84039999999999</v>
          </cell>
          <cell r="H438">
            <v>0.23877333333333334</v>
          </cell>
          <cell r="I438">
            <v>0.32644000000000001</v>
          </cell>
          <cell r="J438">
            <v>9.2078333333333331E-2</v>
          </cell>
          <cell r="K438">
            <v>0.67444666666666664</v>
          </cell>
          <cell r="L438">
            <v>1.9213466666666668</v>
          </cell>
          <cell r="M438">
            <v>5.3585000000000001E-2</v>
          </cell>
          <cell r="N438">
            <v>0.22206833333333334</v>
          </cell>
          <cell r="O438">
            <v>0.25800166666666668</v>
          </cell>
          <cell r="P438">
            <v>0.13700000000000001</v>
          </cell>
          <cell r="Q438">
            <v>0.65729166666666672</v>
          </cell>
          <cell r="R438">
            <v>3.2664483333333334</v>
          </cell>
          <cell r="S438">
            <v>0</v>
          </cell>
          <cell r="T438">
            <v>4.7335000000000002E-2</v>
          </cell>
          <cell r="U438">
            <v>0.41713833333333333</v>
          </cell>
          <cell r="V438">
            <v>4.3882133333333329</v>
          </cell>
        </row>
        <row r="439">
          <cell r="D439" t="str">
            <v>82115-0E450 K 0001</v>
          </cell>
          <cell r="E439" t="str">
            <v>82115-0E450.</v>
          </cell>
          <cell r="F439">
            <v>3479.4</v>
          </cell>
          <cell r="G439">
            <v>370.84039999999999</v>
          </cell>
          <cell r="H439">
            <v>0.23877333333333334</v>
          </cell>
          <cell r="I439">
            <v>0.32644000000000001</v>
          </cell>
          <cell r="J439">
            <v>9.2078333333333331E-2</v>
          </cell>
          <cell r="K439">
            <v>0.6666333333333333</v>
          </cell>
          <cell r="L439">
            <v>1.9213466666666668</v>
          </cell>
          <cell r="M439">
            <v>5.3585000000000001E-2</v>
          </cell>
          <cell r="N439">
            <v>0.22206833333333334</v>
          </cell>
          <cell r="O439">
            <v>0.25800166666666668</v>
          </cell>
          <cell r="P439">
            <v>0.13700000000000001</v>
          </cell>
          <cell r="Q439">
            <v>0.65729166666666672</v>
          </cell>
          <cell r="R439">
            <v>3.2586350000000004</v>
          </cell>
          <cell r="S439">
            <v>0</v>
          </cell>
          <cell r="T439">
            <v>4.7335000000000002E-2</v>
          </cell>
          <cell r="U439">
            <v>0.41713833333333333</v>
          </cell>
          <cell r="V439">
            <v>4.3803999999999998</v>
          </cell>
        </row>
        <row r="440">
          <cell r="D440" t="str">
            <v>82115-0E460 K 0001</v>
          </cell>
          <cell r="E440" t="str">
            <v>82115-0E460.</v>
          </cell>
          <cell r="F440">
            <v>3792.2</v>
          </cell>
          <cell r="G440">
            <v>371.93279999999999</v>
          </cell>
          <cell r="H440">
            <v>0.26194166666666668</v>
          </cell>
          <cell r="I440">
            <v>0.37051666666666672</v>
          </cell>
          <cell r="J440">
            <v>9.3776666666666661E-2</v>
          </cell>
          <cell r="K440">
            <v>0.75277499999999997</v>
          </cell>
          <cell r="L440">
            <v>1.9706083333333335</v>
          </cell>
          <cell r="M440">
            <v>5.4904999999999995E-2</v>
          </cell>
          <cell r="N440">
            <v>0.23415833333333333</v>
          </cell>
          <cell r="O440">
            <v>0.26227833333333334</v>
          </cell>
          <cell r="P440">
            <v>0.13784333333333335</v>
          </cell>
          <cell r="Q440">
            <v>0.72623499999999996</v>
          </cell>
          <cell r="R440">
            <v>3.4125683333333336</v>
          </cell>
          <cell r="S440">
            <v>0</v>
          </cell>
          <cell r="T440">
            <v>4.7335000000000002E-2</v>
          </cell>
          <cell r="U440">
            <v>0.40762666666666669</v>
          </cell>
          <cell r="V440">
            <v>4.5937650000000003</v>
          </cell>
        </row>
        <row r="441">
          <cell r="D441" t="str">
            <v>82115-0E490 J 1101</v>
          </cell>
          <cell r="E441" t="str">
            <v>82115-0E490 J</v>
          </cell>
          <cell r="F441">
            <v>4136</v>
          </cell>
          <cell r="G441">
            <v>431.16309999999999</v>
          </cell>
          <cell r="H441">
            <v>0.31593166666666667</v>
          </cell>
          <cell r="I441">
            <v>0.61169833333333334</v>
          </cell>
          <cell r="J441">
            <v>0.21371833333333334</v>
          </cell>
          <cell r="K441">
            <v>0.88355666666666666</v>
          </cell>
          <cell r="L441">
            <v>2.0318766666666668</v>
          </cell>
          <cell r="M441">
            <v>6.1760000000000002E-2</v>
          </cell>
          <cell r="N441">
            <v>0.26568333333333333</v>
          </cell>
          <cell r="O441">
            <v>0.28845999999999999</v>
          </cell>
          <cell r="P441">
            <v>0.137045</v>
          </cell>
          <cell r="Q441">
            <v>1.1413483333333332</v>
          </cell>
          <cell r="R441">
            <v>3.6683816666666673</v>
          </cell>
          <cell r="S441">
            <v>0</v>
          </cell>
          <cell r="T441">
            <v>5.0220000000000001E-2</v>
          </cell>
          <cell r="U441">
            <v>0.48528666666666664</v>
          </cell>
          <cell r="V441">
            <v>5.3452366666666666</v>
          </cell>
        </row>
        <row r="442">
          <cell r="D442" t="str">
            <v>82115-0E501 B 1001</v>
          </cell>
          <cell r="E442" t="str">
            <v>82115-0E501 B</v>
          </cell>
          <cell r="F442">
            <v>3637.1</v>
          </cell>
          <cell r="G442">
            <v>418.25699999999995</v>
          </cell>
          <cell r="H442">
            <v>0.25735333333333332</v>
          </cell>
          <cell r="I442">
            <v>0.40625</v>
          </cell>
          <cell r="J442">
            <v>9.023500000000001E-2</v>
          </cell>
          <cell r="K442">
            <v>0.73140000000000005</v>
          </cell>
          <cell r="L442">
            <v>1.9498916666666666</v>
          </cell>
          <cell r="M442">
            <v>5.3629999999999997E-2</v>
          </cell>
          <cell r="N442">
            <v>0.23074666666666666</v>
          </cell>
          <cell r="O442">
            <v>0.27126333333333336</v>
          </cell>
          <cell r="P442">
            <v>0.13861833333333334</v>
          </cell>
          <cell r="Q442">
            <v>0.75383833333333339</v>
          </cell>
          <cell r="R442">
            <v>3.3755500000000001</v>
          </cell>
          <cell r="S442">
            <v>0</v>
          </cell>
          <cell r="T442">
            <v>4.7335000000000002E-2</v>
          </cell>
          <cell r="U442">
            <v>0.4010016666666667</v>
          </cell>
          <cell r="V442">
            <v>4.577725</v>
          </cell>
        </row>
        <row r="443">
          <cell r="D443" t="str">
            <v>82115-0E511 B 1001</v>
          </cell>
          <cell r="E443" t="str">
            <v>82115-0E511 B</v>
          </cell>
          <cell r="F443">
            <v>3706</v>
          </cell>
          <cell r="G443">
            <v>418.25699999999995</v>
          </cell>
          <cell r="H443">
            <v>0.26230833333333331</v>
          </cell>
          <cell r="I443">
            <v>0.41749833333333336</v>
          </cell>
          <cell r="J443">
            <v>9.5118333333333333E-2</v>
          </cell>
          <cell r="K443">
            <v>0.75100833333333328</v>
          </cell>
          <cell r="L443">
            <v>1.9720283333333335</v>
          </cell>
          <cell r="M443">
            <v>5.3874999999999999E-2</v>
          </cell>
          <cell r="N443">
            <v>0.23671666666666666</v>
          </cell>
          <cell r="O443">
            <v>0.272845</v>
          </cell>
          <cell r="P443">
            <v>0.13945833333333332</v>
          </cell>
          <cell r="Q443">
            <v>0.77492499999999997</v>
          </cell>
          <cell r="R443">
            <v>3.4259316666666666</v>
          </cell>
          <cell r="S443">
            <v>0</v>
          </cell>
          <cell r="T443">
            <v>4.7335000000000002E-2</v>
          </cell>
          <cell r="U443">
            <v>0.4010016666666667</v>
          </cell>
          <cell r="V443">
            <v>4.6491933333333337</v>
          </cell>
        </row>
        <row r="444">
          <cell r="D444" t="str">
            <v>82115-0E521 B 1001</v>
          </cell>
          <cell r="E444" t="str">
            <v>82115-0E521 B</v>
          </cell>
          <cell r="F444">
            <v>3732.7</v>
          </cell>
          <cell r="G444">
            <v>432.73820000000001</v>
          </cell>
          <cell r="H444">
            <v>0.27192500000000003</v>
          </cell>
          <cell r="I444">
            <v>0.44123499999999999</v>
          </cell>
          <cell r="J444">
            <v>0.11198666666666666</v>
          </cell>
          <cell r="K444">
            <v>0.76719499999999996</v>
          </cell>
          <cell r="L444">
            <v>2.0220700000000003</v>
          </cell>
          <cell r="M444">
            <v>5.4100000000000002E-2</v>
          </cell>
          <cell r="N444">
            <v>0.23862166666666665</v>
          </cell>
          <cell r="O444">
            <v>0.27427666666666667</v>
          </cell>
          <cell r="P444">
            <v>0.14035833333333333</v>
          </cell>
          <cell r="Q444">
            <v>0.82514666666666669</v>
          </cell>
          <cell r="R444">
            <v>3.496621666666667</v>
          </cell>
          <cell r="S444">
            <v>0</v>
          </cell>
          <cell r="T444">
            <v>4.7335000000000002E-2</v>
          </cell>
          <cell r="U444">
            <v>0.42750166666666667</v>
          </cell>
          <cell r="V444">
            <v>4.7966050000000013</v>
          </cell>
        </row>
        <row r="445">
          <cell r="D445" t="str">
            <v>82115-0E531 B 1001</v>
          </cell>
          <cell r="E445" t="str">
            <v>82115-0E531 B</v>
          </cell>
          <cell r="F445">
            <v>3921.9</v>
          </cell>
          <cell r="G445">
            <v>432.73820000000001</v>
          </cell>
          <cell r="H445">
            <v>0.28389333333333333</v>
          </cell>
          <cell r="I445">
            <v>0.47818499999999997</v>
          </cell>
          <cell r="J445">
            <v>0.11198666666666666</v>
          </cell>
          <cell r="K445">
            <v>0.79365166666666676</v>
          </cell>
          <cell r="L445">
            <v>2.0425650000000002</v>
          </cell>
          <cell r="M445">
            <v>5.4100000000000002E-2</v>
          </cell>
          <cell r="N445">
            <v>0.23942166666666667</v>
          </cell>
          <cell r="O445">
            <v>0.27427666666666667</v>
          </cell>
          <cell r="P445">
            <v>0.14035833333333333</v>
          </cell>
          <cell r="Q445">
            <v>0.87406499999999998</v>
          </cell>
          <cell r="R445">
            <v>3.544373333333334</v>
          </cell>
          <cell r="S445">
            <v>0</v>
          </cell>
          <cell r="T445">
            <v>4.7335000000000002E-2</v>
          </cell>
          <cell r="U445">
            <v>0.42750166666666667</v>
          </cell>
          <cell r="V445">
            <v>4.8932750000000009</v>
          </cell>
        </row>
        <row r="446">
          <cell r="D446" t="str">
            <v>82115-0E541 B 1001</v>
          </cell>
          <cell r="E446" t="str">
            <v>82115-0E541 B</v>
          </cell>
          <cell r="F446">
            <v>3913.4</v>
          </cell>
          <cell r="G446">
            <v>439.10900000000004</v>
          </cell>
          <cell r="H446">
            <v>0.2752</v>
          </cell>
          <cell r="I446">
            <v>0.44034999999999996</v>
          </cell>
          <cell r="J446">
            <v>0.10135999999999999</v>
          </cell>
          <cell r="K446">
            <v>0.82038166666666668</v>
          </cell>
          <cell r="L446">
            <v>2.0592350000000001</v>
          </cell>
          <cell r="M446">
            <v>5.4100000000000002E-2</v>
          </cell>
          <cell r="N446">
            <v>0.23942333333333332</v>
          </cell>
          <cell r="O446">
            <v>0.27206833333333336</v>
          </cell>
          <cell r="P446">
            <v>0.14053000000000002</v>
          </cell>
          <cell r="Q446">
            <v>0.81690999999999991</v>
          </cell>
          <cell r="R446">
            <v>3.5857383333333335</v>
          </cell>
          <cell r="S446">
            <v>0</v>
          </cell>
          <cell r="T446">
            <v>4.7335000000000002E-2</v>
          </cell>
          <cell r="U446">
            <v>0.37196166666666669</v>
          </cell>
          <cell r="V446">
            <v>4.8219450000000004</v>
          </cell>
        </row>
        <row r="447">
          <cell r="D447" t="str">
            <v>82115-0E551 B 1001</v>
          </cell>
          <cell r="E447" t="str">
            <v>82115-0E551 B</v>
          </cell>
          <cell r="F447">
            <v>3940.1</v>
          </cell>
          <cell r="G447">
            <v>453.59019999999998</v>
          </cell>
          <cell r="H447">
            <v>0.28481499999999998</v>
          </cell>
          <cell r="I447">
            <v>0.46408666666666665</v>
          </cell>
          <cell r="J447">
            <v>0.11822833333333334</v>
          </cell>
          <cell r="K447">
            <v>0.84242833333333322</v>
          </cell>
          <cell r="L447">
            <v>2.1096066666666666</v>
          </cell>
          <cell r="M447">
            <v>5.4324999999999998E-2</v>
          </cell>
          <cell r="N447">
            <v>0.24132833333333331</v>
          </cell>
          <cell r="O447">
            <v>0.27350000000000002</v>
          </cell>
          <cell r="P447">
            <v>0.14143</v>
          </cell>
          <cell r="Q447">
            <v>0.86712999999999996</v>
          </cell>
          <cell r="R447">
            <v>3.6626183333333331</v>
          </cell>
          <cell r="S447">
            <v>0</v>
          </cell>
          <cell r="T447">
            <v>4.7335000000000002E-2</v>
          </cell>
          <cell r="U447">
            <v>0.39846166666666671</v>
          </cell>
          <cell r="V447">
            <v>4.9755450000000003</v>
          </cell>
        </row>
        <row r="448">
          <cell r="D448" t="str">
            <v>82115-0E561 B 1001</v>
          </cell>
          <cell r="E448" t="str">
            <v>82115-0E561 B</v>
          </cell>
          <cell r="F448">
            <v>4129.3</v>
          </cell>
          <cell r="G448">
            <v>453.59019999999998</v>
          </cell>
          <cell r="H448">
            <v>0.29678333333333329</v>
          </cell>
          <cell r="I448">
            <v>0.50103666666666669</v>
          </cell>
          <cell r="J448">
            <v>0.11822833333333334</v>
          </cell>
          <cell r="K448">
            <v>0.85325833333333334</v>
          </cell>
          <cell r="L448">
            <v>2.1301033333333335</v>
          </cell>
          <cell r="M448">
            <v>5.4324999999999998E-2</v>
          </cell>
          <cell r="N448">
            <v>0.24212833333333333</v>
          </cell>
          <cell r="O448">
            <v>0.27350000000000002</v>
          </cell>
          <cell r="P448">
            <v>0.14143</v>
          </cell>
          <cell r="Q448">
            <v>0.91604833333333335</v>
          </cell>
          <cell r="R448">
            <v>3.6947450000000002</v>
          </cell>
          <cell r="S448">
            <v>0</v>
          </cell>
          <cell r="T448">
            <v>4.7335000000000002E-2</v>
          </cell>
          <cell r="U448">
            <v>0.39846166666666671</v>
          </cell>
          <cell r="V448">
            <v>5.0565900000000008</v>
          </cell>
        </row>
        <row r="449">
          <cell r="D449" t="str">
            <v>82115-0E671 B 1301</v>
          </cell>
          <cell r="E449" t="str">
            <v>82115-0E671</v>
          </cell>
          <cell r="F449">
            <v>4148.5</v>
          </cell>
          <cell r="G449">
            <v>553.01780000000008</v>
          </cell>
          <cell r="H449">
            <v>0.32078999999999996</v>
          </cell>
          <cell r="I449">
            <v>0.54494666666666669</v>
          </cell>
          <cell r="J449">
            <v>0.12706500000000001</v>
          </cell>
          <cell r="K449">
            <v>0.93058000000000007</v>
          </cell>
          <cell r="L449">
            <v>2.2943100000000003</v>
          </cell>
          <cell r="M449">
            <v>6.3816666666666674E-2</v>
          </cell>
          <cell r="N449">
            <v>0.24995499999999998</v>
          </cell>
          <cell r="O449">
            <v>0.33022333333333337</v>
          </cell>
          <cell r="P449">
            <v>0.13285</v>
          </cell>
          <cell r="Q449">
            <v>0.99280166666666658</v>
          </cell>
          <cell r="R449">
            <v>4.0017350000000009</v>
          </cell>
          <cell r="S449">
            <v>0</v>
          </cell>
          <cell r="T449">
            <v>4.7293333333333333E-2</v>
          </cell>
          <cell r="U449">
            <v>0.45014666666666669</v>
          </cell>
          <cell r="V449">
            <v>5.4919766666666678</v>
          </cell>
        </row>
        <row r="450">
          <cell r="D450" t="str">
            <v>82115-0E681 B 1301</v>
          </cell>
          <cell r="E450" t="str">
            <v>82115-0E681</v>
          </cell>
          <cell r="F450">
            <v>3887.1</v>
          </cell>
          <cell r="G450">
            <v>534.65710000000001</v>
          </cell>
          <cell r="H450">
            <v>0.30724166666666669</v>
          </cell>
          <cell r="I450">
            <v>0.52386333333333335</v>
          </cell>
          <cell r="J450">
            <v>0.12584666666666666</v>
          </cell>
          <cell r="K450">
            <v>0.87504833333333332</v>
          </cell>
          <cell r="L450">
            <v>2.2757416666666668</v>
          </cell>
          <cell r="M450">
            <v>6.3041666666666676E-2</v>
          </cell>
          <cell r="N450">
            <v>0.249275</v>
          </cell>
          <cell r="O450">
            <v>0.33311666666666662</v>
          </cell>
          <cell r="P450">
            <v>0.13382166666666664</v>
          </cell>
          <cell r="Q450">
            <v>0.95695166666666664</v>
          </cell>
          <cell r="R450">
            <v>3.9300450000000002</v>
          </cell>
          <cell r="S450">
            <v>0</v>
          </cell>
          <cell r="T450">
            <v>4.7293333333333333E-2</v>
          </cell>
          <cell r="U450">
            <v>0.48241999999999996</v>
          </cell>
          <cell r="V450">
            <v>5.4167100000000001</v>
          </cell>
        </row>
        <row r="451">
          <cell r="D451" t="str">
            <v>82115-0E691 B 1401</v>
          </cell>
          <cell r="E451" t="str">
            <v>82115-0E691</v>
          </cell>
          <cell r="F451">
            <v>4364.5</v>
          </cell>
          <cell r="G451">
            <v>515.07089999999994</v>
          </cell>
          <cell r="H451">
            <v>0.37518333333333331</v>
          </cell>
          <cell r="I451">
            <v>0.76713166666666666</v>
          </cell>
          <cell r="J451">
            <v>0.19992833333333332</v>
          </cell>
          <cell r="K451">
            <v>1.063005</v>
          </cell>
          <cell r="L451">
            <v>2.3394966666666668</v>
          </cell>
          <cell r="M451">
            <v>6.8231666666666663E-2</v>
          </cell>
          <cell r="N451">
            <v>0.27054500000000004</v>
          </cell>
          <cell r="O451">
            <v>0.33483166666666669</v>
          </cell>
          <cell r="P451">
            <v>0.13445000000000001</v>
          </cell>
          <cell r="Q451">
            <v>1.3422433333333332</v>
          </cell>
          <cell r="R451">
            <v>4.210560000000001</v>
          </cell>
          <cell r="S451">
            <v>0</v>
          </cell>
          <cell r="T451">
            <v>5.0180000000000002E-2</v>
          </cell>
          <cell r="U451">
            <v>0.53802666666666665</v>
          </cell>
          <cell r="V451">
            <v>6.1410100000000014</v>
          </cell>
        </row>
        <row r="452">
          <cell r="D452" t="str">
            <v>82115-0E701 B 1401</v>
          </cell>
          <cell r="E452" t="str">
            <v>82115-0E701</v>
          </cell>
          <cell r="F452">
            <v>4341.3</v>
          </cell>
          <cell r="G452">
            <v>515.07089999999994</v>
          </cell>
          <cell r="H452">
            <v>0.37323666666666672</v>
          </cell>
          <cell r="I452">
            <v>0.75803166666666677</v>
          </cell>
          <cell r="J452">
            <v>0.19992833333333332</v>
          </cell>
          <cell r="K452">
            <v>1.0593650000000001</v>
          </cell>
          <cell r="L452">
            <v>2.3370483333333336</v>
          </cell>
          <cell r="M452">
            <v>6.8231666666666663E-2</v>
          </cell>
          <cell r="N452">
            <v>0.27046500000000001</v>
          </cell>
          <cell r="O452">
            <v>0.33483166666666669</v>
          </cell>
          <cell r="P452">
            <v>0.13445000000000001</v>
          </cell>
          <cell r="Q452">
            <v>1.3311966666666668</v>
          </cell>
          <cell r="R452">
            <v>4.2043916666666679</v>
          </cell>
          <cell r="S452">
            <v>0</v>
          </cell>
          <cell r="T452">
            <v>5.0180000000000002E-2</v>
          </cell>
          <cell r="U452">
            <v>0.53802666666666665</v>
          </cell>
          <cell r="V452">
            <v>6.1237950000000012</v>
          </cell>
        </row>
        <row r="453">
          <cell r="D453" t="str">
            <v>82115-0E711 B 1401</v>
          </cell>
          <cell r="E453" t="str">
            <v>82115-0E711</v>
          </cell>
          <cell r="F453">
            <v>4103</v>
          </cell>
          <cell r="G453">
            <v>497.02170000000001</v>
          </cell>
          <cell r="H453">
            <v>0.36164000000000002</v>
          </cell>
          <cell r="I453">
            <v>0.74593333333333334</v>
          </cell>
          <cell r="J453">
            <v>0.19871166666666668</v>
          </cell>
          <cell r="K453">
            <v>1.00552</v>
          </cell>
          <cell r="L453">
            <v>2.3206416666666665</v>
          </cell>
          <cell r="M453">
            <v>6.7456666666666665E-2</v>
          </cell>
          <cell r="N453">
            <v>0.26986500000000002</v>
          </cell>
          <cell r="O453">
            <v>0.33772666666666668</v>
          </cell>
          <cell r="P453">
            <v>0.13542333333333334</v>
          </cell>
          <cell r="Q453">
            <v>1.3062849999999999</v>
          </cell>
          <cell r="R453">
            <v>4.1366333333333341</v>
          </cell>
          <cell r="S453">
            <v>0</v>
          </cell>
          <cell r="T453">
            <v>5.0180000000000002E-2</v>
          </cell>
          <cell r="U453">
            <v>0.57030000000000003</v>
          </cell>
          <cell r="V453">
            <v>6.0633983333333337</v>
          </cell>
        </row>
        <row r="454">
          <cell r="D454" t="str">
            <v>82115-0E721 B 1401</v>
          </cell>
          <cell r="E454" t="str">
            <v>82115-0E721</v>
          </cell>
          <cell r="F454">
            <v>4079.9</v>
          </cell>
          <cell r="G454">
            <v>497.02170000000001</v>
          </cell>
          <cell r="H454">
            <v>0.35969333333333336</v>
          </cell>
          <cell r="I454">
            <v>0.73683333333333334</v>
          </cell>
          <cell r="J454">
            <v>0.19871166666666668</v>
          </cell>
          <cell r="K454">
            <v>1.0057866666666666</v>
          </cell>
          <cell r="L454">
            <v>2.3181933333333333</v>
          </cell>
          <cell r="M454">
            <v>6.7456666666666665E-2</v>
          </cell>
          <cell r="N454">
            <v>0.269785</v>
          </cell>
          <cell r="O454">
            <v>0.33772666666666668</v>
          </cell>
          <cell r="P454">
            <v>0.13542333333333334</v>
          </cell>
          <cell r="Q454">
            <v>1.2952383333333333</v>
          </cell>
          <cell r="R454">
            <v>4.1343716666666666</v>
          </cell>
          <cell r="S454">
            <v>0</v>
          </cell>
          <cell r="T454">
            <v>5.0180000000000002E-2</v>
          </cell>
          <cell r="U454">
            <v>0.57030000000000003</v>
          </cell>
          <cell r="V454">
            <v>6.0500900000000009</v>
          </cell>
        </row>
        <row r="455">
          <cell r="D455" t="str">
            <v>82115-0E731 B 1301</v>
          </cell>
          <cell r="E455" t="str">
            <v>82115-0E731</v>
          </cell>
          <cell r="F455">
            <v>3821</v>
          </cell>
          <cell r="G455">
            <v>479.7715</v>
          </cell>
          <cell r="H455">
            <v>0.29553166666666664</v>
          </cell>
          <cell r="I455">
            <v>0.50416499999999997</v>
          </cell>
          <cell r="J455">
            <v>0.12584666666666666</v>
          </cell>
          <cell r="K455">
            <v>0.85189500000000007</v>
          </cell>
          <cell r="L455">
            <v>2.2223483333333336</v>
          </cell>
          <cell r="M455">
            <v>6.2846666666666662E-2</v>
          </cell>
          <cell r="N455">
            <v>0.24490666666666666</v>
          </cell>
          <cell r="O455">
            <v>0.31389499999999998</v>
          </cell>
          <cell r="P455">
            <v>0.13310666666666665</v>
          </cell>
          <cell r="Q455">
            <v>0.92554333333333327</v>
          </cell>
          <cell r="R455">
            <v>3.8289983333333333</v>
          </cell>
          <cell r="S455">
            <v>0</v>
          </cell>
          <cell r="T455">
            <v>4.7293333333333333E-2</v>
          </cell>
          <cell r="U455">
            <v>0.48241999999999996</v>
          </cell>
          <cell r="V455">
            <v>5.2842549999999999</v>
          </cell>
        </row>
        <row r="456">
          <cell r="D456" t="str">
            <v>82115-0EA00 K 0001</v>
          </cell>
          <cell r="E456" t="str">
            <v>82115-0EA00.</v>
          </cell>
          <cell r="F456">
            <v>3818.9</v>
          </cell>
          <cell r="G456">
            <v>386.41399999999999</v>
          </cell>
          <cell r="H456">
            <v>0.27155666666666661</v>
          </cell>
          <cell r="I456">
            <v>0.39425166666666667</v>
          </cell>
          <cell r="J456">
            <v>0.11064500000000001</v>
          </cell>
          <cell r="K456">
            <v>0.77677499999999999</v>
          </cell>
          <cell r="L456">
            <v>2.0206516666666667</v>
          </cell>
          <cell r="M456">
            <v>5.5135000000000003E-2</v>
          </cell>
          <cell r="N456">
            <v>0.236065</v>
          </cell>
          <cell r="O456">
            <v>0.26371833333333333</v>
          </cell>
          <cell r="P456">
            <v>0.13874333333333333</v>
          </cell>
          <cell r="Q456">
            <v>0.77645333333333333</v>
          </cell>
          <cell r="R456">
            <v>3.4910883333333329</v>
          </cell>
          <cell r="S456">
            <v>0</v>
          </cell>
          <cell r="T456">
            <v>4.7335000000000002E-2</v>
          </cell>
          <cell r="U456">
            <v>0.43412666666666666</v>
          </cell>
          <cell r="V456">
            <v>4.7490033333333335</v>
          </cell>
        </row>
        <row r="457">
          <cell r="D457" t="str">
            <v>82115-0EA10 J 1101</v>
          </cell>
          <cell r="E457" t="str">
            <v>82115-0EA10 J</v>
          </cell>
          <cell r="F457">
            <v>4162.6000000000004</v>
          </cell>
          <cell r="G457">
            <v>445.33190000000002</v>
          </cell>
          <cell r="H457">
            <v>0.32567166666666664</v>
          </cell>
          <cell r="I457">
            <v>0.63537999999999994</v>
          </cell>
          <cell r="J457">
            <v>0.23068333333333332</v>
          </cell>
          <cell r="K457">
            <v>0.90365000000000006</v>
          </cell>
          <cell r="L457">
            <v>2.0927316666666669</v>
          </cell>
          <cell r="M457">
            <v>6.1984999999999998E-2</v>
          </cell>
          <cell r="N457">
            <v>0.26758833333333332</v>
          </cell>
          <cell r="O457">
            <v>0.28989166666666666</v>
          </cell>
          <cell r="P457">
            <v>0.13794500000000001</v>
          </cell>
          <cell r="Q457">
            <v>1.191735</v>
          </cell>
          <cell r="R457">
            <v>3.7537916666666673</v>
          </cell>
          <cell r="S457">
            <v>0</v>
          </cell>
          <cell r="T457">
            <v>5.0220000000000001E-2</v>
          </cell>
          <cell r="U457">
            <v>0.51178666666666661</v>
          </cell>
          <cell r="V457">
            <v>5.5075333333333347</v>
          </cell>
        </row>
        <row r="458">
          <cell r="D458" t="str">
            <v>82115-0EA21 B 1001</v>
          </cell>
          <cell r="E458" t="str">
            <v>82115-0EA21 B</v>
          </cell>
          <cell r="F458">
            <v>3895.3</v>
          </cell>
          <cell r="G458">
            <v>418.25699999999995</v>
          </cell>
          <cell r="H458">
            <v>0.27427666666666667</v>
          </cell>
          <cell r="I458">
            <v>0.45444833333333334</v>
          </cell>
          <cell r="J458">
            <v>9.5118333333333333E-2</v>
          </cell>
          <cell r="K458">
            <v>0.77355833333333335</v>
          </cell>
          <cell r="L458">
            <v>1.9926233333333334</v>
          </cell>
          <cell r="M458">
            <v>5.3874999999999999E-2</v>
          </cell>
          <cell r="N458">
            <v>0.23751666666666665</v>
          </cell>
          <cell r="O458">
            <v>0.272845</v>
          </cell>
          <cell r="P458">
            <v>0.13945833333333332</v>
          </cell>
          <cell r="Q458">
            <v>0.82384333333333337</v>
          </cell>
          <cell r="R458">
            <v>3.4698766666666665</v>
          </cell>
          <cell r="S458">
            <v>0</v>
          </cell>
          <cell r="T458">
            <v>4.7335000000000002E-2</v>
          </cell>
          <cell r="U458">
            <v>0.4010016666666667</v>
          </cell>
          <cell r="V458">
            <v>4.7420566666666666</v>
          </cell>
        </row>
        <row r="459">
          <cell r="D459" t="str">
            <v>82115-0EA31 B 1001</v>
          </cell>
          <cell r="E459" t="str">
            <v>82115-0EA31 B</v>
          </cell>
          <cell r="F459">
            <v>4102.7</v>
          </cell>
          <cell r="G459">
            <v>439.10900000000004</v>
          </cell>
          <cell r="H459">
            <v>0.28716833333333336</v>
          </cell>
          <cell r="I459">
            <v>0.4773</v>
          </cell>
          <cell r="J459">
            <v>0.10135999999999999</v>
          </cell>
          <cell r="K459">
            <v>0.844885</v>
          </cell>
          <cell r="L459">
            <v>2.0797316666666665</v>
          </cell>
          <cell r="M459">
            <v>5.4100000000000002E-2</v>
          </cell>
          <cell r="N459">
            <v>0.24022333333333332</v>
          </cell>
          <cell r="O459">
            <v>0.27206833333333336</v>
          </cell>
          <cell r="P459">
            <v>0.14053000000000002</v>
          </cell>
          <cell r="Q459">
            <v>0.86582833333333331</v>
          </cell>
          <cell r="R459">
            <v>3.6315383333333333</v>
          </cell>
          <cell r="S459">
            <v>0</v>
          </cell>
          <cell r="T459">
            <v>4.7335000000000002E-2</v>
          </cell>
          <cell r="U459">
            <v>0.37196166666666669</v>
          </cell>
          <cell r="V459">
            <v>4.9166633333333332</v>
          </cell>
        </row>
        <row r="460">
          <cell r="D460" t="str">
            <v>82115-0EG00 0101</v>
          </cell>
          <cell r="E460" t="str">
            <v>82115-0EG00</v>
          </cell>
          <cell r="F460">
            <v>4082.4</v>
          </cell>
          <cell r="G460">
            <v>495.4776</v>
          </cell>
          <cell r="H460">
            <v>0.30841000000000002</v>
          </cell>
          <cell r="I460">
            <v>0.52012499999999995</v>
          </cell>
          <cell r="J460">
            <v>0.12706500000000001</v>
          </cell>
          <cell r="K460">
            <v>0.90759166666666669</v>
          </cell>
          <cell r="L460">
            <v>2.2395216666666666</v>
          </cell>
          <cell r="M460">
            <v>6.362166666666666E-2</v>
          </cell>
          <cell r="N460">
            <v>0.24550666666666665</v>
          </cell>
          <cell r="O460">
            <v>0.311</v>
          </cell>
          <cell r="P460">
            <v>0.132135</v>
          </cell>
          <cell r="Q460">
            <v>0.9556</v>
          </cell>
          <cell r="R460">
            <v>3.8993766666666665</v>
          </cell>
          <cell r="S460">
            <v>0</v>
          </cell>
          <cell r="T460">
            <v>4.2983333333333332E-2</v>
          </cell>
          <cell r="U460">
            <v>0.45014666666666669</v>
          </cell>
          <cell r="V460">
            <v>5.3481066666666663</v>
          </cell>
        </row>
        <row r="461">
          <cell r="D461" t="str">
            <v>82115-0EG10 0101</v>
          </cell>
          <cell r="E461" t="str">
            <v>82115-0EG10</v>
          </cell>
          <cell r="F461">
            <v>4148.5</v>
          </cell>
          <cell r="G461">
            <v>550.36320000000001</v>
          </cell>
          <cell r="H461">
            <v>0.32012000000000002</v>
          </cell>
          <cell r="I461">
            <v>0.53470000000000006</v>
          </cell>
          <cell r="J461">
            <v>0.12706500000000001</v>
          </cell>
          <cell r="K461">
            <v>0.93660500000000002</v>
          </cell>
          <cell r="L461">
            <v>2.2930133333333336</v>
          </cell>
          <cell r="M461">
            <v>6.3816666666666674E-2</v>
          </cell>
          <cell r="N461">
            <v>0.24987499999999999</v>
          </cell>
          <cell r="O461">
            <v>0.33022333333333337</v>
          </cell>
          <cell r="P461">
            <v>0.13285</v>
          </cell>
          <cell r="Q461">
            <v>0.98188500000000012</v>
          </cell>
          <cell r="R461">
            <v>4.0063833333333339</v>
          </cell>
          <cell r="S461">
            <v>0</v>
          </cell>
          <cell r="T461">
            <v>4.2983333333333332E-2</v>
          </cell>
          <cell r="U461">
            <v>0.45014666666666669</v>
          </cell>
          <cell r="V461">
            <v>5.4813983333333338</v>
          </cell>
        </row>
        <row r="462">
          <cell r="D462" t="str">
            <v>82115-0EJ61 B 1301</v>
          </cell>
          <cell r="E462" t="str">
            <v>82115-0EJ61</v>
          </cell>
          <cell r="F462">
            <v>3698.4</v>
          </cell>
          <cell r="G462">
            <v>458.16289999999998</v>
          </cell>
          <cell r="H462">
            <v>0.27517999999999998</v>
          </cell>
          <cell r="I462">
            <v>0.46216833333333335</v>
          </cell>
          <cell r="J462">
            <v>9.4113333333333327E-2</v>
          </cell>
          <cell r="K462">
            <v>0.78845333333333334</v>
          </cell>
          <cell r="L462">
            <v>2.1247483333333332</v>
          </cell>
          <cell r="M462">
            <v>6.0411666666666662E-2</v>
          </cell>
          <cell r="N462">
            <v>0.23451666666666665</v>
          </cell>
          <cell r="O462">
            <v>0.29968333333333336</v>
          </cell>
          <cell r="P462">
            <v>0.13190166666666667</v>
          </cell>
          <cell r="Q462">
            <v>0.83146166666666654</v>
          </cell>
          <cell r="R462">
            <v>3.6397149999999998</v>
          </cell>
          <cell r="S462">
            <v>0</v>
          </cell>
          <cell r="T462">
            <v>4.7293333333333333E-2</v>
          </cell>
          <cell r="U462">
            <v>0.45591999999999999</v>
          </cell>
          <cell r="V462">
            <v>4.9743899999999996</v>
          </cell>
        </row>
        <row r="463">
          <cell r="D463" t="str">
            <v>82115-0EY30 B 1301</v>
          </cell>
          <cell r="E463" t="str">
            <v>82115-0EY30</v>
          </cell>
          <cell r="F463">
            <v>4171.7</v>
          </cell>
          <cell r="G463">
            <v>553.01780000000008</v>
          </cell>
          <cell r="H463">
            <v>0.32273833333333335</v>
          </cell>
          <cell r="I463">
            <v>0.55405000000000004</v>
          </cell>
          <cell r="J463">
            <v>0.12706500000000001</v>
          </cell>
          <cell r="K463">
            <v>0.93421999999999994</v>
          </cell>
          <cell r="L463">
            <v>2.2967583333333335</v>
          </cell>
          <cell r="M463">
            <v>6.3816666666666674E-2</v>
          </cell>
          <cell r="N463">
            <v>0.25003500000000001</v>
          </cell>
          <cell r="O463">
            <v>0.33022333333333337</v>
          </cell>
          <cell r="P463">
            <v>0.13285</v>
          </cell>
          <cell r="Q463">
            <v>1.0038533333333335</v>
          </cell>
          <cell r="R463">
            <v>4.007903333333334</v>
          </cell>
          <cell r="S463">
            <v>0</v>
          </cell>
          <cell r="T463">
            <v>4.7293333333333333E-2</v>
          </cell>
          <cell r="U463">
            <v>0.45014666666666669</v>
          </cell>
          <cell r="V463">
            <v>5.5091966666666679</v>
          </cell>
        </row>
        <row r="464">
          <cell r="D464" t="str">
            <v>82115-0EY40 B 1301</v>
          </cell>
          <cell r="E464" t="str">
            <v>82115-0EY40</v>
          </cell>
          <cell r="F464">
            <v>4105.6000000000004</v>
          </cell>
          <cell r="G464">
            <v>498.13220000000001</v>
          </cell>
          <cell r="H464">
            <v>0.31102833333333335</v>
          </cell>
          <cell r="I464">
            <v>0.53435166666666667</v>
          </cell>
          <cell r="J464">
            <v>0.12706500000000001</v>
          </cell>
          <cell r="K464">
            <v>0.91106666666666669</v>
          </cell>
          <cell r="L464">
            <v>2.2449050000000002</v>
          </cell>
          <cell r="M464">
            <v>6.362166666666666E-2</v>
          </cell>
          <cell r="N464">
            <v>0.24566666666666667</v>
          </cell>
          <cell r="O464">
            <v>0.311</v>
          </cell>
          <cell r="P464">
            <v>0.132135</v>
          </cell>
          <cell r="Q464">
            <v>0.972445</v>
          </cell>
          <cell r="R464">
            <v>3.9083950000000001</v>
          </cell>
          <cell r="S464">
            <v>0</v>
          </cell>
          <cell r="T464">
            <v>4.7293333333333333E-2</v>
          </cell>
          <cell r="U464">
            <v>0.45014666666666669</v>
          </cell>
          <cell r="V464">
            <v>5.3782800000000002</v>
          </cell>
        </row>
        <row r="465">
          <cell r="D465" t="str">
            <v>82115-0EY50 B 1301</v>
          </cell>
          <cell r="E465" t="str">
            <v>82115-0EY50</v>
          </cell>
          <cell r="F465">
            <v>3910.3</v>
          </cell>
          <cell r="G465">
            <v>534.65710000000001</v>
          </cell>
          <cell r="H465">
            <v>0.30919000000000002</v>
          </cell>
          <cell r="I465">
            <v>0.5329666666666667</v>
          </cell>
          <cell r="J465">
            <v>0.12584666666666666</v>
          </cell>
          <cell r="K465">
            <v>0.87282833333333332</v>
          </cell>
          <cell r="L465">
            <v>2.2781916666666664</v>
          </cell>
          <cell r="M465">
            <v>6.3041666666666676E-2</v>
          </cell>
          <cell r="N465">
            <v>0.24935499999999999</v>
          </cell>
          <cell r="O465">
            <v>0.33311666666666662</v>
          </cell>
          <cell r="P465">
            <v>0.13382166666666664</v>
          </cell>
          <cell r="Q465">
            <v>0.96800333333333333</v>
          </cell>
          <cell r="R465">
            <v>3.930355</v>
          </cell>
          <cell r="S465">
            <v>0</v>
          </cell>
          <cell r="T465">
            <v>4.7293333333333333E-2</v>
          </cell>
          <cell r="U465">
            <v>0.48241999999999996</v>
          </cell>
          <cell r="V465">
            <v>5.4280716666666669</v>
          </cell>
        </row>
        <row r="466">
          <cell r="D466" t="str">
            <v>82115-0EY60 B 1301</v>
          </cell>
          <cell r="E466" t="str">
            <v>82115-0EY60</v>
          </cell>
          <cell r="F466">
            <v>3844.2</v>
          </cell>
          <cell r="G466">
            <v>479.7715</v>
          </cell>
          <cell r="H466">
            <v>0.29748000000000002</v>
          </cell>
          <cell r="I466">
            <v>0.51326833333333333</v>
          </cell>
          <cell r="J466">
            <v>0.12584666666666666</v>
          </cell>
          <cell r="K466">
            <v>0.85162833333333343</v>
          </cell>
          <cell r="L466">
            <v>2.2263383333333331</v>
          </cell>
          <cell r="M466">
            <v>6.2846666666666662E-2</v>
          </cell>
          <cell r="N466">
            <v>0.24498666666666666</v>
          </cell>
          <cell r="O466">
            <v>0.31389499999999998</v>
          </cell>
          <cell r="P466">
            <v>0.13310666666666665</v>
          </cell>
          <cell r="Q466">
            <v>0.93659500000000007</v>
          </cell>
          <cell r="R466">
            <v>3.8328016666666667</v>
          </cell>
          <cell r="S466">
            <v>0</v>
          </cell>
          <cell r="T466">
            <v>4.7293333333333333E-2</v>
          </cell>
          <cell r="U466">
            <v>0.48241999999999996</v>
          </cell>
          <cell r="V466">
            <v>5.2991100000000007</v>
          </cell>
        </row>
        <row r="467">
          <cell r="D467" t="str">
            <v>82115-0EZ30 B 1001</v>
          </cell>
          <cell r="E467" t="str">
            <v>82115-0EZ30 B</v>
          </cell>
          <cell r="F467">
            <v>3947.7</v>
          </cell>
          <cell r="G467">
            <v>440.48450000000003</v>
          </cell>
          <cell r="H467">
            <v>0.283665</v>
          </cell>
          <cell r="I467">
            <v>0.45898166666666668</v>
          </cell>
          <cell r="J467">
            <v>9.5118333333333333E-2</v>
          </cell>
          <cell r="K467">
            <v>0.79956333333333329</v>
          </cell>
          <cell r="L467">
            <v>2.0266850000000001</v>
          </cell>
          <cell r="M467">
            <v>5.407E-2</v>
          </cell>
          <cell r="N467">
            <v>0.241845</v>
          </cell>
          <cell r="O467">
            <v>0.27606333333333333</v>
          </cell>
          <cell r="P467">
            <v>0.14019499999999999</v>
          </cell>
          <cell r="Q467">
            <v>0.83776499999999998</v>
          </cell>
          <cell r="R467">
            <v>3.5384216666666668</v>
          </cell>
          <cell r="S467">
            <v>0</v>
          </cell>
          <cell r="T467">
            <v>4.7335000000000002E-2</v>
          </cell>
          <cell r="U467">
            <v>0.4010016666666667</v>
          </cell>
          <cell r="V467">
            <v>4.8245233333333335</v>
          </cell>
        </row>
        <row r="468">
          <cell r="D468" t="str">
            <v>82115-0EZ40 B 1001</v>
          </cell>
          <cell r="E468" t="str">
            <v>82115-0EZ40 B</v>
          </cell>
          <cell r="F468">
            <v>3785.1</v>
          </cell>
          <cell r="G468">
            <v>454.96569999999997</v>
          </cell>
          <cell r="H468">
            <v>0.2813133333333333</v>
          </cell>
          <cell r="I468">
            <v>0.44576833333333332</v>
          </cell>
          <cell r="J468">
            <v>0.11198666666666666</v>
          </cell>
          <cell r="K468">
            <v>0.81077999999999995</v>
          </cell>
          <cell r="L468">
            <v>2.0562283333333333</v>
          </cell>
          <cell r="M468">
            <v>5.4300000000000001E-2</v>
          </cell>
          <cell r="N468">
            <v>0.24295166666666665</v>
          </cell>
          <cell r="O468">
            <v>0.27750333333333338</v>
          </cell>
          <cell r="P468">
            <v>0.14109666666666668</v>
          </cell>
          <cell r="Q468">
            <v>0.8390683333333333</v>
          </cell>
          <cell r="R468">
            <v>3.5828599999999997</v>
          </cell>
          <cell r="S468">
            <v>0</v>
          </cell>
          <cell r="T468">
            <v>4.7335000000000002E-2</v>
          </cell>
          <cell r="U468">
            <v>0.42750166666666667</v>
          </cell>
          <cell r="V468">
            <v>4.8967650000000003</v>
          </cell>
        </row>
        <row r="469">
          <cell r="D469" t="str">
            <v>82115-0EZ50 B 1001</v>
          </cell>
          <cell r="E469" t="str">
            <v>82115-0EZ50 B</v>
          </cell>
          <cell r="F469">
            <v>3974.4</v>
          </cell>
          <cell r="G469">
            <v>454.96569999999997</v>
          </cell>
          <cell r="H469">
            <v>0.29328166666666672</v>
          </cell>
          <cell r="I469">
            <v>0.48271833333333336</v>
          </cell>
          <cell r="J469">
            <v>0.11198666666666666</v>
          </cell>
          <cell r="K469">
            <v>0.83333000000000002</v>
          </cell>
          <cell r="L469">
            <v>2.0767250000000002</v>
          </cell>
          <cell r="M469">
            <v>5.4300000000000001E-2</v>
          </cell>
          <cell r="N469">
            <v>0.24375166666666667</v>
          </cell>
          <cell r="O469">
            <v>0.27750333333333338</v>
          </cell>
          <cell r="P469">
            <v>0.14109666666666668</v>
          </cell>
          <cell r="Q469">
            <v>0.8879866666666667</v>
          </cell>
          <cell r="R469">
            <v>3.6267066666666672</v>
          </cell>
          <cell r="S469">
            <v>0</v>
          </cell>
          <cell r="T469">
            <v>4.7335000000000002E-2</v>
          </cell>
          <cell r="U469">
            <v>0.42750166666666667</v>
          </cell>
          <cell r="V469">
            <v>4.9895300000000002</v>
          </cell>
        </row>
        <row r="470">
          <cell r="D470" t="str">
            <v>82115-0EZ60 B 1001</v>
          </cell>
          <cell r="E470" t="str">
            <v>82115-0EZ60 B</v>
          </cell>
          <cell r="F470">
            <v>3965.9</v>
          </cell>
          <cell r="G470">
            <v>461.3365</v>
          </cell>
          <cell r="H470">
            <v>0.28458833333333333</v>
          </cell>
          <cell r="I470">
            <v>0.44488333333333335</v>
          </cell>
          <cell r="J470">
            <v>0.10135999999999999</v>
          </cell>
          <cell r="K470">
            <v>0.85810666666666668</v>
          </cell>
          <cell r="L470">
            <v>2.0932949999999999</v>
          </cell>
          <cell r="M470">
            <v>5.4300000000000001E-2</v>
          </cell>
          <cell r="N470">
            <v>0.24375333333333332</v>
          </cell>
          <cell r="O470">
            <v>0.27529500000000001</v>
          </cell>
          <cell r="P470">
            <v>0.14126666666666668</v>
          </cell>
          <cell r="Q470">
            <v>0.83083166666666675</v>
          </cell>
          <cell r="R470">
            <v>3.6660166666666663</v>
          </cell>
          <cell r="S470">
            <v>0</v>
          </cell>
          <cell r="T470">
            <v>4.7335000000000002E-2</v>
          </cell>
          <cell r="U470">
            <v>0.37196166666666669</v>
          </cell>
          <cell r="V470">
            <v>4.9161450000000002</v>
          </cell>
        </row>
        <row r="471">
          <cell r="D471" t="str">
            <v>82115-0EZ70 B 1001</v>
          </cell>
          <cell r="E471" t="str">
            <v>82115-0EZ70 B</v>
          </cell>
          <cell r="F471">
            <v>4155.1000000000004</v>
          </cell>
          <cell r="G471">
            <v>461.3365</v>
          </cell>
          <cell r="H471">
            <v>0.29655666666666664</v>
          </cell>
          <cell r="I471">
            <v>0.48183333333333334</v>
          </cell>
          <cell r="J471">
            <v>0.10135999999999999</v>
          </cell>
          <cell r="K471">
            <v>0.88456333333333326</v>
          </cell>
          <cell r="L471">
            <v>2.1137916666666667</v>
          </cell>
          <cell r="M471">
            <v>5.4300000000000001E-2</v>
          </cell>
          <cell r="N471">
            <v>0.24455333333333332</v>
          </cell>
          <cell r="O471">
            <v>0.27529500000000001</v>
          </cell>
          <cell r="P471">
            <v>0.14126666666666668</v>
          </cell>
          <cell r="Q471">
            <v>0.87974999999999992</v>
          </cell>
          <cell r="R471">
            <v>3.7137699999999998</v>
          </cell>
          <cell r="S471">
            <v>0</v>
          </cell>
          <cell r="T471">
            <v>4.7335000000000002E-2</v>
          </cell>
          <cell r="U471">
            <v>0.37196166666666669</v>
          </cell>
          <cell r="V471">
            <v>5.0128166666666667</v>
          </cell>
        </row>
        <row r="472">
          <cell r="D472" t="str">
            <v>82115-0EZ80 B 1001</v>
          </cell>
          <cell r="E472" t="str">
            <v>82115-0EZ80 B</v>
          </cell>
          <cell r="F472">
            <v>3992.5</v>
          </cell>
          <cell r="G472">
            <v>475.81769999999995</v>
          </cell>
          <cell r="H472">
            <v>0.29420499999999999</v>
          </cell>
          <cell r="I472">
            <v>0.46861999999999998</v>
          </cell>
          <cell r="J472">
            <v>0.11822833333333334</v>
          </cell>
          <cell r="K472">
            <v>0.88015333333333323</v>
          </cell>
          <cell r="L472">
            <v>2.1436683333333333</v>
          </cell>
          <cell r="M472">
            <v>5.4525000000000004E-2</v>
          </cell>
          <cell r="N472">
            <v>0.24565833333333334</v>
          </cell>
          <cell r="O472">
            <v>0.27672666666666668</v>
          </cell>
          <cell r="P472">
            <v>0.14216833333333331</v>
          </cell>
          <cell r="Q472">
            <v>0.88105333333333335</v>
          </cell>
          <cell r="R472">
            <v>3.7429000000000001</v>
          </cell>
          <cell r="S472">
            <v>0</v>
          </cell>
          <cell r="T472">
            <v>4.7335000000000002E-2</v>
          </cell>
          <cell r="U472">
            <v>0.39846166666666671</v>
          </cell>
          <cell r="V472">
            <v>5.0697500000000009</v>
          </cell>
        </row>
        <row r="473">
          <cell r="D473" t="str">
            <v>82115-0EZ90 B 1001</v>
          </cell>
          <cell r="E473" t="str">
            <v>82115-0EZ90 B</v>
          </cell>
          <cell r="F473">
            <v>4181.8</v>
          </cell>
          <cell r="G473">
            <v>475.81769999999995</v>
          </cell>
          <cell r="H473">
            <v>0.30617333333333335</v>
          </cell>
          <cell r="I473">
            <v>0.50556999999999996</v>
          </cell>
          <cell r="J473">
            <v>0.11822833333333334</v>
          </cell>
          <cell r="K473">
            <v>0.89293666666666671</v>
          </cell>
          <cell r="L473">
            <v>2.1641633333333332</v>
          </cell>
          <cell r="M473">
            <v>5.4525000000000004E-2</v>
          </cell>
          <cell r="N473">
            <v>0.24645833333333333</v>
          </cell>
          <cell r="O473">
            <v>0.27672666666666668</v>
          </cell>
          <cell r="P473">
            <v>0.14216833333333331</v>
          </cell>
          <cell r="Q473">
            <v>0.92997166666666664</v>
          </cell>
          <cell r="R473">
            <v>3.7769783333333335</v>
          </cell>
          <cell r="S473">
            <v>0</v>
          </cell>
          <cell r="T473">
            <v>4.7335000000000002E-2</v>
          </cell>
          <cell r="U473">
            <v>0.39846166666666671</v>
          </cell>
          <cell r="V473">
            <v>5.1527466666666673</v>
          </cell>
        </row>
        <row r="474">
          <cell r="D474" t="str">
            <v>82116-0E350 0101</v>
          </cell>
          <cell r="E474" t="str">
            <v>82116-0E350</v>
          </cell>
          <cell r="F474">
            <v>3887.1</v>
          </cell>
          <cell r="G474">
            <v>532.00250000000005</v>
          </cell>
          <cell r="H474">
            <v>0.30657333333333336</v>
          </cell>
          <cell r="I474">
            <v>0.51361666666666672</v>
          </cell>
          <cell r="J474">
            <v>0.12584666666666666</v>
          </cell>
          <cell r="K474">
            <v>0.86935333333333331</v>
          </cell>
          <cell r="L474">
            <v>2.2744716666666664</v>
          </cell>
          <cell r="M474">
            <v>6.3041666666666676E-2</v>
          </cell>
          <cell r="N474">
            <v>0.249195</v>
          </cell>
          <cell r="O474">
            <v>0.33311666666666662</v>
          </cell>
          <cell r="P474">
            <v>0.13382166666666664</v>
          </cell>
          <cell r="Q474">
            <v>0.94603666666666675</v>
          </cell>
          <cell r="R474">
            <v>3.9229999999999996</v>
          </cell>
          <cell r="S474">
            <v>0</v>
          </cell>
          <cell r="T474">
            <v>4.2983333333333332E-2</v>
          </cell>
          <cell r="U474">
            <v>0.48241999999999996</v>
          </cell>
          <cell r="V474">
            <v>5.3944399999999995</v>
          </cell>
        </row>
        <row r="475">
          <cell r="D475" t="str">
            <v>82116-0E360 0101</v>
          </cell>
          <cell r="E475" t="str">
            <v>82116-0E360</v>
          </cell>
          <cell r="F475">
            <v>3821</v>
          </cell>
          <cell r="G475">
            <v>477.11689999999999</v>
          </cell>
          <cell r="H475">
            <v>0.29486333333333337</v>
          </cell>
          <cell r="I475">
            <v>0.49904166666666666</v>
          </cell>
          <cell r="J475">
            <v>0.12584666666666666</v>
          </cell>
          <cell r="K475">
            <v>0.85596666666666665</v>
          </cell>
          <cell r="L475">
            <v>2.2210783333333333</v>
          </cell>
          <cell r="M475">
            <v>6.2846666666666662E-2</v>
          </cell>
          <cell r="N475">
            <v>0.24482666666666666</v>
          </cell>
          <cell r="O475">
            <v>0.31389499999999998</v>
          </cell>
          <cell r="P475">
            <v>0.13310666666666665</v>
          </cell>
          <cell r="Q475">
            <v>0.91975166666666675</v>
          </cell>
          <cell r="R475">
            <v>3.8317199999999998</v>
          </cell>
          <cell r="S475">
            <v>0</v>
          </cell>
          <cell r="T475">
            <v>4.2983333333333332E-2</v>
          </cell>
          <cell r="U475">
            <v>0.48241999999999996</v>
          </cell>
          <cell r="V475">
            <v>5.2768749999999995</v>
          </cell>
        </row>
        <row r="476">
          <cell r="D476" t="str">
            <v>82116-0E370 0101</v>
          </cell>
          <cell r="E476" t="str">
            <v>82116-0E370</v>
          </cell>
          <cell r="F476">
            <v>3698.4</v>
          </cell>
          <cell r="G476">
            <v>455.50830000000002</v>
          </cell>
          <cell r="H476">
            <v>0.27451166666666665</v>
          </cell>
          <cell r="I476">
            <v>0.45704499999999998</v>
          </cell>
          <cell r="J476">
            <v>9.4113333333333327E-2</v>
          </cell>
          <cell r="K476">
            <v>0.79057166666666667</v>
          </cell>
          <cell r="L476">
            <v>2.1235866666666667</v>
          </cell>
          <cell r="M476">
            <v>6.0411666666666662E-2</v>
          </cell>
          <cell r="N476">
            <v>0.23443666666666668</v>
          </cell>
          <cell r="O476">
            <v>0.29968333333333336</v>
          </cell>
          <cell r="P476">
            <v>0.13190166666666667</v>
          </cell>
          <cell r="Q476">
            <v>0.8256699999999999</v>
          </cell>
          <cell r="R476">
            <v>3.6405916666666669</v>
          </cell>
          <cell r="S476">
            <v>0</v>
          </cell>
          <cell r="T476">
            <v>4.2983333333333332E-2</v>
          </cell>
          <cell r="U476">
            <v>0.45591999999999999</v>
          </cell>
          <cell r="V476">
            <v>4.9651649999999998</v>
          </cell>
        </row>
        <row r="477">
          <cell r="D477" t="str">
            <v>82116-0E380 0101</v>
          </cell>
          <cell r="E477" t="str">
            <v>82116-0E380</v>
          </cell>
          <cell r="F477">
            <v>4171.7</v>
          </cell>
          <cell r="G477">
            <v>550.36320000000001</v>
          </cell>
          <cell r="H477">
            <v>0.32206833333333335</v>
          </cell>
          <cell r="I477">
            <v>0.54380333333333331</v>
          </cell>
          <cell r="J477">
            <v>0.12706500000000001</v>
          </cell>
          <cell r="K477">
            <v>0.93243166666666666</v>
          </cell>
          <cell r="L477">
            <v>2.2954633333333332</v>
          </cell>
          <cell r="M477">
            <v>6.3816666666666674E-2</v>
          </cell>
          <cell r="N477">
            <v>0.24995499999999998</v>
          </cell>
          <cell r="O477">
            <v>0.33022333333333337</v>
          </cell>
          <cell r="P477">
            <v>0.13285</v>
          </cell>
          <cell r="Q477">
            <v>0.99293666666666658</v>
          </cell>
          <cell r="R477">
            <v>4.00474</v>
          </cell>
          <cell r="S477">
            <v>0</v>
          </cell>
          <cell r="T477">
            <v>4.2983333333333332E-2</v>
          </cell>
          <cell r="U477">
            <v>0.45014666666666669</v>
          </cell>
          <cell r="V477">
            <v>5.4908066666666668</v>
          </cell>
        </row>
        <row r="478">
          <cell r="D478" t="str">
            <v>82116-0E390 0101</v>
          </cell>
          <cell r="E478" t="str">
            <v>82116-0E390</v>
          </cell>
          <cell r="F478">
            <v>4105.6000000000004</v>
          </cell>
          <cell r="G478">
            <v>495.4776</v>
          </cell>
          <cell r="H478">
            <v>0.31035833333333335</v>
          </cell>
          <cell r="I478">
            <v>0.5292283333333333</v>
          </cell>
          <cell r="J478">
            <v>0.12706500000000001</v>
          </cell>
          <cell r="K478">
            <v>0.9092783333333333</v>
          </cell>
          <cell r="L478">
            <v>2.243511666666667</v>
          </cell>
          <cell r="M478">
            <v>6.362166666666666E-2</v>
          </cell>
          <cell r="N478">
            <v>0.24558666666666668</v>
          </cell>
          <cell r="O478">
            <v>0.311</v>
          </cell>
          <cell r="P478">
            <v>0.132135</v>
          </cell>
          <cell r="Q478">
            <v>0.96665166666666669</v>
          </cell>
          <cell r="R478">
            <v>3.9051333333333336</v>
          </cell>
          <cell r="S478">
            <v>0</v>
          </cell>
          <cell r="T478">
            <v>4.2983333333333332E-2</v>
          </cell>
          <cell r="U478">
            <v>0.45014666666666669</v>
          </cell>
          <cell r="V478">
            <v>5.3649149999999999</v>
          </cell>
        </row>
        <row r="479">
          <cell r="D479" t="str">
            <v>82116-0E400 0101</v>
          </cell>
          <cell r="E479" t="str">
            <v>82116-0E400</v>
          </cell>
          <cell r="F479">
            <v>3910.3</v>
          </cell>
          <cell r="G479">
            <v>532.00250000000005</v>
          </cell>
          <cell r="H479">
            <v>0.30852166666666664</v>
          </cell>
          <cell r="I479">
            <v>0.52271999999999996</v>
          </cell>
          <cell r="J479">
            <v>0.12584666666666666</v>
          </cell>
          <cell r="K479">
            <v>0.87885333333333338</v>
          </cell>
          <cell r="L479">
            <v>2.2769199999999996</v>
          </cell>
          <cell r="M479">
            <v>6.3041666666666676E-2</v>
          </cell>
          <cell r="N479">
            <v>0.249275</v>
          </cell>
          <cell r="O479">
            <v>0.33311666666666662</v>
          </cell>
          <cell r="P479">
            <v>0.13382166666666664</v>
          </cell>
          <cell r="Q479">
            <v>0.95708833333333332</v>
          </cell>
          <cell r="R479">
            <v>3.9350283333333329</v>
          </cell>
          <cell r="S479">
            <v>0</v>
          </cell>
          <cell r="T479">
            <v>4.2983333333333332E-2</v>
          </cell>
          <cell r="U479">
            <v>0.48241999999999996</v>
          </cell>
          <cell r="V479">
            <v>5.4175199999999997</v>
          </cell>
        </row>
        <row r="480">
          <cell r="D480" t="str">
            <v>82116-0E410 0101</v>
          </cell>
          <cell r="E480" t="str">
            <v>82116-0E410</v>
          </cell>
          <cell r="F480">
            <v>3844.2</v>
          </cell>
          <cell r="G480">
            <v>477.11689999999999</v>
          </cell>
          <cell r="H480">
            <v>0.2968116666666667</v>
          </cell>
          <cell r="I480">
            <v>0.50814500000000007</v>
          </cell>
          <cell r="J480">
            <v>0.12584666666666666</v>
          </cell>
          <cell r="K480">
            <v>0.85179333333333329</v>
          </cell>
          <cell r="L480">
            <v>2.2250666666666663</v>
          </cell>
          <cell r="M480">
            <v>6.2846666666666662E-2</v>
          </cell>
          <cell r="N480">
            <v>0.24490666666666666</v>
          </cell>
          <cell r="O480">
            <v>0.31389499999999998</v>
          </cell>
          <cell r="P480">
            <v>0.13310666666666665</v>
          </cell>
          <cell r="Q480">
            <v>0.93080333333333343</v>
          </cell>
          <cell r="R480">
            <v>3.8316149999999993</v>
          </cell>
          <cell r="S480">
            <v>0</v>
          </cell>
          <cell r="T480">
            <v>4.2983333333333332E-2</v>
          </cell>
          <cell r="U480">
            <v>0.48241999999999996</v>
          </cell>
          <cell r="V480">
            <v>5.287821666666666</v>
          </cell>
        </row>
        <row r="481">
          <cell r="D481" t="str">
            <v>82116-0E420 0101</v>
          </cell>
          <cell r="E481" t="str">
            <v>82116-0E420</v>
          </cell>
          <cell r="F481">
            <v>4207.6000000000004</v>
          </cell>
          <cell r="G481">
            <v>471.99309999999997</v>
          </cell>
          <cell r="H481">
            <v>0.35491166666666663</v>
          </cell>
          <cell r="I481">
            <v>0.76513166666666665</v>
          </cell>
          <cell r="J481">
            <v>0.21127166666666666</v>
          </cell>
          <cell r="K481">
            <v>1.0226583333333332</v>
          </cell>
          <cell r="L481">
            <v>2.3374466666666667</v>
          </cell>
          <cell r="M481">
            <v>6.561666666666667E-2</v>
          </cell>
          <cell r="N481">
            <v>0.25882666666666665</v>
          </cell>
          <cell r="O481">
            <v>0.32592499999999996</v>
          </cell>
          <cell r="P481">
            <v>0.13295333333333334</v>
          </cell>
          <cell r="Q481">
            <v>1.331315</v>
          </cell>
          <cell r="R481">
            <v>4.1434266666666666</v>
          </cell>
          <cell r="S481">
            <v>0</v>
          </cell>
          <cell r="T481">
            <v>3.0893333333333328E-2</v>
          </cell>
          <cell r="U481">
            <v>0.47013999999999995</v>
          </cell>
          <cell r="V481">
            <v>5.9757749999999996</v>
          </cell>
        </row>
        <row r="482">
          <cell r="D482" t="str">
            <v>82116-0E430 0101</v>
          </cell>
          <cell r="E482" t="str">
            <v>82116-0E430</v>
          </cell>
          <cell r="F482">
            <v>4184.5</v>
          </cell>
          <cell r="G482">
            <v>471.99309999999997</v>
          </cell>
          <cell r="H482">
            <v>0.35296333333333335</v>
          </cell>
          <cell r="I482">
            <v>0.75603000000000009</v>
          </cell>
          <cell r="J482">
            <v>0.21127166666666666</v>
          </cell>
          <cell r="K482">
            <v>1.0229250000000001</v>
          </cell>
          <cell r="L482">
            <v>2.3349983333333331</v>
          </cell>
          <cell r="M482">
            <v>6.561666666666667E-2</v>
          </cell>
          <cell r="N482">
            <v>0.25874666666666668</v>
          </cell>
          <cell r="O482">
            <v>0.32592499999999996</v>
          </cell>
          <cell r="P482">
            <v>0.13295333333333334</v>
          </cell>
          <cell r="Q482">
            <v>1.3202650000000002</v>
          </cell>
          <cell r="R482">
            <v>4.1411649999999991</v>
          </cell>
          <cell r="S482">
            <v>0</v>
          </cell>
          <cell r="T482">
            <v>3.0893333333333328E-2</v>
          </cell>
          <cell r="U482">
            <v>0.47013999999999995</v>
          </cell>
          <cell r="V482">
            <v>5.9624633333333321</v>
          </cell>
        </row>
        <row r="483">
          <cell r="D483" t="str">
            <v>82116-0E440 0101</v>
          </cell>
          <cell r="E483" t="str">
            <v>82116-0E440</v>
          </cell>
          <cell r="F483">
            <v>3946.4</v>
          </cell>
          <cell r="G483">
            <v>453.84359999999998</v>
          </cell>
          <cell r="H483">
            <v>0.34136666666666665</v>
          </cell>
          <cell r="I483">
            <v>0.74393333333333334</v>
          </cell>
          <cell r="J483">
            <v>0.21005500000000002</v>
          </cell>
          <cell r="K483">
            <v>0.96712666666666669</v>
          </cell>
          <cell r="L483">
            <v>2.3185149999999997</v>
          </cell>
          <cell r="M483">
            <v>6.4841666666666659E-2</v>
          </cell>
          <cell r="N483">
            <v>0.25814666666666664</v>
          </cell>
          <cell r="O483">
            <v>0.32882</v>
          </cell>
          <cell r="P483">
            <v>0.13392666666666667</v>
          </cell>
          <cell r="Q483">
            <v>1.295355</v>
          </cell>
          <cell r="R483">
            <v>4.0713766666666666</v>
          </cell>
          <cell r="S483">
            <v>0</v>
          </cell>
          <cell r="T483">
            <v>3.0893333333333328E-2</v>
          </cell>
          <cell r="U483">
            <v>0.50241333333333327</v>
          </cell>
          <cell r="V483">
            <v>5.9000383333333328</v>
          </cell>
        </row>
        <row r="484">
          <cell r="D484" t="str">
            <v>82116-0E450 0101</v>
          </cell>
          <cell r="E484" t="str">
            <v>82116-0E450</v>
          </cell>
          <cell r="F484">
            <v>3923.2</v>
          </cell>
          <cell r="G484">
            <v>453.84359999999998</v>
          </cell>
          <cell r="H484">
            <v>0.33942</v>
          </cell>
          <cell r="I484">
            <v>0.73483166666666666</v>
          </cell>
          <cell r="J484">
            <v>0.21005500000000002</v>
          </cell>
          <cell r="K484">
            <v>0.95567333333333337</v>
          </cell>
          <cell r="L484">
            <v>2.3160683333333334</v>
          </cell>
          <cell r="M484">
            <v>6.4841666666666659E-2</v>
          </cell>
          <cell r="N484">
            <v>0.25806666666666667</v>
          </cell>
          <cell r="O484">
            <v>0.32882</v>
          </cell>
          <cell r="P484">
            <v>0.13392666666666667</v>
          </cell>
          <cell r="Q484">
            <v>1.2843066666666667</v>
          </cell>
          <cell r="R484">
            <v>4.0573966666666665</v>
          </cell>
          <cell r="S484">
            <v>0</v>
          </cell>
          <cell r="T484">
            <v>3.0893333333333328E-2</v>
          </cell>
          <cell r="U484">
            <v>0.50241333333333327</v>
          </cell>
          <cell r="V484">
            <v>5.8750099999999996</v>
          </cell>
        </row>
        <row r="485">
          <cell r="D485" t="str">
            <v>BC115-0E470 0001</v>
          </cell>
          <cell r="E485" t="str">
            <v>BC115-0E470</v>
          </cell>
          <cell r="F485">
            <v>0</v>
          </cell>
          <cell r="G485">
            <v>140.71709999999999</v>
          </cell>
          <cell r="H485">
            <v>3.8583333333333334E-3</v>
          </cell>
          <cell r="I485">
            <v>9.5300000000000003E-3</v>
          </cell>
          <cell r="J485">
            <v>0</v>
          </cell>
          <cell r="K485">
            <v>0</v>
          </cell>
          <cell r="L485">
            <v>3.2116666666666669E-3</v>
          </cell>
          <cell r="M485">
            <v>0</v>
          </cell>
          <cell r="N485">
            <v>5.7483333333333327E-3</v>
          </cell>
          <cell r="O485">
            <v>7.7983333333333333E-3</v>
          </cell>
          <cell r="P485">
            <v>4.4816666666666659E-3</v>
          </cell>
          <cell r="Q485">
            <v>1.3388333333333334E-2</v>
          </cell>
          <cell r="R485">
            <v>2.1239999999999998E-2</v>
          </cell>
          <cell r="S485">
            <v>0</v>
          </cell>
          <cell r="T485">
            <v>0</v>
          </cell>
          <cell r="U485">
            <v>0</v>
          </cell>
          <cell r="V485">
            <v>3.462833333333333E-2</v>
          </cell>
        </row>
        <row r="486">
          <cell r="D486" t="str">
            <v>BC115-0E570 0001</v>
          </cell>
          <cell r="E486" t="str">
            <v>BC115-0E570</v>
          </cell>
          <cell r="F486">
            <v>0</v>
          </cell>
          <cell r="G486">
            <v>140.71709999999999</v>
          </cell>
          <cell r="H486">
            <v>3.8583333333333334E-3</v>
          </cell>
          <cell r="I486">
            <v>9.5300000000000003E-3</v>
          </cell>
          <cell r="J486">
            <v>0</v>
          </cell>
          <cell r="K486">
            <v>0</v>
          </cell>
          <cell r="L486">
            <v>3.2116666666666669E-3</v>
          </cell>
          <cell r="M486">
            <v>0</v>
          </cell>
          <cell r="N486">
            <v>5.7483333333333327E-3</v>
          </cell>
          <cell r="O486">
            <v>7.7983333333333333E-3</v>
          </cell>
          <cell r="P486">
            <v>4.4816666666666659E-3</v>
          </cell>
          <cell r="Q486">
            <v>1.3388333333333334E-2</v>
          </cell>
          <cell r="R486">
            <v>2.1239999999999998E-2</v>
          </cell>
          <cell r="S486">
            <v>0</v>
          </cell>
          <cell r="T486">
            <v>0</v>
          </cell>
          <cell r="U486">
            <v>0</v>
          </cell>
          <cell r="V486">
            <v>3.462833333333333E-2</v>
          </cell>
        </row>
        <row r="487">
          <cell r="D487" t="str">
            <v>BC115-0EG80 0121</v>
          </cell>
          <cell r="E487" t="str">
            <v>BC115-0EG80</v>
          </cell>
          <cell r="F487">
            <v>0</v>
          </cell>
          <cell r="G487">
            <v>140.71709999999999</v>
          </cell>
          <cell r="H487">
            <v>3.8583333333333334E-3</v>
          </cell>
          <cell r="I487">
            <v>9.5300000000000003E-3</v>
          </cell>
          <cell r="J487">
            <v>0</v>
          </cell>
          <cell r="K487">
            <v>0</v>
          </cell>
          <cell r="L487">
            <v>3.2116666666666669E-3</v>
          </cell>
          <cell r="M487">
            <v>0</v>
          </cell>
          <cell r="N487">
            <v>5.7483333333333327E-3</v>
          </cell>
          <cell r="O487">
            <v>7.7983333333333333E-3</v>
          </cell>
          <cell r="P487">
            <v>4.4816666666666659E-3</v>
          </cell>
          <cell r="Q487">
            <v>1.3388333333333334E-2</v>
          </cell>
          <cell r="R487">
            <v>2.1239999999999998E-2</v>
          </cell>
          <cell r="S487">
            <v>0</v>
          </cell>
          <cell r="T487">
            <v>0</v>
          </cell>
          <cell r="U487">
            <v>0</v>
          </cell>
          <cell r="V487">
            <v>3.462833333333333E-2</v>
          </cell>
        </row>
        <row r="488">
          <cell r="D488" t="str">
            <v>7116-2640-02 CIVUS 0.5</v>
          </cell>
          <cell r="E488" t="str">
            <v>7116-2640-02 CIVUS 0.5</v>
          </cell>
          <cell r="F488">
            <v>4.47</v>
          </cell>
          <cell r="G488" t="str">
            <v>-</v>
          </cell>
          <cell r="H488">
            <v>7.2499999999999995E-4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2.7200000000000002E-3</v>
          </cell>
          <cell r="Q488">
            <v>7.2499999999999995E-4</v>
          </cell>
          <cell r="R488">
            <v>2.7200000000000002E-3</v>
          </cell>
          <cell r="S488">
            <v>0</v>
          </cell>
          <cell r="T488">
            <v>0</v>
          </cell>
          <cell r="U488">
            <v>0</v>
          </cell>
          <cell r="V488">
            <v>3.4450000000000001E-3</v>
          </cell>
        </row>
        <row r="489">
          <cell r="D489">
            <v>3.4449994564056396E-3</v>
          </cell>
          <cell r="E489">
            <v>3.4449994564056396E-3</v>
          </cell>
          <cell r="F489">
            <v>3.4449994564056396E-3</v>
          </cell>
          <cell r="G489">
            <v>3.4449994564056396E-3</v>
          </cell>
          <cell r="H489">
            <v>3.4449994564056396E-3</v>
          </cell>
          <cell r="I489">
            <v>3.4449994564056396E-3</v>
          </cell>
          <cell r="J489">
            <v>3.4449994564056396E-3</v>
          </cell>
          <cell r="K489">
            <v>3.4449994564056396E-3</v>
          </cell>
          <cell r="L489">
            <v>3.4449994564056396E-3</v>
          </cell>
          <cell r="M489">
            <v>3.4449994564056396E-3</v>
          </cell>
          <cell r="N489">
            <v>3.4449994564056396E-3</v>
          </cell>
          <cell r="O489">
            <v>3.4449994564056396E-3</v>
          </cell>
          <cell r="P489">
            <v>3.4449994564056396E-3</v>
          </cell>
          <cell r="Q489">
            <v>3.4449994564056396E-3</v>
          </cell>
          <cell r="R489">
            <v>3.4449994564056396E-3</v>
          </cell>
          <cell r="S489">
            <v>3.4449994564056396E-3</v>
          </cell>
          <cell r="T489">
            <v>3.4449994564056396E-3</v>
          </cell>
          <cell r="U489">
            <v>3.4449994564056396E-3</v>
          </cell>
          <cell r="V489">
            <v>3.4449994564056396E-3</v>
          </cell>
        </row>
        <row r="490">
          <cell r="D490" t="str">
            <v>7375-5168 0011</v>
          </cell>
          <cell r="E490" t="str">
            <v>73755168</v>
          </cell>
          <cell r="F490">
            <v>9.9</v>
          </cell>
          <cell r="G490">
            <v>0</v>
          </cell>
          <cell r="H490">
            <v>3.3449999999999999E-3</v>
          </cell>
          <cell r="I490">
            <v>2.2983333333333335E-2</v>
          </cell>
          <cell r="J490">
            <v>0</v>
          </cell>
          <cell r="K490">
            <v>1.65E-3</v>
          </cell>
          <cell r="L490">
            <v>1.5529999999999999E-2</v>
          </cell>
          <cell r="M490">
            <v>0</v>
          </cell>
          <cell r="N490">
            <v>1.3196666666666666E-2</v>
          </cell>
          <cell r="O490">
            <v>6.4216666666666667E-3</v>
          </cell>
          <cell r="P490">
            <v>3.1650000000000003E-3</v>
          </cell>
          <cell r="Q490">
            <v>2.6328333333333336E-2</v>
          </cell>
          <cell r="R490">
            <v>3.996333333333333E-2</v>
          </cell>
          <cell r="S490">
            <v>0</v>
          </cell>
          <cell r="T490">
            <v>0</v>
          </cell>
          <cell r="U490">
            <v>0</v>
          </cell>
          <cell r="V490">
            <v>6.6291666666666665E-2</v>
          </cell>
        </row>
        <row r="491">
          <cell r="D491" t="str">
            <v>7375-5169 0111</v>
          </cell>
          <cell r="E491" t="str">
            <v>73755169</v>
          </cell>
          <cell r="F491">
            <v>4.9000000000000004</v>
          </cell>
          <cell r="G491">
            <v>0</v>
          </cell>
          <cell r="H491">
            <v>3.0499999999999998E-3</v>
          </cell>
          <cell r="I491">
            <v>2.2983333333333335E-2</v>
          </cell>
          <cell r="J491">
            <v>0</v>
          </cell>
          <cell r="K491">
            <v>1.65E-3</v>
          </cell>
          <cell r="L491">
            <v>1.504E-2</v>
          </cell>
          <cell r="M491">
            <v>0</v>
          </cell>
          <cell r="N491">
            <v>1.3153333333333333E-2</v>
          </cell>
          <cell r="O491">
            <v>5.3449999999999999E-3</v>
          </cell>
          <cell r="P491">
            <v>2.4233333333333333E-3</v>
          </cell>
          <cell r="Q491">
            <v>2.6033333333333335E-2</v>
          </cell>
          <cell r="R491">
            <v>3.7611666666666668E-2</v>
          </cell>
          <cell r="S491">
            <v>0</v>
          </cell>
          <cell r="T491">
            <v>0</v>
          </cell>
          <cell r="U491">
            <v>0</v>
          </cell>
          <cell r="V491">
            <v>6.3645000000000007E-2</v>
          </cell>
        </row>
        <row r="492">
          <cell r="D492" t="str">
            <v>7375-5171 0011</v>
          </cell>
          <cell r="E492" t="str">
            <v>73755171</v>
          </cell>
          <cell r="F492">
            <v>9.9</v>
          </cell>
          <cell r="G492">
            <v>0</v>
          </cell>
          <cell r="H492">
            <v>3.3449999999999999E-3</v>
          </cell>
          <cell r="I492">
            <v>2.2983333333333335E-2</v>
          </cell>
          <cell r="J492">
            <v>0</v>
          </cell>
          <cell r="K492">
            <v>1.65E-3</v>
          </cell>
          <cell r="L492">
            <v>1.5529999999999999E-2</v>
          </cell>
          <cell r="M492">
            <v>0</v>
          </cell>
          <cell r="N492">
            <v>1.3196666666666666E-2</v>
          </cell>
          <cell r="O492">
            <v>6.4216666666666667E-3</v>
          </cell>
          <cell r="P492">
            <v>3.1650000000000003E-3</v>
          </cell>
          <cell r="Q492">
            <v>2.6328333333333336E-2</v>
          </cell>
          <cell r="R492">
            <v>3.996333333333333E-2</v>
          </cell>
          <cell r="S492">
            <v>0</v>
          </cell>
          <cell r="T492">
            <v>0</v>
          </cell>
          <cell r="U492">
            <v>0</v>
          </cell>
          <cell r="V492">
            <v>6.6291666666666665E-2</v>
          </cell>
        </row>
        <row r="493">
          <cell r="D493" t="str">
            <v>7475-0039 0111</v>
          </cell>
          <cell r="E493" t="str">
            <v>74750039</v>
          </cell>
          <cell r="F493">
            <v>10.199999999999999</v>
          </cell>
          <cell r="G493">
            <v>0</v>
          </cell>
          <cell r="H493">
            <v>3.3649999999999999E-3</v>
          </cell>
          <cell r="I493">
            <v>2.2983333333333335E-2</v>
          </cell>
          <cell r="J493">
            <v>0</v>
          </cell>
          <cell r="K493">
            <v>1.65E-3</v>
          </cell>
          <cell r="L493">
            <v>1.5563333333333334E-2</v>
          </cell>
          <cell r="M493">
            <v>0</v>
          </cell>
          <cell r="N493">
            <v>1.32E-2</v>
          </cell>
          <cell r="O493">
            <v>6.4933333333333336E-3</v>
          </cell>
          <cell r="P493">
            <v>3.2133333333333332E-3</v>
          </cell>
          <cell r="Q493">
            <v>2.6348333333333335E-2</v>
          </cell>
          <cell r="R493">
            <v>4.0120000000000003E-2</v>
          </cell>
          <cell r="S493">
            <v>0</v>
          </cell>
          <cell r="T493">
            <v>0</v>
          </cell>
          <cell r="U493">
            <v>0</v>
          </cell>
          <cell r="V493">
            <v>6.6468333333333338E-2</v>
          </cell>
        </row>
        <row r="494">
          <cell r="D494">
            <v>0</v>
          </cell>
          <cell r="E494" t="str">
            <v>74750040</v>
          </cell>
          <cell r="F494">
            <v>13.5</v>
          </cell>
          <cell r="G494">
            <v>0</v>
          </cell>
          <cell r="H494">
            <v>3.5583333333333331E-3</v>
          </cell>
          <cell r="I494">
            <v>2.2983333333333335E-2</v>
          </cell>
          <cell r="J494">
            <v>0</v>
          </cell>
          <cell r="K494">
            <v>1.65E-3</v>
          </cell>
          <cell r="L494">
            <v>1.5886666666666667E-2</v>
          </cell>
          <cell r="M494">
            <v>0</v>
          </cell>
          <cell r="N494">
            <v>1.3229999999999999E-2</v>
          </cell>
          <cell r="O494">
            <v>7.2183333333333327E-3</v>
          </cell>
          <cell r="P494">
            <v>3.7116666666666669E-3</v>
          </cell>
          <cell r="Q494">
            <v>2.6541666666666668E-2</v>
          </cell>
          <cell r="R494">
            <v>4.1696666666666667E-2</v>
          </cell>
          <cell r="S494">
            <v>0</v>
          </cell>
          <cell r="T494">
            <v>0</v>
          </cell>
          <cell r="U494">
            <v>0</v>
          </cell>
          <cell r="V494">
            <v>6.8238333333333331E-2</v>
          </cell>
        </row>
        <row r="495">
          <cell r="D495">
            <v>0</v>
          </cell>
          <cell r="E495" t="str">
            <v>74750041</v>
          </cell>
          <cell r="F495">
            <v>10.1</v>
          </cell>
          <cell r="G495">
            <v>0</v>
          </cell>
          <cell r="H495">
            <v>3.3633333333333336E-3</v>
          </cell>
          <cell r="I495">
            <v>2.2983333333333335E-2</v>
          </cell>
          <cell r="J495">
            <v>0</v>
          </cell>
          <cell r="K495">
            <v>1.65E-3</v>
          </cell>
          <cell r="L495">
            <v>1.5559999999999999E-2</v>
          </cell>
          <cell r="M495">
            <v>0</v>
          </cell>
          <cell r="N495">
            <v>1.32E-2</v>
          </cell>
          <cell r="O495">
            <v>6.5000000000000006E-3</v>
          </cell>
          <cell r="P495">
            <v>3.218333333333333E-3</v>
          </cell>
          <cell r="Q495">
            <v>2.6346666666666668E-2</v>
          </cell>
          <cell r="R495">
            <v>4.0128333333333328E-2</v>
          </cell>
          <cell r="S495">
            <v>0</v>
          </cell>
          <cell r="T495">
            <v>0</v>
          </cell>
          <cell r="U495">
            <v>0</v>
          </cell>
          <cell r="V495">
            <v>6.6474999999999992E-2</v>
          </cell>
        </row>
        <row r="496">
          <cell r="D496">
            <v>0</v>
          </cell>
          <cell r="E496" t="str">
            <v>74750042</v>
          </cell>
          <cell r="F496">
            <v>5.2</v>
          </cell>
          <cell r="G496">
            <v>0</v>
          </cell>
          <cell r="H496">
            <v>3.0683333333333335E-3</v>
          </cell>
          <cell r="I496">
            <v>2.2983333333333335E-2</v>
          </cell>
          <cell r="J496">
            <v>0</v>
          </cell>
          <cell r="K496">
            <v>1.65E-3</v>
          </cell>
          <cell r="L496">
            <v>1.5073333333333333E-2</v>
          </cell>
          <cell r="M496">
            <v>0</v>
          </cell>
          <cell r="N496">
            <v>1.3156666666666667E-2</v>
          </cell>
          <cell r="O496">
            <v>5.4349999999999997E-3</v>
          </cell>
          <cell r="P496">
            <v>2.4866666666666665E-3</v>
          </cell>
          <cell r="Q496">
            <v>2.6051666666666667E-2</v>
          </cell>
          <cell r="R496">
            <v>3.7801666666666664E-2</v>
          </cell>
          <cell r="S496">
            <v>0</v>
          </cell>
          <cell r="T496">
            <v>0</v>
          </cell>
          <cell r="U496">
            <v>0</v>
          </cell>
          <cell r="V496">
            <v>6.3853333333333331E-2</v>
          </cell>
        </row>
        <row r="497">
          <cell r="D497">
            <v>0</v>
          </cell>
          <cell r="E497" t="str">
            <v>74750043</v>
          </cell>
          <cell r="F497">
            <v>9.5</v>
          </cell>
          <cell r="G497">
            <v>0</v>
          </cell>
          <cell r="H497">
            <v>3.3216666666666668E-3</v>
          </cell>
          <cell r="I497">
            <v>2.2983333333333335E-2</v>
          </cell>
          <cell r="J497">
            <v>0</v>
          </cell>
          <cell r="K497">
            <v>1.65E-3</v>
          </cell>
          <cell r="L497">
            <v>1.5493333333333333E-2</v>
          </cell>
          <cell r="M497">
            <v>0</v>
          </cell>
          <cell r="N497">
            <v>1.3195E-2</v>
          </cell>
          <cell r="O497">
            <v>6.3549999999999995E-3</v>
          </cell>
          <cell r="P497">
            <v>3.1183333333333332E-3</v>
          </cell>
          <cell r="Q497">
            <v>2.6305000000000002E-2</v>
          </cell>
          <cell r="R497">
            <v>3.9811666666666669E-2</v>
          </cell>
          <cell r="S497">
            <v>0</v>
          </cell>
          <cell r="T497">
            <v>0</v>
          </cell>
          <cell r="U497">
            <v>0</v>
          </cell>
          <cell r="V497">
            <v>6.6116666666666671E-2</v>
          </cell>
        </row>
        <row r="498">
          <cell r="D498">
            <v>0</v>
          </cell>
          <cell r="E498">
            <v>74757416</v>
          </cell>
          <cell r="F498">
            <v>24.7</v>
          </cell>
          <cell r="G498">
            <v>0</v>
          </cell>
          <cell r="H498">
            <v>9.7466666666666656E-3</v>
          </cell>
          <cell r="I498">
            <v>7.911E-2</v>
          </cell>
          <cell r="J498">
            <v>0</v>
          </cell>
          <cell r="K498">
            <v>1.694E-2</v>
          </cell>
          <cell r="L498">
            <v>1.404E-2</v>
          </cell>
          <cell r="M498">
            <v>0</v>
          </cell>
          <cell r="N498">
            <v>1.2263333333333333E-2</v>
          </cell>
          <cell r="O498">
            <v>9.4833333333333332E-3</v>
          </cell>
          <cell r="P498">
            <v>5.4516666666666663E-3</v>
          </cell>
          <cell r="Q498">
            <v>8.8856666666666667E-2</v>
          </cell>
          <cell r="R498">
            <v>5.8178333333333339E-2</v>
          </cell>
          <cell r="S498">
            <v>0</v>
          </cell>
          <cell r="T498">
            <v>0</v>
          </cell>
          <cell r="U498">
            <v>0</v>
          </cell>
          <cell r="V498">
            <v>0.147035</v>
          </cell>
        </row>
        <row r="499">
          <cell r="D499">
            <v>0</v>
          </cell>
          <cell r="E499">
            <v>74757417</v>
          </cell>
          <cell r="F499">
            <v>16.100000000000001</v>
          </cell>
          <cell r="G499">
            <v>0</v>
          </cell>
          <cell r="H499">
            <v>6.4783333333333333E-3</v>
          </cell>
          <cell r="I499">
            <v>5.2740000000000002E-2</v>
          </cell>
          <cell r="J499">
            <v>0</v>
          </cell>
          <cell r="K499">
            <v>1.1293333333333332E-2</v>
          </cell>
          <cell r="L499">
            <v>1.094E-2</v>
          </cell>
          <cell r="M499">
            <v>0</v>
          </cell>
          <cell r="N499">
            <v>1.1456666666666667E-2</v>
          </cell>
          <cell r="O499">
            <v>7.4900000000000001E-3</v>
          </cell>
          <cell r="P499">
            <v>4.0833333333333329E-3</v>
          </cell>
          <cell r="Q499">
            <v>5.9218333333333338E-2</v>
          </cell>
          <cell r="R499">
            <v>4.5263333333333329E-2</v>
          </cell>
          <cell r="S499">
            <v>0</v>
          </cell>
          <cell r="T499">
            <v>0</v>
          </cell>
          <cell r="U499">
            <v>0</v>
          </cell>
          <cell r="V499">
            <v>0.10448166666666667</v>
          </cell>
        </row>
        <row r="500">
          <cell r="D500">
            <v>0</v>
          </cell>
          <cell r="E500" t="str">
            <v>74757567</v>
          </cell>
          <cell r="F500">
            <v>25.5</v>
          </cell>
          <cell r="G500">
            <v>0</v>
          </cell>
          <cell r="H500">
            <v>9.7983333333333325E-3</v>
          </cell>
          <cell r="I500">
            <v>7.911E-2</v>
          </cell>
          <cell r="J500">
            <v>0</v>
          </cell>
          <cell r="K500">
            <v>1.694E-2</v>
          </cell>
          <cell r="L500">
            <v>1.5664999999999998E-2</v>
          </cell>
          <cell r="M500">
            <v>0</v>
          </cell>
          <cell r="N500">
            <v>1.2271666666666665E-2</v>
          </cell>
          <cell r="O500">
            <v>9.6616666666666674E-3</v>
          </cell>
          <cell r="P500" t="str">
            <v>v</v>
          </cell>
          <cell r="Q500">
            <v>8.8908333333333339E-2</v>
          </cell>
          <cell r="R500">
            <v>6.011166666666666E-2</v>
          </cell>
          <cell r="S500">
            <v>0</v>
          </cell>
          <cell r="T500">
            <v>0</v>
          </cell>
          <cell r="U500">
            <v>0</v>
          </cell>
          <cell r="V500">
            <v>0.14901999999999999</v>
          </cell>
        </row>
        <row r="501">
          <cell r="D501">
            <v>0</v>
          </cell>
          <cell r="E501" t="str">
            <v>74757568</v>
          </cell>
          <cell r="F501">
            <v>17.5</v>
          </cell>
          <cell r="G501">
            <v>0</v>
          </cell>
          <cell r="H501">
            <v>6.5599999999999999E-3</v>
          </cell>
          <cell r="I501">
            <v>5.2740000000000002E-2</v>
          </cell>
          <cell r="J501">
            <v>0</v>
          </cell>
          <cell r="K501">
            <v>1.1293333333333332E-2</v>
          </cell>
          <cell r="L501">
            <v>1.2614999999999999E-2</v>
          </cell>
          <cell r="M501">
            <v>0</v>
          </cell>
          <cell r="N501">
            <v>1.1468333333333334E-2</v>
          </cell>
          <cell r="O501">
            <v>7.7799999999999996E-3</v>
          </cell>
          <cell r="P501">
            <v>4.2833333333333334E-3</v>
          </cell>
          <cell r="Q501">
            <v>5.9300000000000005E-2</v>
          </cell>
          <cell r="R501">
            <v>4.7440000000000003E-2</v>
          </cell>
          <cell r="S501">
            <v>0</v>
          </cell>
          <cell r="T501">
            <v>0</v>
          </cell>
          <cell r="U501">
            <v>0</v>
          </cell>
          <cell r="V501">
            <v>0.10674</v>
          </cell>
        </row>
        <row r="502">
          <cell r="D502">
            <v>0.10673999786376953</v>
          </cell>
          <cell r="E502">
            <v>0.10673999786376953</v>
          </cell>
          <cell r="F502">
            <v>0.10673999786376953</v>
          </cell>
          <cell r="G502">
            <v>0.10673999786376953</v>
          </cell>
          <cell r="H502">
            <v>0.10673999786376953</v>
          </cell>
          <cell r="I502">
            <v>0.10673999786376953</v>
          </cell>
          <cell r="J502">
            <v>0.10673999786376953</v>
          </cell>
          <cell r="K502">
            <v>0.10673999786376953</v>
          </cell>
          <cell r="L502">
            <v>0.10673999786376953</v>
          </cell>
          <cell r="M502">
            <v>0.10673999786376953</v>
          </cell>
          <cell r="N502">
            <v>0.10673999786376953</v>
          </cell>
          <cell r="O502">
            <v>0.10673999786376953</v>
          </cell>
          <cell r="P502">
            <v>0.10673999786376953</v>
          </cell>
          <cell r="Q502">
            <v>0.10673999786376953</v>
          </cell>
          <cell r="R502">
            <v>0.10673999786376953</v>
          </cell>
          <cell r="S502">
            <v>0.10673999786376953</v>
          </cell>
          <cell r="T502">
            <v>0.10673999786376953</v>
          </cell>
          <cell r="U502">
            <v>0.10673999786376953</v>
          </cell>
          <cell r="V502">
            <v>0.10673999786376953</v>
          </cell>
        </row>
        <row r="503">
          <cell r="D503">
            <v>0.10673999786376953</v>
          </cell>
          <cell r="E503">
            <v>0.10673999786376953</v>
          </cell>
          <cell r="F503">
            <v>0.10673999786376953</v>
          </cell>
          <cell r="G503">
            <v>0.10673999786376953</v>
          </cell>
          <cell r="H503">
            <v>0.10673999786376953</v>
          </cell>
          <cell r="I503">
            <v>0.10673999786376953</v>
          </cell>
          <cell r="J503">
            <v>0.10673999786376953</v>
          </cell>
          <cell r="K503">
            <v>0.10673999786376953</v>
          </cell>
          <cell r="L503">
            <v>0.10673999786376953</v>
          </cell>
          <cell r="M503">
            <v>0.10673999786376953</v>
          </cell>
          <cell r="N503">
            <v>0.10673999786376953</v>
          </cell>
          <cell r="O503">
            <v>0.10673999786376953</v>
          </cell>
          <cell r="P503">
            <v>0.10673999786376953</v>
          </cell>
          <cell r="Q503">
            <v>0.10673999786376953</v>
          </cell>
          <cell r="R503">
            <v>0.10673999786376953</v>
          </cell>
          <cell r="S503">
            <v>0.10673999786376953</v>
          </cell>
          <cell r="T503">
            <v>0.10673999786376953</v>
          </cell>
          <cell r="U503">
            <v>0.10673999786376953</v>
          </cell>
          <cell r="V503">
            <v>0.10673999786376953</v>
          </cell>
        </row>
        <row r="504">
          <cell r="D504">
            <v>0.10673999786376953</v>
          </cell>
          <cell r="E504">
            <v>0.10673999786376953</v>
          </cell>
          <cell r="F504">
            <v>0.10673999786376953</v>
          </cell>
          <cell r="G504">
            <v>0.10673999786376953</v>
          </cell>
          <cell r="H504">
            <v>0.10673999786376953</v>
          </cell>
          <cell r="I504">
            <v>0.10673999786376953</v>
          </cell>
          <cell r="J504">
            <v>0.10673999786376953</v>
          </cell>
          <cell r="K504">
            <v>0.10673999786376953</v>
          </cell>
          <cell r="L504">
            <v>0.10673999786376953</v>
          </cell>
          <cell r="M504">
            <v>0.10673999786376953</v>
          </cell>
          <cell r="N504">
            <v>0.10673999786376953</v>
          </cell>
          <cell r="O504">
            <v>0.10673999786376953</v>
          </cell>
          <cell r="P504">
            <v>0.10673999786376953</v>
          </cell>
          <cell r="Q504">
            <v>0.10673999786376953</v>
          </cell>
          <cell r="R504">
            <v>0.10673999786376953</v>
          </cell>
          <cell r="S504">
            <v>0.10673999786376953</v>
          </cell>
          <cell r="T504">
            <v>0.10673999786376953</v>
          </cell>
          <cell r="U504">
            <v>0.10673999786376953</v>
          </cell>
          <cell r="V504">
            <v>0.10673999786376953</v>
          </cell>
        </row>
        <row r="505">
          <cell r="D505">
            <v>0.10673999786376953</v>
          </cell>
          <cell r="E505">
            <v>0.10673999786376953</v>
          </cell>
          <cell r="F505">
            <v>0.10673999786376953</v>
          </cell>
          <cell r="G505">
            <v>0.10673999786376953</v>
          </cell>
          <cell r="H505">
            <v>0.10673999786376953</v>
          </cell>
          <cell r="I505">
            <v>0.10673999786376953</v>
          </cell>
          <cell r="J505">
            <v>0.10673999786376953</v>
          </cell>
          <cell r="K505">
            <v>0.10673999786376953</v>
          </cell>
          <cell r="L505">
            <v>0.10673999786376953</v>
          </cell>
          <cell r="M505">
            <v>0.10673999786376953</v>
          </cell>
          <cell r="N505">
            <v>0.10673999786376953</v>
          </cell>
          <cell r="O505">
            <v>0.10673999786376953</v>
          </cell>
          <cell r="P505">
            <v>0.10673999786376953</v>
          </cell>
          <cell r="Q505">
            <v>0.10673999786376953</v>
          </cell>
          <cell r="R505">
            <v>0.10673999786376953</v>
          </cell>
          <cell r="S505">
            <v>0.10673999786376953</v>
          </cell>
          <cell r="T505">
            <v>0.10673999786376953</v>
          </cell>
          <cell r="U505">
            <v>0.10673999786376953</v>
          </cell>
          <cell r="V505">
            <v>0.10673999786376953</v>
          </cell>
        </row>
        <row r="506">
          <cell r="D506">
            <v>0.10673999786376953</v>
          </cell>
          <cell r="E506">
            <v>0.10673999786376953</v>
          </cell>
          <cell r="F506">
            <v>0.10673999786376953</v>
          </cell>
          <cell r="G506">
            <v>0.10673999786376953</v>
          </cell>
          <cell r="H506">
            <v>0.10673999786376953</v>
          </cell>
          <cell r="I506">
            <v>0.10673999786376953</v>
          </cell>
          <cell r="J506">
            <v>0.10673999786376953</v>
          </cell>
          <cell r="K506">
            <v>0.10673999786376953</v>
          </cell>
          <cell r="L506">
            <v>0.10673999786376953</v>
          </cell>
          <cell r="M506">
            <v>0.10673999786376953</v>
          </cell>
          <cell r="N506">
            <v>0.10673999786376953</v>
          </cell>
          <cell r="O506">
            <v>0.10673999786376953</v>
          </cell>
          <cell r="P506">
            <v>0.10673999786376953</v>
          </cell>
          <cell r="Q506">
            <v>0.10673999786376953</v>
          </cell>
          <cell r="R506">
            <v>0.10673999786376953</v>
          </cell>
          <cell r="S506">
            <v>0.10673999786376953</v>
          </cell>
          <cell r="T506">
            <v>0.10673999786376953</v>
          </cell>
          <cell r="U506">
            <v>0.10673999786376953</v>
          </cell>
          <cell r="V506">
            <v>0.10673999786376953</v>
          </cell>
        </row>
        <row r="507">
          <cell r="D507">
            <v>0.10673999786376953</v>
          </cell>
          <cell r="E507">
            <v>0.10673999786376953</v>
          </cell>
          <cell r="F507">
            <v>0.10673999786376953</v>
          </cell>
          <cell r="G507">
            <v>0.10673999786376953</v>
          </cell>
          <cell r="H507">
            <v>0.10673999786376953</v>
          </cell>
          <cell r="I507">
            <v>0.10673999786376953</v>
          </cell>
          <cell r="J507">
            <v>0.10673999786376953</v>
          </cell>
          <cell r="K507">
            <v>0.10673999786376953</v>
          </cell>
          <cell r="L507">
            <v>0.10673999786376953</v>
          </cell>
          <cell r="M507">
            <v>0.10673999786376953</v>
          </cell>
          <cell r="N507">
            <v>0.10673999786376953</v>
          </cell>
          <cell r="O507">
            <v>0.10673999786376953</v>
          </cell>
          <cell r="P507">
            <v>0.10673999786376953</v>
          </cell>
          <cell r="Q507">
            <v>0.10673999786376953</v>
          </cell>
          <cell r="R507">
            <v>0.10673999786376953</v>
          </cell>
          <cell r="S507">
            <v>0.10673999786376953</v>
          </cell>
          <cell r="T507">
            <v>0.10673999786376953</v>
          </cell>
          <cell r="U507">
            <v>0.10673999786376953</v>
          </cell>
          <cell r="V507">
            <v>0.10673999786376953</v>
          </cell>
        </row>
        <row r="508">
          <cell r="D508">
            <v>0.10673999786376953</v>
          </cell>
          <cell r="E508">
            <v>0.10673999786376953</v>
          </cell>
          <cell r="F508">
            <v>0.10673999786376953</v>
          </cell>
          <cell r="G508">
            <v>0.10673999786376953</v>
          </cell>
          <cell r="H508">
            <v>0.10673999786376953</v>
          </cell>
          <cell r="I508">
            <v>0.10673999786376953</v>
          </cell>
          <cell r="J508">
            <v>0.10673999786376953</v>
          </cell>
          <cell r="K508">
            <v>0.10673999786376953</v>
          </cell>
          <cell r="L508">
            <v>0.10673999786376953</v>
          </cell>
          <cell r="M508">
            <v>0.10673999786376953</v>
          </cell>
          <cell r="N508">
            <v>0.10673999786376953</v>
          </cell>
          <cell r="O508">
            <v>0.10673999786376953</v>
          </cell>
          <cell r="P508">
            <v>0.10673999786376953</v>
          </cell>
          <cell r="Q508">
            <v>0.10673999786376953</v>
          </cell>
          <cell r="R508">
            <v>0.10673999786376953</v>
          </cell>
          <cell r="S508">
            <v>0.10673999786376953</v>
          </cell>
          <cell r="T508">
            <v>0.10673999786376953</v>
          </cell>
          <cell r="U508">
            <v>0.10673999786376953</v>
          </cell>
          <cell r="V508">
            <v>0.10673999786376953</v>
          </cell>
        </row>
        <row r="509">
          <cell r="D509">
            <v>0.10673999786376953</v>
          </cell>
          <cell r="E509">
            <v>0.10673999786376953</v>
          </cell>
          <cell r="F509">
            <v>0.10673999786376953</v>
          </cell>
          <cell r="G509">
            <v>0.10673999786376953</v>
          </cell>
          <cell r="H509">
            <v>0.10673999786376953</v>
          </cell>
          <cell r="I509">
            <v>0.10673999786376953</v>
          </cell>
          <cell r="J509">
            <v>0.10673999786376953</v>
          </cell>
          <cell r="K509">
            <v>0.10673999786376953</v>
          </cell>
          <cell r="L509">
            <v>0.10673999786376953</v>
          </cell>
          <cell r="M509">
            <v>0.10673999786376953</v>
          </cell>
          <cell r="N509">
            <v>0.10673999786376953</v>
          </cell>
          <cell r="O509">
            <v>0.10673999786376953</v>
          </cell>
          <cell r="P509">
            <v>0.10673999786376953</v>
          </cell>
          <cell r="Q509">
            <v>0.10673999786376953</v>
          </cell>
          <cell r="R509">
            <v>0.10673999786376953</v>
          </cell>
          <cell r="S509">
            <v>0.10673999786376953</v>
          </cell>
          <cell r="T509">
            <v>0.10673999786376953</v>
          </cell>
          <cell r="U509">
            <v>0.10673999786376953</v>
          </cell>
          <cell r="V509">
            <v>0.10673999786376953</v>
          </cell>
        </row>
        <row r="510">
          <cell r="D510">
            <v>0.10673999786376953</v>
          </cell>
          <cell r="E510">
            <v>0.10673999786376953</v>
          </cell>
          <cell r="F510">
            <v>0.10673999786376953</v>
          </cell>
          <cell r="G510">
            <v>0.10673999786376953</v>
          </cell>
          <cell r="H510">
            <v>0.10673999786376953</v>
          </cell>
          <cell r="I510">
            <v>0.10673999786376953</v>
          </cell>
          <cell r="J510">
            <v>0.10673999786376953</v>
          </cell>
          <cell r="K510">
            <v>0.10673999786376953</v>
          </cell>
          <cell r="L510">
            <v>0.10673999786376953</v>
          </cell>
          <cell r="M510">
            <v>0.10673999786376953</v>
          </cell>
          <cell r="N510">
            <v>0.10673999786376953</v>
          </cell>
          <cell r="O510">
            <v>0.10673999786376953</v>
          </cell>
          <cell r="P510">
            <v>0.10673999786376953</v>
          </cell>
          <cell r="Q510">
            <v>0.10673999786376953</v>
          </cell>
          <cell r="R510">
            <v>0.10673999786376953</v>
          </cell>
          <cell r="S510">
            <v>0.10673999786376953</v>
          </cell>
          <cell r="T510">
            <v>0.10673999786376953</v>
          </cell>
          <cell r="U510">
            <v>0.10673999786376953</v>
          </cell>
          <cell r="V510">
            <v>0.10673999786376953</v>
          </cell>
        </row>
        <row r="511">
          <cell r="E511">
            <v>0.10673999786376953</v>
          </cell>
          <cell r="F511">
            <v>0.10673999786376953</v>
          </cell>
          <cell r="G511">
            <v>0.10673999786376953</v>
          </cell>
          <cell r="H511">
            <v>0.10673999786376953</v>
          </cell>
          <cell r="I511">
            <v>0.10673999786376953</v>
          </cell>
          <cell r="J511">
            <v>0.10673999786376953</v>
          </cell>
          <cell r="K511">
            <v>0.10673999786376953</v>
          </cell>
          <cell r="L511">
            <v>0.10673999786376953</v>
          </cell>
          <cell r="M511">
            <v>0.10673999786376953</v>
          </cell>
          <cell r="N511">
            <v>0.10673999786376953</v>
          </cell>
          <cell r="O511">
            <v>0.10673999786376953</v>
          </cell>
          <cell r="P511">
            <v>0.10673999786376953</v>
          </cell>
          <cell r="Q511">
            <v>0.10673999786376953</v>
          </cell>
          <cell r="R511">
            <v>0.10673999786376953</v>
          </cell>
          <cell r="S511">
            <v>0.10673999786376953</v>
          </cell>
          <cell r="T511">
            <v>0.10673999786376953</v>
          </cell>
          <cell r="U511">
            <v>0.10673999786376953</v>
          </cell>
          <cell r="V511">
            <v>0.10673999786376953</v>
          </cell>
        </row>
        <row r="512">
          <cell r="E512">
            <v>0.10673999786376953</v>
          </cell>
          <cell r="F512">
            <v>0.10673999786376953</v>
          </cell>
          <cell r="G512">
            <v>0.10673999786376953</v>
          </cell>
          <cell r="H512">
            <v>0.10673999786376953</v>
          </cell>
          <cell r="I512">
            <v>0.10673999786376953</v>
          </cell>
          <cell r="J512">
            <v>0.10673999786376953</v>
          </cell>
          <cell r="K512">
            <v>0.10673999786376953</v>
          </cell>
          <cell r="L512">
            <v>0.10673999786376953</v>
          </cell>
          <cell r="M512">
            <v>0.10673999786376953</v>
          </cell>
          <cell r="N512">
            <v>0.10673999786376953</v>
          </cell>
          <cell r="O512">
            <v>0.10673999786376953</v>
          </cell>
          <cell r="P512">
            <v>0.10673999786376953</v>
          </cell>
          <cell r="Q512">
            <v>0.10673999786376953</v>
          </cell>
          <cell r="R512">
            <v>0.10673999786376953</v>
          </cell>
          <cell r="S512">
            <v>0.10673999786376953</v>
          </cell>
          <cell r="T512">
            <v>0.10673999786376953</v>
          </cell>
          <cell r="U512">
            <v>0.10673999786376953</v>
          </cell>
          <cell r="V512">
            <v>0.10673999786376953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8">
          <cell r="B8" t="str">
            <v>BC121-6B370-1 B 0001</v>
          </cell>
          <cell r="C8" t="str">
            <v>120D</v>
          </cell>
          <cell r="D8">
            <v>390</v>
          </cell>
          <cell r="E8">
            <v>480</v>
          </cell>
          <cell r="F8">
            <v>510</v>
          </cell>
          <cell r="G8">
            <v>420</v>
          </cell>
          <cell r="H8">
            <v>840</v>
          </cell>
          <cell r="I8">
            <v>0</v>
          </cell>
          <cell r="J8">
            <v>390</v>
          </cell>
          <cell r="K8">
            <v>330</v>
          </cell>
          <cell r="N8">
            <v>3360</v>
          </cell>
          <cell r="O8">
            <v>660</v>
          </cell>
          <cell r="P8">
            <v>690</v>
          </cell>
          <cell r="Q8">
            <v>600</v>
          </cell>
          <cell r="R8">
            <v>570</v>
          </cell>
          <cell r="T8">
            <v>2520</v>
          </cell>
          <cell r="U8">
            <v>690</v>
          </cell>
          <cell r="V8">
            <v>480</v>
          </cell>
          <cell r="W8">
            <v>0</v>
          </cell>
          <cell r="X8">
            <v>780</v>
          </cell>
          <cell r="Z8">
            <v>1950</v>
          </cell>
          <cell r="AA8">
            <v>660</v>
          </cell>
          <cell r="AB8">
            <v>510</v>
          </cell>
          <cell r="AC8">
            <v>660</v>
          </cell>
          <cell r="AD8">
            <v>720</v>
          </cell>
          <cell r="AF8">
            <v>2550</v>
          </cell>
          <cell r="AG8">
            <v>735</v>
          </cell>
          <cell r="AH8">
            <v>735</v>
          </cell>
          <cell r="AI8">
            <v>735</v>
          </cell>
          <cell r="AJ8">
            <v>735</v>
          </cell>
          <cell r="AL8">
            <v>2940</v>
          </cell>
        </row>
        <row r="9">
          <cell r="B9" t="str">
            <v>BC121-6B370-2 B 0001</v>
          </cell>
          <cell r="C9" t="str">
            <v>120D</v>
          </cell>
          <cell r="D9">
            <v>390</v>
          </cell>
          <cell r="E9">
            <v>480</v>
          </cell>
          <cell r="F9">
            <v>510</v>
          </cell>
          <cell r="G9">
            <v>420</v>
          </cell>
          <cell r="H9">
            <v>840</v>
          </cell>
          <cell r="I9">
            <v>0</v>
          </cell>
          <cell r="J9">
            <v>390</v>
          </cell>
          <cell r="K9">
            <v>330</v>
          </cell>
          <cell r="N9">
            <v>3360</v>
          </cell>
          <cell r="O9">
            <v>660</v>
          </cell>
          <cell r="P9">
            <v>690</v>
          </cell>
          <cell r="Q9">
            <v>600</v>
          </cell>
          <cell r="R9">
            <v>570</v>
          </cell>
          <cell r="T9">
            <v>2520</v>
          </cell>
          <cell r="U9">
            <v>690</v>
          </cell>
          <cell r="V9">
            <v>480</v>
          </cell>
          <cell r="W9">
            <v>0</v>
          </cell>
          <cell r="X9">
            <v>780</v>
          </cell>
          <cell r="Z9">
            <v>1950</v>
          </cell>
          <cell r="AA9">
            <v>660</v>
          </cell>
          <cell r="AB9">
            <v>510</v>
          </cell>
          <cell r="AC9">
            <v>660</v>
          </cell>
          <cell r="AD9">
            <v>720</v>
          </cell>
          <cell r="AF9">
            <v>2550</v>
          </cell>
          <cell r="AG9">
            <v>735</v>
          </cell>
          <cell r="AH9">
            <v>735</v>
          </cell>
          <cell r="AI9">
            <v>735</v>
          </cell>
          <cell r="AJ9">
            <v>735</v>
          </cell>
          <cell r="AL9">
            <v>2940</v>
          </cell>
        </row>
        <row r="10">
          <cell r="B10" t="str">
            <v>BC121-6B220-1 B 0001</v>
          </cell>
          <cell r="C10" t="str">
            <v>120D</v>
          </cell>
          <cell r="D10">
            <v>160</v>
          </cell>
          <cell r="E10">
            <v>320</v>
          </cell>
          <cell r="F10">
            <v>320</v>
          </cell>
          <cell r="G10">
            <v>400</v>
          </cell>
          <cell r="H10">
            <v>800</v>
          </cell>
          <cell r="I10">
            <v>0</v>
          </cell>
          <cell r="J10">
            <v>240</v>
          </cell>
          <cell r="K10">
            <v>320</v>
          </cell>
          <cell r="N10">
            <v>2560</v>
          </cell>
          <cell r="O10">
            <v>560</v>
          </cell>
          <cell r="P10">
            <v>640</v>
          </cell>
          <cell r="Q10">
            <v>720</v>
          </cell>
          <cell r="R10">
            <v>720</v>
          </cell>
          <cell r="T10">
            <v>2640</v>
          </cell>
          <cell r="U10">
            <v>800</v>
          </cell>
          <cell r="V10">
            <v>640</v>
          </cell>
          <cell r="W10">
            <v>0</v>
          </cell>
          <cell r="X10">
            <v>880</v>
          </cell>
          <cell r="Z10">
            <v>2320</v>
          </cell>
          <cell r="AA10">
            <v>800</v>
          </cell>
          <cell r="AB10">
            <v>560</v>
          </cell>
          <cell r="AC10">
            <v>800</v>
          </cell>
          <cell r="AD10">
            <v>800</v>
          </cell>
          <cell r="AF10">
            <v>2960</v>
          </cell>
          <cell r="AG10">
            <v>980</v>
          </cell>
          <cell r="AH10">
            <v>980</v>
          </cell>
          <cell r="AI10">
            <v>980</v>
          </cell>
          <cell r="AJ10">
            <v>980</v>
          </cell>
          <cell r="AL10">
            <v>3920</v>
          </cell>
        </row>
        <row r="11">
          <cell r="B11" t="str">
            <v>BC121-6B250-1 B 0001</v>
          </cell>
          <cell r="C11" t="str">
            <v>120D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60</v>
          </cell>
          <cell r="I11">
            <v>0</v>
          </cell>
          <cell r="J11">
            <v>0</v>
          </cell>
          <cell r="K11">
            <v>30</v>
          </cell>
          <cell r="N11">
            <v>90</v>
          </cell>
          <cell r="O11">
            <v>30</v>
          </cell>
          <cell r="P11">
            <v>0</v>
          </cell>
          <cell r="Q11">
            <v>30</v>
          </cell>
          <cell r="R11">
            <v>30</v>
          </cell>
          <cell r="T11">
            <v>90</v>
          </cell>
          <cell r="U11">
            <v>30</v>
          </cell>
          <cell r="V11">
            <v>0</v>
          </cell>
          <cell r="W11">
            <v>0</v>
          </cell>
          <cell r="X11">
            <v>30</v>
          </cell>
          <cell r="Z11">
            <v>60</v>
          </cell>
          <cell r="AA11">
            <v>30</v>
          </cell>
          <cell r="AB11">
            <v>30</v>
          </cell>
          <cell r="AC11">
            <v>30</v>
          </cell>
          <cell r="AD11">
            <v>30</v>
          </cell>
          <cell r="AF11">
            <v>120</v>
          </cell>
          <cell r="AG11">
            <v>37.5</v>
          </cell>
          <cell r="AH11">
            <v>37.5</v>
          </cell>
          <cell r="AI11">
            <v>37.5</v>
          </cell>
          <cell r="AJ11">
            <v>37.5</v>
          </cell>
          <cell r="AL11">
            <v>150</v>
          </cell>
        </row>
        <row r="12">
          <cell r="B12" t="str">
            <v>BC121-6B260-1 B 0001</v>
          </cell>
          <cell r="C12" t="str">
            <v>120D</v>
          </cell>
          <cell r="D12">
            <v>440</v>
          </cell>
          <cell r="E12">
            <v>400</v>
          </cell>
          <cell r="F12">
            <v>560</v>
          </cell>
          <cell r="G12">
            <v>560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N12">
            <v>1960</v>
          </cell>
          <cell r="O12">
            <v>260</v>
          </cell>
          <cell r="P12">
            <v>440</v>
          </cell>
          <cell r="Q12">
            <v>440</v>
          </cell>
          <cell r="R12">
            <v>440</v>
          </cell>
          <cell r="T12">
            <v>1580</v>
          </cell>
          <cell r="U12">
            <v>520</v>
          </cell>
          <cell r="V12">
            <v>360</v>
          </cell>
          <cell r="W12">
            <v>0</v>
          </cell>
          <cell r="X12">
            <v>600</v>
          </cell>
          <cell r="Z12">
            <v>1480</v>
          </cell>
          <cell r="AA12">
            <v>480</v>
          </cell>
          <cell r="AB12">
            <v>400</v>
          </cell>
          <cell r="AC12">
            <v>500</v>
          </cell>
          <cell r="AD12">
            <v>600</v>
          </cell>
          <cell r="AF12">
            <v>1980</v>
          </cell>
          <cell r="AG12">
            <v>780</v>
          </cell>
          <cell r="AH12">
            <v>780</v>
          </cell>
          <cell r="AI12">
            <v>780</v>
          </cell>
          <cell r="AJ12">
            <v>780</v>
          </cell>
          <cell r="AL12">
            <v>3120</v>
          </cell>
        </row>
        <row r="13">
          <cell r="B13" t="str">
            <v>BC121-6B230-1 B 0001</v>
          </cell>
          <cell r="C13" t="str">
            <v>120D</v>
          </cell>
        </row>
        <row r="14">
          <cell r="B14" t="str">
            <v>BC121-6AM60-1 C 0001</v>
          </cell>
          <cell r="C14" t="str">
            <v>120D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F14">
            <v>0</v>
          </cell>
          <cell r="AG14">
            <v>610</v>
          </cell>
          <cell r="AH14">
            <v>610</v>
          </cell>
          <cell r="AI14">
            <v>610</v>
          </cell>
          <cell r="AJ14">
            <v>610</v>
          </cell>
          <cell r="AL14">
            <v>2440</v>
          </cell>
        </row>
        <row r="15">
          <cell r="B15" t="str">
            <v>BC121-35G70-1 D 0001</v>
          </cell>
          <cell r="C15" t="str">
            <v>930B</v>
          </cell>
          <cell r="D15">
            <v>540</v>
          </cell>
          <cell r="E15">
            <v>540</v>
          </cell>
          <cell r="F15">
            <v>780</v>
          </cell>
          <cell r="G15">
            <v>600</v>
          </cell>
          <cell r="H15">
            <v>810</v>
          </cell>
          <cell r="I15">
            <v>0</v>
          </cell>
          <cell r="J15">
            <v>420</v>
          </cell>
          <cell r="K15">
            <v>450</v>
          </cell>
          <cell r="N15">
            <v>4140</v>
          </cell>
          <cell r="O15">
            <v>840</v>
          </cell>
          <cell r="P15">
            <v>900</v>
          </cell>
          <cell r="Q15">
            <v>960</v>
          </cell>
          <cell r="R15">
            <v>990</v>
          </cell>
          <cell r="T15">
            <v>3690</v>
          </cell>
          <cell r="U15">
            <v>1140</v>
          </cell>
          <cell r="V15">
            <v>810</v>
          </cell>
          <cell r="W15">
            <v>0</v>
          </cell>
          <cell r="X15">
            <v>1230</v>
          </cell>
          <cell r="Z15">
            <v>3180</v>
          </cell>
          <cell r="AA15">
            <v>1050</v>
          </cell>
          <cell r="AB15">
            <v>810</v>
          </cell>
          <cell r="AC15">
            <v>960</v>
          </cell>
          <cell r="AD15">
            <v>870</v>
          </cell>
          <cell r="AF15">
            <v>3690</v>
          </cell>
          <cell r="AG15">
            <v>1072.5</v>
          </cell>
          <cell r="AH15">
            <v>1072.5</v>
          </cell>
          <cell r="AI15">
            <v>1072.5</v>
          </cell>
          <cell r="AJ15">
            <v>1072.5</v>
          </cell>
          <cell r="AL15">
            <v>4290</v>
          </cell>
        </row>
        <row r="16">
          <cell r="B16" t="str">
            <v>BC121-35G90-1 D 0001</v>
          </cell>
          <cell r="C16" t="str">
            <v>930B</v>
          </cell>
          <cell r="D16">
            <v>160</v>
          </cell>
          <cell r="E16">
            <v>460</v>
          </cell>
          <cell r="F16">
            <v>120</v>
          </cell>
          <cell r="G16">
            <v>200</v>
          </cell>
          <cell r="H16">
            <v>280</v>
          </cell>
          <cell r="I16">
            <v>0</v>
          </cell>
          <cell r="J16">
            <v>120</v>
          </cell>
          <cell r="K16">
            <v>180</v>
          </cell>
          <cell r="N16">
            <v>1520</v>
          </cell>
          <cell r="O16">
            <v>280</v>
          </cell>
          <cell r="P16">
            <v>300</v>
          </cell>
          <cell r="Q16">
            <v>380</v>
          </cell>
          <cell r="R16">
            <v>380</v>
          </cell>
          <cell r="T16">
            <v>1340</v>
          </cell>
          <cell r="U16">
            <v>440</v>
          </cell>
          <cell r="V16">
            <v>280</v>
          </cell>
          <cell r="W16">
            <v>0</v>
          </cell>
          <cell r="X16">
            <v>460</v>
          </cell>
          <cell r="Z16">
            <v>1180</v>
          </cell>
          <cell r="AA16">
            <v>360</v>
          </cell>
          <cell r="AB16">
            <v>300</v>
          </cell>
          <cell r="AC16">
            <v>360</v>
          </cell>
          <cell r="AD16">
            <v>380</v>
          </cell>
          <cell r="AF16">
            <v>1400</v>
          </cell>
          <cell r="AG16">
            <v>405</v>
          </cell>
          <cell r="AH16">
            <v>405</v>
          </cell>
          <cell r="AI16">
            <v>405</v>
          </cell>
          <cell r="AJ16">
            <v>405</v>
          </cell>
          <cell r="AL16">
            <v>1620</v>
          </cell>
        </row>
        <row r="17">
          <cell r="B17" t="str">
            <v>BC121-35K80-1 C 0001</v>
          </cell>
          <cell r="C17" t="str">
            <v>930B</v>
          </cell>
          <cell r="D17">
            <v>0</v>
          </cell>
          <cell r="E17">
            <v>0</v>
          </cell>
          <cell r="F17">
            <v>0</v>
          </cell>
          <cell r="G17">
            <v>120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N17">
            <v>120</v>
          </cell>
          <cell r="O17">
            <v>0</v>
          </cell>
          <cell r="P17">
            <v>0</v>
          </cell>
          <cell r="Q17">
            <v>240</v>
          </cell>
          <cell r="R17">
            <v>510</v>
          </cell>
          <cell r="T17">
            <v>750</v>
          </cell>
          <cell r="U17">
            <v>570</v>
          </cell>
          <cell r="V17">
            <v>450</v>
          </cell>
          <cell r="W17">
            <v>0</v>
          </cell>
          <cell r="X17">
            <v>660</v>
          </cell>
          <cell r="Z17">
            <v>1680</v>
          </cell>
          <cell r="AA17">
            <v>570</v>
          </cell>
          <cell r="AB17">
            <v>450</v>
          </cell>
          <cell r="AC17">
            <v>570</v>
          </cell>
          <cell r="AD17">
            <v>510</v>
          </cell>
          <cell r="AF17">
            <v>2100</v>
          </cell>
          <cell r="AG17">
            <v>517.5</v>
          </cell>
          <cell r="AH17">
            <v>517.5</v>
          </cell>
          <cell r="AI17">
            <v>517.5</v>
          </cell>
          <cell r="AJ17">
            <v>517.5</v>
          </cell>
          <cell r="AL17">
            <v>2070</v>
          </cell>
        </row>
        <row r="18">
          <cell r="B18" t="str">
            <v>BC111-2FE72-1 F 0201</v>
          </cell>
          <cell r="C18" t="str">
            <v>BC 602W</v>
          </cell>
          <cell r="D18">
            <v>120</v>
          </cell>
          <cell r="E18">
            <v>120</v>
          </cell>
          <cell r="F18">
            <v>360</v>
          </cell>
          <cell r="G18">
            <v>180</v>
          </cell>
          <cell r="H18">
            <v>360</v>
          </cell>
          <cell r="I18">
            <v>0</v>
          </cell>
          <cell r="J18">
            <v>360</v>
          </cell>
          <cell r="K18">
            <v>120</v>
          </cell>
          <cell r="N18">
            <v>1620</v>
          </cell>
          <cell r="O18">
            <v>360</v>
          </cell>
          <cell r="P18">
            <v>360</v>
          </cell>
          <cell r="Q18">
            <v>420</v>
          </cell>
          <cell r="R18">
            <v>420</v>
          </cell>
          <cell r="T18">
            <v>1560</v>
          </cell>
          <cell r="U18">
            <v>540</v>
          </cell>
          <cell r="V18">
            <v>300</v>
          </cell>
          <cell r="W18">
            <v>0</v>
          </cell>
          <cell r="X18">
            <v>480</v>
          </cell>
          <cell r="Z18">
            <v>1320</v>
          </cell>
          <cell r="AA18">
            <v>420</v>
          </cell>
          <cell r="AB18">
            <v>300</v>
          </cell>
          <cell r="AC18">
            <v>420</v>
          </cell>
          <cell r="AD18">
            <v>300</v>
          </cell>
          <cell r="AF18">
            <v>1440</v>
          </cell>
          <cell r="AG18">
            <v>420</v>
          </cell>
          <cell r="AH18">
            <v>420</v>
          </cell>
          <cell r="AI18">
            <v>420</v>
          </cell>
          <cell r="AJ18">
            <v>420</v>
          </cell>
          <cell r="AL18">
            <v>1680</v>
          </cell>
        </row>
        <row r="19">
          <cell r="B19" t="str">
            <v>BC111-2FE72-2 F 0201</v>
          </cell>
          <cell r="C19" t="str">
            <v>BC 602W</v>
          </cell>
          <cell r="D19">
            <v>280</v>
          </cell>
          <cell r="E19">
            <v>180</v>
          </cell>
          <cell r="F19">
            <v>340</v>
          </cell>
          <cell r="G19">
            <v>120</v>
          </cell>
          <cell r="H19">
            <v>420</v>
          </cell>
          <cell r="I19">
            <v>0</v>
          </cell>
          <cell r="J19">
            <v>360</v>
          </cell>
          <cell r="K19">
            <v>140</v>
          </cell>
          <cell r="N19">
            <v>1840</v>
          </cell>
          <cell r="O19">
            <v>320</v>
          </cell>
          <cell r="P19">
            <v>320</v>
          </cell>
          <cell r="Q19">
            <v>360</v>
          </cell>
          <cell r="R19">
            <v>360</v>
          </cell>
          <cell r="T19">
            <v>1360</v>
          </cell>
          <cell r="U19">
            <v>420</v>
          </cell>
          <cell r="V19">
            <v>260</v>
          </cell>
          <cell r="W19">
            <v>0</v>
          </cell>
          <cell r="X19">
            <v>400</v>
          </cell>
          <cell r="Z19">
            <v>1080</v>
          </cell>
          <cell r="AA19">
            <v>340</v>
          </cell>
          <cell r="AB19">
            <v>260</v>
          </cell>
          <cell r="AC19">
            <v>300</v>
          </cell>
          <cell r="AD19">
            <v>280</v>
          </cell>
          <cell r="AF19">
            <v>1180</v>
          </cell>
          <cell r="AG19">
            <v>335</v>
          </cell>
          <cell r="AH19">
            <v>335</v>
          </cell>
          <cell r="AI19">
            <v>335</v>
          </cell>
          <cell r="AJ19">
            <v>335</v>
          </cell>
          <cell r="AL19">
            <v>1340</v>
          </cell>
        </row>
        <row r="20">
          <cell r="B20" t="str">
            <v>BC111-V3881-1 B 0201</v>
          </cell>
          <cell r="C20" t="str">
            <v>BC 602W</v>
          </cell>
          <cell r="D20">
            <v>1600</v>
          </cell>
          <cell r="E20">
            <v>960</v>
          </cell>
          <cell r="F20">
            <v>240</v>
          </cell>
          <cell r="G20">
            <v>480</v>
          </cell>
          <cell r="H20">
            <v>1120</v>
          </cell>
          <cell r="I20">
            <v>0</v>
          </cell>
          <cell r="J20">
            <v>400</v>
          </cell>
          <cell r="K20">
            <v>560</v>
          </cell>
          <cell r="N20">
            <v>5360</v>
          </cell>
          <cell r="O20">
            <v>960</v>
          </cell>
          <cell r="P20">
            <v>960</v>
          </cell>
          <cell r="Q20">
            <v>1280</v>
          </cell>
          <cell r="R20">
            <v>1280</v>
          </cell>
          <cell r="T20">
            <v>4480</v>
          </cell>
          <cell r="U20">
            <v>1520</v>
          </cell>
          <cell r="V20">
            <v>960</v>
          </cell>
          <cell r="W20">
            <v>0</v>
          </cell>
          <cell r="X20">
            <v>1440</v>
          </cell>
          <cell r="Z20">
            <v>3920</v>
          </cell>
          <cell r="AA20">
            <v>1120</v>
          </cell>
          <cell r="AB20">
            <v>960</v>
          </cell>
          <cell r="AC20">
            <v>1120</v>
          </cell>
          <cell r="AD20">
            <v>1040</v>
          </cell>
          <cell r="AF20">
            <v>4240</v>
          </cell>
          <cell r="AG20">
            <v>1240</v>
          </cell>
          <cell r="AH20">
            <v>1240</v>
          </cell>
          <cell r="AI20">
            <v>1240</v>
          </cell>
          <cell r="AJ20">
            <v>1240</v>
          </cell>
          <cell r="AL20">
            <v>4960</v>
          </cell>
        </row>
        <row r="21">
          <cell r="B21" t="str">
            <v>BC111-V3650-2 C 0201</v>
          </cell>
          <cell r="C21" t="str">
            <v>BC 602W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F21">
            <v>0</v>
          </cell>
          <cell r="AG21">
            <v>30</v>
          </cell>
          <cell r="AH21">
            <v>30</v>
          </cell>
          <cell r="AI21">
            <v>30</v>
          </cell>
          <cell r="AJ21">
            <v>30</v>
          </cell>
          <cell r="AL21">
            <v>120</v>
          </cell>
        </row>
        <row r="22">
          <cell r="B22" t="str">
            <v>BC111-V3891-6 B 0201</v>
          </cell>
          <cell r="C22" t="str">
            <v>BC 602W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N22">
            <v>0</v>
          </cell>
          <cell r="O22">
            <v>20</v>
          </cell>
          <cell r="P22">
            <v>0</v>
          </cell>
          <cell r="Q22">
            <v>0</v>
          </cell>
          <cell r="R22">
            <v>0</v>
          </cell>
          <cell r="T22">
            <v>20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L22">
            <v>0</v>
          </cell>
        </row>
        <row r="23">
          <cell r="B23" t="str">
            <v>BC111-V3891-1 F 0001</v>
          </cell>
          <cell r="C23" t="str">
            <v>BC 602W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L23">
            <v>0</v>
          </cell>
        </row>
        <row r="24">
          <cell r="B24" t="str">
            <v>BC111-V3891-2 F 0001</v>
          </cell>
          <cell r="C24" t="str">
            <v>BC 602W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L24">
            <v>0</v>
          </cell>
        </row>
        <row r="25">
          <cell r="B25" t="str">
            <v>DC111-2FE72 F 0201</v>
          </cell>
          <cell r="C25" t="str">
            <v>BC 602W</v>
          </cell>
          <cell r="D25">
            <v>0</v>
          </cell>
          <cell r="E25">
            <v>0</v>
          </cell>
          <cell r="F25">
            <v>40</v>
          </cell>
          <cell r="G25">
            <v>0</v>
          </cell>
          <cell r="H25">
            <v>40</v>
          </cell>
          <cell r="I25">
            <v>0</v>
          </cell>
          <cell r="J25">
            <v>80</v>
          </cell>
          <cell r="K25">
            <v>0</v>
          </cell>
          <cell r="N25">
            <v>160</v>
          </cell>
          <cell r="O25">
            <v>40</v>
          </cell>
          <cell r="P25">
            <v>0</v>
          </cell>
          <cell r="Q25">
            <v>40</v>
          </cell>
          <cell r="R25">
            <v>0</v>
          </cell>
          <cell r="T25">
            <v>80</v>
          </cell>
          <cell r="U25">
            <v>40</v>
          </cell>
          <cell r="V25">
            <v>0</v>
          </cell>
          <cell r="W25">
            <v>0</v>
          </cell>
          <cell r="X25">
            <v>40</v>
          </cell>
          <cell r="Z25">
            <v>80</v>
          </cell>
          <cell r="AA25">
            <v>40</v>
          </cell>
          <cell r="AB25">
            <v>0</v>
          </cell>
          <cell r="AC25">
            <v>40</v>
          </cell>
          <cell r="AD25">
            <v>0</v>
          </cell>
          <cell r="AF25">
            <v>80</v>
          </cell>
          <cell r="AG25">
            <v>30</v>
          </cell>
          <cell r="AH25">
            <v>30</v>
          </cell>
          <cell r="AI25">
            <v>30</v>
          </cell>
          <cell r="AJ25">
            <v>30</v>
          </cell>
          <cell r="AL25">
            <v>120</v>
          </cell>
        </row>
        <row r="26">
          <cell r="B26" t="str">
            <v>DC111-2FK53 F 0201</v>
          </cell>
          <cell r="C26" t="str">
            <v>BC 602W</v>
          </cell>
          <cell r="D26">
            <v>200</v>
          </cell>
          <cell r="E26">
            <v>160</v>
          </cell>
          <cell r="F26">
            <v>400</v>
          </cell>
          <cell r="G26">
            <v>120</v>
          </cell>
          <cell r="H26">
            <v>360</v>
          </cell>
          <cell r="I26">
            <v>0</v>
          </cell>
          <cell r="J26">
            <v>280</v>
          </cell>
          <cell r="K26">
            <v>160</v>
          </cell>
          <cell r="N26">
            <v>1680</v>
          </cell>
          <cell r="O26">
            <v>280</v>
          </cell>
          <cell r="P26">
            <v>280</v>
          </cell>
          <cell r="Q26">
            <v>360</v>
          </cell>
          <cell r="R26">
            <v>320</v>
          </cell>
          <cell r="T26">
            <v>1240</v>
          </cell>
          <cell r="U26">
            <v>400</v>
          </cell>
          <cell r="V26">
            <v>240</v>
          </cell>
          <cell r="W26">
            <v>0</v>
          </cell>
          <cell r="X26">
            <v>400</v>
          </cell>
          <cell r="Z26">
            <v>1040</v>
          </cell>
          <cell r="AA26">
            <v>280</v>
          </cell>
          <cell r="AB26">
            <v>280</v>
          </cell>
          <cell r="AC26">
            <v>280</v>
          </cell>
          <cell r="AD26">
            <v>240</v>
          </cell>
          <cell r="AF26">
            <v>1080</v>
          </cell>
          <cell r="AG26">
            <v>310</v>
          </cell>
          <cell r="AH26">
            <v>310</v>
          </cell>
          <cell r="AI26">
            <v>310</v>
          </cell>
          <cell r="AJ26">
            <v>310</v>
          </cell>
          <cell r="AL26">
            <v>1240</v>
          </cell>
        </row>
        <row r="27">
          <cell r="B27" t="str">
            <v>DC111-V3A41 B 0201</v>
          </cell>
          <cell r="C27" t="str">
            <v>BC 602W</v>
          </cell>
        </row>
        <row r="28">
          <cell r="B28" t="str">
            <v>DC111-V3881 B 0201</v>
          </cell>
          <cell r="C28" t="str">
            <v>BC 602W</v>
          </cell>
        </row>
        <row r="29">
          <cell r="B29" t="str">
            <v>DC111-V3650 C 0201</v>
          </cell>
          <cell r="C29" t="str">
            <v>BC 602W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F29">
            <v>0</v>
          </cell>
          <cell r="AG29">
            <v>10</v>
          </cell>
          <cell r="AH29">
            <v>10</v>
          </cell>
          <cell r="AI29">
            <v>10</v>
          </cell>
          <cell r="AJ29">
            <v>10</v>
          </cell>
          <cell r="AL29">
            <v>40</v>
          </cell>
        </row>
        <row r="30">
          <cell r="B30" t="str">
            <v>DC111-V3891 B 0201</v>
          </cell>
          <cell r="C30" t="str">
            <v>BC 602W</v>
          </cell>
        </row>
        <row r="31">
          <cell r="B31" t="str">
            <v>BC111-11730-3 B 0001</v>
          </cell>
          <cell r="C31" t="str">
            <v>BC 819W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L31">
            <v>0</v>
          </cell>
        </row>
        <row r="32">
          <cell r="B32" t="str">
            <v>BC111-11810-3 2001</v>
          </cell>
          <cell r="C32" t="str">
            <v>BC 819W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N32">
            <v>0</v>
          </cell>
          <cell r="O32">
            <v>20</v>
          </cell>
          <cell r="P32">
            <v>0</v>
          </cell>
          <cell r="Q32">
            <v>0</v>
          </cell>
          <cell r="R32">
            <v>0</v>
          </cell>
          <cell r="T32">
            <v>20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L32">
            <v>0</v>
          </cell>
        </row>
        <row r="33">
          <cell r="B33" t="str">
            <v>BC111-5A843-2 0001</v>
          </cell>
          <cell r="C33" t="str">
            <v>BC 819W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N33">
            <v>0</v>
          </cell>
          <cell r="O33">
            <v>20</v>
          </cell>
          <cell r="P33">
            <v>0</v>
          </cell>
          <cell r="Q33">
            <v>20</v>
          </cell>
          <cell r="R33">
            <v>0</v>
          </cell>
          <cell r="T33">
            <v>40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L33">
            <v>0</v>
          </cell>
        </row>
        <row r="34">
          <cell r="B34" t="str">
            <v>BC111-5A852-2 A 0002</v>
          </cell>
          <cell r="C34" t="str">
            <v>BC 819W</v>
          </cell>
        </row>
        <row r="35">
          <cell r="B35" t="str">
            <v>BC111-5A883-2 0001</v>
          </cell>
          <cell r="C35" t="str">
            <v>BC 819W</v>
          </cell>
          <cell r="D35">
            <v>0</v>
          </cell>
          <cell r="E35">
            <v>0</v>
          </cell>
          <cell r="F35">
            <v>0</v>
          </cell>
          <cell r="G35">
            <v>20</v>
          </cell>
          <cell r="H35">
            <v>0</v>
          </cell>
          <cell r="I35">
            <v>0</v>
          </cell>
          <cell r="J35">
            <v>0</v>
          </cell>
          <cell r="K35">
            <v>20</v>
          </cell>
          <cell r="N35">
            <v>40</v>
          </cell>
          <cell r="O35">
            <v>20</v>
          </cell>
          <cell r="P35">
            <v>0</v>
          </cell>
          <cell r="Q35">
            <v>20</v>
          </cell>
          <cell r="R35">
            <v>0</v>
          </cell>
          <cell r="T35">
            <v>40</v>
          </cell>
          <cell r="U35">
            <v>20</v>
          </cell>
          <cell r="V35">
            <v>0</v>
          </cell>
          <cell r="W35">
            <v>0</v>
          </cell>
          <cell r="X35">
            <v>0</v>
          </cell>
          <cell r="Z35">
            <v>20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L35">
            <v>0</v>
          </cell>
        </row>
        <row r="36">
          <cell r="B36" t="str">
            <v>BC111-5AC33-2 0001</v>
          </cell>
          <cell r="C36" t="str">
            <v>BC 819W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20</v>
          </cell>
          <cell r="I36">
            <v>0</v>
          </cell>
          <cell r="J36">
            <v>0</v>
          </cell>
          <cell r="K36">
            <v>0</v>
          </cell>
          <cell r="N36">
            <v>20</v>
          </cell>
          <cell r="O36">
            <v>20</v>
          </cell>
          <cell r="P36">
            <v>0</v>
          </cell>
          <cell r="Q36">
            <v>0</v>
          </cell>
          <cell r="R36">
            <v>0</v>
          </cell>
          <cell r="T36">
            <v>20</v>
          </cell>
          <cell r="U36">
            <v>0</v>
          </cell>
          <cell r="V36">
            <v>20</v>
          </cell>
          <cell r="W36">
            <v>0</v>
          </cell>
          <cell r="X36">
            <v>0</v>
          </cell>
          <cell r="Z36">
            <v>20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L36">
            <v>0</v>
          </cell>
        </row>
        <row r="37">
          <cell r="B37" t="str">
            <v>BC111-5AA03-2 0001</v>
          </cell>
          <cell r="C37" t="str">
            <v>BC 819W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20</v>
          </cell>
          <cell r="N37">
            <v>20</v>
          </cell>
          <cell r="O37">
            <v>20</v>
          </cell>
          <cell r="P37">
            <v>0</v>
          </cell>
          <cell r="Q37">
            <v>20</v>
          </cell>
          <cell r="R37">
            <v>0</v>
          </cell>
          <cell r="T37">
            <v>40</v>
          </cell>
          <cell r="U37">
            <v>20</v>
          </cell>
          <cell r="V37">
            <v>0</v>
          </cell>
          <cell r="W37">
            <v>0</v>
          </cell>
          <cell r="X37">
            <v>0</v>
          </cell>
          <cell r="Z37">
            <v>20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L37">
            <v>0</v>
          </cell>
        </row>
        <row r="38">
          <cell r="B38" t="str">
            <v>BC111-5AA02-2 A 0002</v>
          </cell>
          <cell r="C38" t="str">
            <v>BC 819W</v>
          </cell>
        </row>
        <row r="39">
          <cell r="B39" t="str">
            <v>BC111-5A841-2 A 0002</v>
          </cell>
          <cell r="C39" t="str">
            <v>BC 819W</v>
          </cell>
        </row>
        <row r="40">
          <cell r="B40" t="str">
            <v>BC111-5A881-2 A 0002</v>
          </cell>
          <cell r="C40" t="str">
            <v>BC 819W</v>
          </cell>
        </row>
        <row r="41">
          <cell r="B41" t="str">
            <v>BC111-1HQ61-1 A 1001</v>
          </cell>
          <cell r="C41" t="str">
            <v>BC 891W</v>
          </cell>
          <cell r="D41">
            <v>360</v>
          </cell>
          <cell r="E41">
            <v>600</v>
          </cell>
          <cell r="F41">
            <v>840</v>
          </cell>
          <cell r="G41">
            <v>800</v>
          </cell>
          <cell r="H41">
            <v>1240</v>
          </cell>
          <cell r="I41">
            <v>0</v>
          </cell>
          <cell r="J41">
            <v>560</v>
          </cell>
          <cell r="K41">
            <v>600</v>
          </cell>
          <cell r="N41">
            <v>5000</v>
          </cell>
          <cell r="O41">
            <v>1200</v>
          </cell>
          <cell r="P41">
            <v>1240</v>
          </cell>
          <cell r="Q41">
            <v>1440</v>
          </cell>
          <cell r="R41">
            <v>1440</v>
          </cell>
          <cell r="T41">
            <v>5320</v>
          </cell>
          <cell r="U41">
            <v>1680</v>
          </cell>
          <cell r="V41">
            <v>1120</v>
          </cell>
          <cell r="W41">
            <v>0</v>
          </cell>
          <cell r="X41">
            <v>1640</v>
          </cell>
          <cell r="Z41">
            <v>4440</v>
          </cell>
          <cell r="AA41">
            <v>1360</v>
          </cell>
          <cell r="AB41">
            <v>1080</v>
          </cell>
          <cell r="AC41">
            <v>1360</v>
          </cell>
          <cell r="AD41">
            <v>1480</v>
          </cell>
          <cell r="AF41">
            <v>5280</v>
          </cell>
          <cell r="AG41">
            <v>1570</v>
          </cell>
          <cell r="AH41">
            <v>1570</v>
          </cell>
          <cell r="AI41">
            <v>1570</v>
          </cell>
          <cell r="AJ41">
            <v>1570</v>
          </cell>
          <cell r="AL41">
            <v>6280</v>
          </cell>
        </row>
        <row r="42">
          <cell r="B42" t="str">
            <v>BC111-1HY10-1 A 1001</v>
          </cell>
          <cell r="C42" t="str">
            <v>BC 891W</v>
          </cell>
          <cell r="D42">
            <v>0</v>
          </cell>
          <cell r="E42">
            <v>0</v>
          </cell>
          <cell r="F42">
            <v>60</v>
          </cell>
          <cell r="G42">
            <v>0</v>
          </cell>
          <cell r="H42">
            <v>60</v>
          </cell>
          <cell r="I42">
            <v>0</v>
          </cell>
          <cell r="J42">
            <v>0</v>
          </cell>
          <cell r="K42">
            <v>0</v>
          </cell>
          <cell r="N42">
            <v>120</v>
          </cell>
          <cell r="O42">
            <v>0</v>
          </cell>
          <cell r="P42">
            <v>0</v>
          </cell>
          <cell r="Q42">
            <v>0</v>
          </cell>
          <cell r="R42">
            <v>60</v>
          </cell>
          <cell r="T42">
            <v>60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Z42">
            <v>0</v>
          </cell>
          <cell r="AA42">
            <v>60</v>
          </cell>
          <cell r="AB42">
            <v>0</v>
          </cell>
          <cell r="AC42">
            <v>0</v>
          </cell>
          <cell r="AD42">
            <v>0</v>
          </cell>
          <cell r="AF42">
            <v>60</v>
          </cell>
          <cell r="AG42">
            <v>15</v>
          </cell>
          <cell r="AH42">
            <v>15</v>
          </cell>
          <cell r="AI42">
            <v>15</v>
          </cell>
          <cell r="AJ42">
            <v>15</v>
          </cell>
          <cell r="AL42">
            <v>60</v>
          </cell>
        </row>
        <row r="43">
          <cell r="B43" t="str">
            <v>BC111-1HY10-2 A 1001</v>
          </cell>
          <cell r="C43" t="str">
            <v>BC 891W</v>
          </cell>
        </row>
        <row r="44">
          <cell r="B44" t="str">
            <v>BC111-1HR01-1 0002</v>
          </cell>
          <cell r="C44" t="str">
            <v>BC 891W</v>
          </cell>
          <cell r="D44">
            <v>640</v>
          </cell>
          <cell r="E44">
            <v>1040</v>
          </cell>
          <cell r="F44">
            <v>1000</v>
          </cell>
          <cell r="G44">
            <v>1120</v>
          </cell>
          <cell r="H44">
            <v>1240</v>
          </cell>
          <cell r="I44">
            <v>0</v>
          </cell>
          <cell r="J44">
            <v>720</v>
          </cell>
          <cell r="K44">
            <v>680</v>
          </cell>
          <cell r="N44">
            <v>6440</v>
          </cell>
          <cell r="O44">
            <v>1400</v>
          </cell>
          <cell r="P44">
            <v>1440</v>
          </cell>
          <cell r="Q44">
            <v>1800</v>
          </cell>
          <cell r="R44">
            <v>1840</v>
          </cell>
          <cell r="T44">
            <v>6480</v>
          </cell>
          <cell r="U44">
            <v>2080</v>
          </cell>
          <cell r="V44">
            <v>1400</v>
          </cell>
          <cell r="W44">
            <v>0</v>
          </cell>
          <cell r="X44">
            <v>2120</v>
          </cell>
          <cell r="Z44">
            <v>5600</v>
          </cell>
          <cell r="AA44">
            <v>1680</v>
          </cell>
          <cell r="AB44">
            <v>1360</v>
          </cell>
          <cell r="AC44">
            <v>1760</v>
          </cell>
          <cell r="AD44">
            <v>2000</v>
          </cell>
          <cell r="AF44">
            <v>6800</v>
          </cell>
          <cell r="AG44">
            <v>2110</v>
          </cell>
          <cell r="AH44">
            <v>2110</v>
          </cell>
          <cell r="AI44">
            <v>2110</v>
          </cell>
          <cell r="AJ44">
            <v>2110</v>
          </cell>
          <cell r="AL44">
            <v>8440</v>
          </cell>
        </row>
        <row r="45">
          <cell r="B45" t="str">
            <v>BC111-62092-2 B 1001</v>
          </cell>
          <cell r="C45" t="str">
            <v>BC 766W</v>
          </cell>
        </row>
        <row r="46">
          <cell r="B46" t="str">
            <v>BC111-62062-2 B 1001</v>
          </cell>
          <cell r="C46" t="str">
            <v>BC 766W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L46">
            <v>0</v>
          </cell>
        </row>
        <row r="47">
          <cell r="B47" t="str">
            <v>BC111-16P60-1   0001</v>
          </cell>
          <cell r="C47" t="str">
            <v>BC 059J</v>
          </cell>
          <cell r="D47">
            <v>200</v>
          </cell>
          <cell r="E47">
            <v>240</v>
          </cell>
          <cell r="F47">
            <v>740</v>
          </cell>
          <cell r="G47">
            <v>360</v>
          </cell>
          <cell r="H47">
            <v>420</v>
          </cell>
          <cell r="I47">
            <v>0</v>
          </cell>
          <cell r="J47">
            <v>60</v>
          </cell>
          <cell r="K47">
            <v>160</v>
          </cell>
          <cell r="N47">
            <v>2180</v>
          </cell>
          <cell r="O47">
            <v>360</v>
          </cell>
          <cell r="P47">
            <v>380</v>
          </cell>
          <cell r="Q47">
            <v>480</v>
          </cell>
          <cell r="R47">
            <v>480</v>
          </cell>
          <cell r="T47">
            <v>1700</v>
          </cell>
          <cell r="U47">
            <v>540</v>
          </cell>
          <cell r="V47">
            <v>380</v>
          </cell>
          <cell r="W47">
            <v>0</v>
          </cell>
          <cell r="X47">
            <v>600</v>
          </cell>
          <cell r="Z47">
            <v>1520</v>
          </cell>
          <cell r="AA47">
            <v>500</v>
          </cell>
          <cell r="AB47">
            <v>380</v>
          </cell>
          <cell r="AC47">
            <v>440</v>
          </cell>
          <cell r="AD47">
            <v>380</v>
          </cell>
          <cell r="AF47">
            <v>1700</v>
          </cell>
          <cell r="AG47">
            <v>390</v>
          </cell>
          <cell r="AH47">
            <v>390</v>
          </cell>
          <cell r="AI47">
            <v>390</v>
          </cell>
          <cell r="AJ47">
            <v>390</v>
          </cell>
          <cell r="AL47">
            <v>1560</v>
          </cell>
        </row>
        <row r="48">
          <cell r="B48" t="str">
            <v>BC111-16J40-1   0001</v>
          </cell>
          <cell r="C48" t="str">
            <v>BC 059J</v>
          </cell>
          <cell r="D48">
            <v>720</v>
          </cell>
          <cell r="E48">
            <v>760</v>
          </cell>
          <cell r="F48">
            <v>880</v>
          </cell>
          <cell r="G48">
            <v>720</v>
          </cell>
          <cell r="H48">
            <v>400</v>
          </cell>
          <cell r="I48">
            <v>0</v>
          </cell>
          <cell r="J48">
            <v>320</v>
          </cell>
          <cell r="K48">
            <v>440</v>
          </cell>
          <cell r="N48">
            <v>4240</v>
          </cell>
          <cell r="O48">
            <v>1040</v>
          </cell>
          <cell r="P48">
            <v>960</v>
          </cell>
          <cell r="Q48">
            <v>1280</v>
          </cell>
          <cell r="R48">
            <v>1240</v>
          </cell>
          <cell r="T48">
            <v>4520</v>
          </cell>
          <cell r="U48">
            <v>1440</v>
          </cell>
          <cell r="V48">
            <v>1000</v>
          </cell>
          <cell r="W48">
            <v>0</v>
          </cell>
          <cell r="X48">
            <v>1480</v>
          </cell>
          <cell r="Z48">
            <v>3920</v>
          </cell>
          <cell r="AA48">
            <v>1240</v>
          </cell>
          <cell r="AB48">
            <v>960</v>
          </cell>
          <cell r="AC48">
            <v>1080</v>
          </cell>
          <cell r="AD48">
            <v>1000</v>
          </cell>
          <cell r="AF48">
            <v>4280</v>
          </cell>
          <cell r="AG48">
            <v>990</v>
          </cell>
          <cell r="AH48">
            <v>990</v>
          </cell>
          <cell r="AI48">
            <v>990</v>
          </cell>
          <cell r="AJ48">
            <v>990</v>
          </cell>
          <cell r="AL48">
            <v>3960</v>
          </cell>
        </row>
        <row r="49">
          <cell r="B49" t="str">
            <v>BC111-16R30-1   0001</v>
          </cell>
          <cell r="C49" t="str">
            <v>BC 059J</v>
          </cell>
          <cell r="D49">
            <v>320</v>
          </cell>
          <cell r="E49">
            <v>360</v>
          </cell>
          <cell r="F49">
            <v>400</v>
          </cell>
          <cell r="G49">
            <v>280</v>
          </cell>
          <cell r="H49">
            <v>0</v>
          </cell>
          <cell r="I49">
            <v>0</v>
          </cell>
          <cell r="J49">
            <v>0</v>
          </cell>
          <cell r="K49">
            <v>120</v>
          </cell>
          <cell r="N49">
            <v>1480</v>
          </cell>
          <cell r="O49">
            <v>440</v>
          </cell>
          <cell r="P49">
            <v>480</v>
          </cell>
          <cell r="Q49">
            <v>600</v>
          </cell>
          <cell r="R49">
            <v>560</v>
          </cell>
          <cell r="T49">
            <v>2080</v>
          </cell>
          <cell r="U49">
            <v>680</v>
          </cell>
          <cell r="V49">
            <v>480</v>
          </cell>
          <cell r="W49">
            <v>0</v>
          </cell>
          <cell r="X49">
            <v>720</v>
          </cell>
          <cell r="Z49">
            <v>1880</v>
          </cell>
          <cell r="AA49">
            <v>600</v>
          </cell>
          <cell r="AB49">
            <v>480</v>
          </cell>
          <cell r="AC49">
            <v>520</v>
          </cell>
          <cell r="AD49">
            <v>440</v>
          </cell>
          <cell r="AF49">
            <v>2040</v>
          </cell>
          <cell r="AG49">
            <v>480</v>
          </cell>
          <cell r="AH49">
            <v>480</v>
          </cell>
          <cell r="AI49">
            <v>480</v>
          </cell>
          <cell r="AJ49">
            <v>480</v>
          </cell>
          <cell r="AL49">
            <v>1920</v>
          </cell>
        </row>
        <row r="50">
          <cell r="B50" t="str">
            <v>BC111-16R90-1   0001</v>
          </cell>
          <cell r="C50" t="str">
            <v>BC 059J</v>
          </cell>
          <cell r="D50">
            <v>40</v>
          </cell>
          <cell r="E50">
            <v>120</v>
          </cell>
          <cell r="F50">
            <v>940</v>
          </cell>
          <cell r="G50">
            <v>200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N50">
            <v>1300</v>
          </cell>
          <cell r="O50">
            <v>260</v>
          </cell>
          <cell r="P50">
            <v>320</v>
          </cell>
          <cell r="Q50">
            <v>400</v>
          </cell>
          <cell r="R50">
            <v>400</v>
          </cell>
          <cell r="T50">
            <v>1380</v>
          </cell>
          <cell r="U50">
            <v>460</v>
          </cell>
          <cell r="V50">
            <v>320</v>
          </cell>
          <cell r="W50">
            <v>0</v>
          </cell>
          <cell r="X50">
            <v>480</v>
          </cell>
          <cell r="Z50">
            <v>1260</v>
          </cell>
          <cell r="AA50">
            <v>380</v>
          </cell>
          <cell r="AB50">
            <v>300</v>
          </cell>
          <cell r="AC50">
            <v>360</v>
          </cell>
          <cell r="AD50">
            <v>300</v>
          </cell>
          <cell r="AF50">
            <v>1340</v>
          </cell>
          <cell r="AG50">
            <v>305</v>
          </cell>
          <cell r="AH50">
            <v>305</v>
          </cell>
          <cell r="AI50">
            <v>305</v>
          </cell>
          <cell r="AJ50">
            <v>305</v>
          </cell>
          <cell r="AL50">
            <v>1220</v>
          </cell>
        </row>
        <row r="51">
          <cell r="B51" t="str">
            <v>DC111-V3G90 B 0101</v>
          </cell>
          <cell r="C51" t="str">
            <v>559D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N51">
            <v>0</v>
          </cell>
          <cell r="O51">
            <v>40</v>
          </cell>
          <cell r="P51">
            <v>0</v>
          </cell>
          <cell r="Q51">
            <v>0</v>
          </cell>
          <cell r="R51">
            <v>0</v>
          </cell>
          <cell r="T51">
            <v>40</v>
          </cell>
          <cell r="U51">
            <v>0</v>
          </cell>
          <cell r="V51">
            <v>0</v>
          </cell>
          <cell r="W51">
            <v>0</v>
          </cell>
          <cell r="X51">
            <v>40</v>
          </cell>
          <cell r="Z51">
            <v>40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L51">
            <v>0</v>
          </cell>
        </row>
        <row r="52">
          <cell r="B52" t="str">
            <v>DC111-V3C10 B 0101</v>
          </cell>
          <cell r="C52" t="str">
            <v>559D</v>
          </cell>
          <cell r="D52">
            <v>160</v>
          </cell>
          <cell r="E52">
            <v>80</v>
          </cell>
          <cell r="F52">
            <v>120</v>
          </cell>
          <cell r="G52">
            <v>80</v>
          </cell>
          <cell r="H52">
            <v>80</v>
          </cell>
          <cell r="I52">
            <v>0</v>
          </cell>
          <cell r="J52">
            <v>40</v>
          </cell>
          <cell r="K52">
            <v>80</v>
          </cell>
          <cell r="N52">
            <v>640</v>
          </cell>
          <cell r="O52">
            <v>80</v>
          </cell>
          <cell r="P52">
            <v>80</v>
          </cell>
          <cell r="Q52">
            <v>120</v>
          </cell>
          <cell r="R52">
            <v>80</v>
          </cell>
          <cell r="T52">
            <v>360</v>
          </cell>
          <cell r="U52">
            <v>120</v>
          </cell>
          <cell r="V52">
            <v>80</v>
          </cell>
          <cell r="W52">
            <v>0</v>
          </cell>
          <cell r="X52">
            <v>80</v>
          </cell>
          <cell r="Z52">
            <v>280</v>
          </cell>
          <cell r="AA52">
            <v>80</v>
          </cell>
          <cell r="AB52">
            <v>80</v>
          </cell>
          <cell r="AC52">
            <v>80</v>
          </cell>
          <cell r="AD52">
            <v>120</v>
          </cell>
          <cell r="AF52">
            <v>360</v>
          </cell>
          <cell r="AG52">
            <v>150</v>
          </cell>
          <cell r="AH52">
            <v>150</v>
          </cell>
          <cell r="AI52">
            <v>150</v>
          </cell>
          <cell r="AJ52">
            <v>150</v>
          </cell>
          <cell r="AL52">
            <v>600</v>
          </cell>
        </row>
        <row r="53">
          <cell r="B53" t="str">
            <v>DC111-V3C50 B 0101</v>
          </cell>
          <cell r="C53" t="str">
            <v>559D</v>
          </cell>
          <cell r="D53">
            <v>1440</v>
          </cell>
          <cell r="E53">
            <v>880</v>
          </cell>
          <cell r="F53">
            <v>80</v>
          </cell>
          <cell r="G53">
            <v>520</v>
          </cell>
          <cell r="H53">
            <v>920</v>
          </cell>
          <cell r="I53">
            <v>0</v>
          </cell>
          <cell r="J53">
            <v>320</v>
          </cell>
          <cell r="K53">
            <v>520</v>
          </cell>
          <cell r="N53">
            <v>4680</v>
          </cell>
          <cell r="O53">
            <v>920</v>
          </cell>
          <cell r="P53">
            <v>920</v>
          </cell>
          <cell r="Q53">
            <v>1160</v>
          </cell>
          <cell r="R53">
            <v>1160</v>
          </cell>
          <cell r="T53">
            <v>4160</v>
          </cell>
          <cell r="U53">
            <v>1400</v>
          </cell>
          <cell r="V53">
            <v>880</v>
          </cell>
          <cell r="W53">
            <v>0</v>
          </cell>
          <cell r="X53">
            <v>1320</v>
          </cell>
          <cell r="Z53">
            <v>3600</v>
          </cell>
          <cell r="AA53">
            <v>1120</v>
          </cell>
          <cell r="AB53">
            <v>840</v>
          </cell>
          <cell r="AC53">
            <v>1040</v>
          </cell>
          <cell r="AD53">
            <v>880</v>
          </cell>
          <cell r="AF53">
            <v>3880</v>
          </cell>
          <cell r="AG53">
            <v>1090</v>
          </cell>
          <cell r="AH53">
            <v>1090</v>
          </cell>
          <cell r="AI53">
            <v>1090</v>
          </cell>
          <cell r="AJ53">
            <v>1090</v>
          </cell>
          <cell r="AL53">
            <v>4360</v>
          </cell>
        </row>
        <row r="54">
          <cell r="B54" t="str">
            <v>BC111-1KU50-2   0001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120</v>
          </cell>
          <cell r="I54">
            <v>0</v>
          </cell>
          <cell r="J54">
            <v>0</v>
          </cell>
          <cell r="K54">
            <v>0</v>
          </cell>
          <cell r="N54">
            <v>120</v>
          </cell>
          <cell r="O54">
            <v>0</v>
          </cell>
          <cell r="P54">
            <v>0</v>
          </cell>
          <cell r="Q54">
            <v>0</v>
          </cell>
          <cell r="R54">
            <v>60</v>
          </cell>
          <cell r="T54">
            <v>60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Z54">
            <v>0</v>
          </cell>
          <cell r="AA54">
            <v>60</v>
          </cell>
          <cell r="AB54">
            <v>0</v>
          </cell>
          <cell r="AC54">
            <v>0</v>
          </cell>
          <cell r="AD54">
            <v>0</v>
          </cell>
          <cell r="AF54">
            <v>60</v>
          </cell>
          <cell r="AG54">
            <v>15</v>
          </cell>
          <cell r="AH54">
            <v>15</v>
          </cell>
          <cell r="AI54">
            <v>15</v>
          </cell>
          <cell r="AJ54">
            <v>15</v>
          </cell>
          <cell r="AL54">
            <v>60</v>
          </cell>
        </row>
        <row r="55">
          <cell r="B55" t="str">
            <v>JN111-62063-3   0002</v>
          </cell>
          <cell r="C55" t="str">
            <v>245D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L55">
            <v>0</v>
          </cell>
        </row>
        <row r="56">
          <cell r="B56" t="str">
            <v>JN111-62063-4   0002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L56">
            <v>0</v>
          </cell>
        </row>
        <row r="57">
          <cell r="B57" t="str">
            <v>JN111-62093-3   0002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L57">
            <v>0</v>
          </cell>
        </row>
        <row r="58">
          <cell r="B58" t="str">
            <v>JN111-62093-4   0002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L58">
            <v>0</v>
          </cell>
        </row>
        <row r="59">
          <cell r="B59" t="str">
            <v>BC111-5DR50-1 B 0001</v>
          </cell>
          <cell r="C59" t="str">
            <v>858W</v>
          </cell>
          <cell r="D59">
            <v>0</v>
          </cell>
          <cell r="F59">
            <v>0</v>
          </cell>
          <cell r="H59">
            <v>0</v>
          </cell>
          <cell r="J59">
            <v>0</v>
          </cell>
          <cell r="L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</row>
        <row r="60">
          <cell r="B60" t="str">
            <v>BC111-5DR50-2 B 0001</v>
          </cell>
          <cell r="D60">
            <v>0</v>
          </cell>
          <cell r="F60">
            <v>0</v>
          </cell>
          <cell r="H60">
            <v>0</v>
          </cell>
          <cell r="J60">
            <v>0</v>
          </cell>
          <cell r="L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</row>
        <row r="61">
          <cell r="B61" t="str">
            <v>BC111-V1020-1 D 0101</v>
          </cell>
          <cell r="C61" t="str">
            <v>BC 841W</v>
          </cell>
          <cell r="D61">
            <v>660</v>
          </cell>
          <cell r="E61">
            <v>840</v>
          </cell>
          <cell r="F61">
            <v>540</v>
          </cell>
          <cell r="G61">
            <v>120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N61">
            <v>2160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T61">
            <v>0</v>
          </cell>
          <cell r="U61">
            <v>120</v>
          </cell>
          <cell r="V61">
            <v>120</v>
          </cell>
          <cell r="W61">
            <v>0</v>
          </cell>
          <cell r="X61">
            <v>120</v>
          </cell>
          <cell r="Z61">
            <v>360</v>
          </cell>
          <cell r="AA61">
            <v>120</v>
          </cell>
          <cell r="AB61">
            <v>60</v>
          </cell>
          <cell r="AC61">
            <v>120</v>
          </cell>
          <cell r="AD61">
            <v>60</v>
          </cell>
          <cell r="AF61">
            <v>360</v>
          </cell>
          <cell r="AG61">
            <v>90</v>
          </cell>
          <cell r="AH61">
            <v>90</v>
          </cell>
          <cell r="AI61">
            <v>90</v>
          </cell>
          <cell r="AJ61">
            <v>90</v>
          </cell>
          <cell r="AL61">
            <v>360</v>
          </cell>
        </row>
        <row r="62">
          <cell r="B62" t="str">
            <v>BC111-V1100-1 G 0201</v>
          </cell>
          <cell r="C62" t="str">
            <v>BC 841W</v>
          </cell>
          <cell r="D62">
            <v>1440</v>
          </cell>
          <cell r="E62">
            <v>1440</v>
          </cell>
          <cell r="F62">
            <v>1620</v>
          </cell>
          <cell r="G62">
            <v>1320</v>
          </cell>
          <cell r="H62">
            <v>2160</v>
          </cell>
          <cell r="I62">
            <v>0</v>
          </cell>
          <cell r="J62">
            <v>1800</v>
          </cell>
          <cell r="K62">
            <v>1200</v>
          </cell>
          <cell r="N62">
            <v>10980</v>
          </cell>
          <cell r="O62">
            <v>2580</v>
          </cell>
          <cell r="P62">
            <v>2640</v>
          </cell>
          <cell r="Q62">
            <v>2520</v>
          </cell>
          <cell r="R62">
            <v>2520</v>
          </cell>
          <cell r="T62">
            <v>10260</v>
          </cell>
          <cell r="U62">
            <v>3000</v>
          </cell>
          <cell r="V62">
            <v>2100</v>
          </cell>
          <cell r="W62">
            <v>0</v>
          </cell>
          <cell r="X62">
            <v>3240</v>
          </cell>
          <cell r="Z62">
            <v>8340</v>
          </cell>
          <cell r="AA62">
            <v>2760</v>
          </cell>
          <cell r="AB62">
            <v>2160</v>
          </cell>
          <cell r="AC62">
            <v>2700</v>
          </cell>
          <cell r="AD62">
            <v>2640</v>
          </cell>
          <cell r="AF62">
            <v>10260</v>
          </cell>
          <cell r="AG62">
            <v>2895</v>
          </cell>
          <cell r="AH62">
            <v>2895</v>
          </cell>
          <cell r="AI62">
            <v>2895</v>
          </cell>
          <cell r="AJ62">
            <v>2895</v>
          </cell>
          <cell r="AL62">
            <v>11580</v>
          </cell>
        </row>
        <row r="63">
          <cell r="B63" t="str">
            <v>BC111-1S130-1 D 0001</v>
          </cell>
          <cell r="C63" t="str">
            <v>BC 879W</v>
          </cell>
          <cell r="D63">
            <v>0</v>
          </cell>
          <cell r="F63">
            <v>0</v>
          </cell>
          <cell r="H63">
            <v>0</v>
          </cell>
          <cell r="J63">
            <v>0</v>
          </cell>
          <cell r="L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</row>
        <row r="64">
          <cell r="B64" t="str">
            <v>BC111-1S130-2 D 0001</v>
          </cell>
          <cell r="C64" t="str">
            <v>BC 879W</v>
          </cell>
          <cell r="D64">
            <v>0</v>
          </cell>
          <cell r="F64">
            <v>0</v>
          </cell>
          <cell r="H64">
            <v>0</v>
          </cell>
          <cell r="J64">
            <v>0</v>
          </cell>
          <cell r="L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</row>
        <row r="65">
          <cell r="B65" t="str">
            <v>BC111-16N10-1   1001</v>
          </cell>
          <cell r="C65" t="str">
            <v>BC 879W</v>
          </cell>
          <cell r="D65">
            <v>0</v>
          </cell>
          <cell r="F65">
            <v>0</v>
          </cell>
          <cell r="H65">
            <v>0</v>
          </cell>
          <cell r="J65">
            <v>0</v>
          </cell>
          <cell r="L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</row>
        <row r="66">
          <cell r="B66" t="str">
            <v>BC111-16F01-1 A 0002</v>
          </cell>
          <cell r="C66" t="str">
            <v>BC 879W</v>
          </cell>
          <cell r="D66">
            <v>0</v>
          </cell>
          <cell r="F66">
            <v>0</v>
          </cell>
          <cell r="H66">
            <v>0</v>
          </cell>
          <cell r="J66">
            <v>0</v>
          </cell>
          <cell r="L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</row>
        <row r="67">
          <cell r="B67" t="str">
            <v>BC111-16M20-1   1001</v>
          </cell>
          <cell r="C67" t="str">
            <v>BC 879W</v>
          </cell>
          <cell r="D67">
            <v>0</v>
          </cell>
          <cell r="F67">
            <v>0</v>
          </cell>
          <cell r="H67">
            <v>0</v>
          </cell>
          <cell r="J67">
            <v>0</v>
          </cell>
          <cell r="L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</row>
        <row r="68">
          <cell r="B68" t="str">
            <v>BC111-16B41-1 A 0002</v>
          </cell>
          <cell r="C68" t="str">
            <v>BC 879W</v>
          </cell>
          <cell r="D68">
            <v>0</v>
          </cell>
          <cell r="F68">
            <v>0</v>
          </cell>
          <cell r="H68">
            <v>0</v>
          </cell>
          <cell r="J68">
            <v>0</v>
          </cell>
          <cell r="L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</row>
        <row r="69">
          <cell r="B69" t="str">
            <v>BC111-16A40-1   1001</v>
          </cell>
          <cell r="C69" t="str">
            <v>BC 879W</v>
          </cell>
          <cell r="D69">
            <v>0</v>
          </cell>
          <cell r="F69">
            <v>0</v>
          </cell>
          <cell r="H69">
            <v>0</v>
          </cell>
          <cell r="J69">
            <v>0</v>
          </cell>
          <cell r="L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</row>
        <row r="70">
          <cell r="B70" t="str">
            <v>BC111-16A40-2   1001</v>
          </cell>
          <cell r="C70" t="str">
            <v>BC 879W</v>
          </cell>
          <cell r="D70">
            <v>0</v>
          </cell>
          <cell r="F70">
            <v>0</v>
          </cell>
          <cell r="H70">
            <v>0</v>
          </cell>
          <cell r="J70">
            <v>0</v>
          </cell>
          <cell r="L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</row>
        <row r="71">
          <cell r="B71" t="str">
            <v>BC111-16D11-1 A 0002</v>
          </cell>
          <cell r="C71" t="str">
            <v>BC 879W</v>
          </cell>
          <cell r="D71">
            <v>0</v>
          </cell>
          <cell r="F71">
            <v>0</v>
          </cell>
          <cell r="H71">
            <v>0</v>
          </cell>
          <cell r="J71">
            <v>0</v>
          </cell>
          <cell r="L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</row>
        <row r="72">
          <cell r="B72" t="str">
            <v>BC111-4EW40-1 C 0002</v>
          </cell>
          <cell r="C72" t="str">
            <v>BC 885W</v>
          </cell>
          <cell r="D72">
            <v>540</v>
          </cell>
          <cell r="E72">
            <v>500</v>
          </cell>
          <cell r="F72">
            <v>160</v>
          </cell>
          <cell r="G72">
            <v>0</v>
          </cell>
          <cell r="H72">
            <v>620</v>
          </cell>
          <cell r="I72">
            <v>0</v>
          </cell>
          <cell r="J72">
            <v>320</v>
          </cell>
          <cell r="K72">
            <v>220</v>
          </cell>
          <cell r="N72">
            <v>2360</v>
          </cell>
          <cell r="O72">
            <v>480</v>
          </cell>
          <cell r="P72">
            <v>480</v>
          </cell>
          <cell r="Q72">
            <v>700</v>
          </cell>
          <cell r="R72">
            <v>680</v>
          </cell>
          <cell r="T72">
            <v>2340</v>
          </cell>
          <cell r="U72">
            <v>820</v>
          </cell>
          <cell r="V72">
            <v>820</v>
          </cell>
          <cell r="W72">
            <v>0</v>
          </cell>
          <cell r="X72">
            <v>1700</v>
          </cell>
          <cell r="Z72">
            <v>3340</v>
          </cell>
          <cell r="AA72">
            <v>1400</v>
          </cell>
          <cell r="AB72">
            <v>1100</v>
          </cell>
          <cell r="AC72">
            <v>1180</v>
          </cell>
          <cell r="AD72">
            <v>880</v>
          </cell>
          <cell r="AF72">
            <v>4560</v>
          </cell>
          <cell r="AG72">
            <v>995</v>
          </cell>
          <cell r="AH72">
            <v>995</v>
          </cell>
          <cell r="AI72">
            <v>995</v>
          </cell>
          <cell r="AJ72">
            <v>995</v>
          </cell>
          <cell r="AL72">
            <v>3980</v>
          </cell>
        </row>
        <row r="73">
          <cell r="B73" t="str">
            <v>BC111-4EB50-1 C 0002</v>
          </cell>
          <cell r="C73" t="str">
            <v>BC 885W</v>
          </cell>
          <cell r="D73">
            <v>0</v>
          </cell>
          <cell r="E73">
            <v>40</v>
          </cell>
          <cell r="F73">
            <v>120</v>
          </cell>
          <cell r="G73">
            <v>0</v>
          </cell>
          <cell r="H73">
            <v>80</v>
          </cell>
          <cell r="I73">
            <v>0</v>
          </cell>
          <cell r="J73">
            <v>0</v>
          </cell>
          <cell r="K73">
            <v>80</v>
          </cell>
          <cell r="N73">
            <v>320</v>
          </cell>
          <cell r="O73">
            <v>80</v>
          </cell>
          <cell r="P73">
            <v>80</v>
          </cell>
          <cell r="Q73">
            <v>120</v>
          </cell>
          <cell r="R73">
            <v>120</v>
          </cell>
          <cell r="T73">
            <v>400</v>
          </cell>
          <cell r="U73">
            <v>120</v>
          </cell>
          <cell r="V73">
            <v>120</v>
          </cell>
          <cell r="W73">
            <v>0</v>
          </cell>
          <cell r="X73">
            <v>240</v>
          </cell>
          <cell r="Z73">
            <v>480</v>
          </cell>
          <cell r="AA73">
            <v>200</v>
          </cell>
          <cell r="AB73">
            <v>160</v>
          </cell>
          <cell r="AC73">
            <v>200</v>
          </cell>
          <cell r="AD73">
            <v>160</v>
          </cell>
          <cell r="AF73">
            <v>720</v>
          </cell>
          <cell r="AG73">
            <v>160</v>
          </cell>
          <cell r="AH73">
            <v>160</v>
          </cell>
          <cell r="AI73">
            <v>160</v>
          </cell>
          <cell r="AJ73">
            <v>160</v>
          </cell>
          <cell r="AL73">
            <v>640</v>
          </cell>
        </row>
        <row r="74">
          <cell r="B74" t="str">
            <v>BC111-4EE80-1 C 0002</v>
          </cell>
          <cell r="C74" t="str">
            <v>BC 885W</v>
          </cell>
          <cell r="D74">
            <v>60</v>
          </cell>
          <cell r="E74">
            <v>780</v>
          </cell>
          <cell r="F74">
            <v>160</v>
          </cell>
          <cell r="G74">
            <v>480</v>
          </cell>
          <cell r="H74">
            <v>980</v>
          </cell>
          <cell r="I74">
            <v>0</v>
          </cell>
          <cell r="J74">
            <v>260</v>
          </cell>
          <cell r="K74">
            <v>300</v>
          </cell>
          <cell r="N74">
            <v>3020</v>
          </cell>
          <cell r="O74">
            <v>620</v>
          </cell>
          <cell r="P74">
            <v>620</v>
          </cell>
          <cell r="Q74">
            <v>620</v>
          </cell>
          <cell r="R74">
            <v>620</v>
          </cell>
          <cell r="T74">
            <v>2480</v>
          </cell>
          <cell r="U74">
            <v>700</v>
          </cell>
          <cell r="V74">
            <v>580</v>
          </cell>
          <cell r="W74">
            <v>0</v>
          </cell>
          <cell r="X74">
            <v>1060</v>
          </cell>
          <cell r="Z74">
            <v>2340</v>
          </cell>
          <cell r="AA74">
            <v>860</v>
          </cell>
          <cell r="AB74">
            <v>700</v>
          </cell>
          <cell r="AC74">
            <v>720</v>
          </cell>
          <cell r="AD74">
            <v>580</v>
          </cell>
          <cell r="AF74">
            <v>2860</v>
          </cell>
          <cell r="AG74">
            <v>640</v>
          </cell>
          <cell r="AH74">
            <v>640</v>
          </cell>
          <cell r="AI74">
            <v>640</v>
          </cell>
          <cell r="AJ74">
            <v>640</v>
          </cell>
          <cell r="AL74">
            <v>2560</v>
          </cell>
        </row>
        <row r="75">
          <cell r="B75" t="str">
            <v>BC111-47V60-1 C 0002</v>
          </cell>
          <cell r="C75" t="str">
            <v>BC 885W</v>
          </cell>
          <cell r="D75">
            <v>80</v>
          </cell>
          <cell r="E75">
            <v>200</v>
          </cell>
          <cell r="F75">
            <v>360</v>
          </cell>
          <cell r="G75">
            <v>0</v>
          </cell>
          <cell r="H75">
            <v>240</v>
          </cell>
          <cell r="I75">
            <v>0</v>
          </cell>
          <cell r="J75">
            <v>80</v>
          </cell>
          <cell r="K75">
            <v>160</v>
          </cell>
          <cell r="N75">
            <v>1120</v>
          </cell>
          <cell r="O75">
            <v>240</v>
          </cell>
          <cell r="P75">
            <v>240</v>
          </cell>
          <cell r="Q75">
            <v>280</v>
          </cell>
          <cell r="R75">
            <v>280</v>
          </cell>
          <cell r="T75">
            <v>1040</v>
          </cell>
          <cell r="U75">
            <v>280</v>
          </cell>
          <cell r="V75">
            <v>240</v>
          </cell>
          <cell r="W75">
            <v>0</v>
          </cell>
          <cell r="X75">
            <v>400</v>
          </cell>
          <cell r="Z75">
            <v>920</v>
          </cell>
          <cell r="AA75">
            <v>360</v>
          </cell>
          <cell r="AB75">
            <v>240</v>
          </cell>
          <cell r="AC75">
            <v>320</v>
          </cell>
          <cell r="AD75">
            <v>200</v>
          </cell>
          <cell r="AF75">
            <v>1120</v>
          </cell>
          <cell r="AG75">
            <v>260</v>
          </cell>
          <cell r="AH75">
            <v>260</v>
          </cell>
          <cell r="AI75">
            <v>260</v>
          </cell>
          <cell r="AJ75">
            <v>260</v>
          </cell>
          <cell r="AL75">
            <v>1040</v>
          </cell>
        </row>
        <row r="76">
          <cell r="B76" t="str">
            <v>JN111-62064-1   0001</v>
          </cell>
          <cell r="C76" t="str">
            <v>077J (541D)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L76">
            <v>0</v>
          </cell>
        </row>
        <row r="77">
          <cell r="B77" t="str">
            <v>JN111-62064-3   0001</v>
          </cell>
          <cell r="C77" t="str">
            <v>077J (541D)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L77">
            <v>0</v>
          </cell>
        </row>
        <row r="78">
          <cell r="B78" t="str">
            <v>JN111-62215-1   0001</v>
          </cell>
          <cell r="C78" t="str">
            <v>077J (541D)</v>
          </cell>
          <cell r="D78">
            <v>0</v>
          </cell>
          <cell r="E78">
            <v>0</v>
          </cell>
          <cell r="F78">
            <v>50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N78">
            <v>50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F78">
            <v>0</v>
          </cell>
          <cell r="AG78">
            <v>12.5</v>
          </cell>
          <cell r="AH78">
            <v>12.5</v>
          </cell>
          <cell r="AI78">
            <v>12.5</v>
          </cell>
          <cell r="AJ78">
            <v>12.5</v>
          </cell>
          <cell r="AL78">
            <v>50</v>
          </cell>
        </row>
        <row r="79">
          <cell r="B79" t="str">
            <v>JN111-62215-3   0001</v>
          </cell>
          <cell r="C79" t="str">
            <v>077J (541D)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50</v>
          </cell>
          <cell r="T79">
            <v>50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L79">
            <v>0</v>
          </cell>
        </row>
        <row r="80">
          <cell r="B80" t="str">
            <v>BC111-62064-2   0001</v>
          </cell>
          <cell r="C80" t="str">
            <v>077J (541D)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L80">
            <v>0</v>
          </cell>
        </row>
        <row r="81">
          <cell r="B81" t="str">
            <v>BC111-62215-2   0001</v>
          </cell>
          <cell r="C81" t="str">
            <v>077J (541D)</v>
          </cell>
          <cell r="D81">
            <v>0</v>
          </cell>
          <cell r="E81">
            <v>0</v>
          </cell>
          <cell r="F81">
            <v>0</v>
          </cell>
          <cell r="G81">
            <v>20</v>
          </cell>
          <cell r="H81">
            <v>0</v>
          </cell>
          <cell r="I81">
            <v>0</v>
          </cell>
          <cell r="J81">
            <v>0</v>
          </cell>
          <cell r="K81">
            <v>20</v>
          </cell>
          <cell r="N81">
            <v>40</v>
          </cell>
          <cell r="O81">
            <v>20</v>
          </cell>
          <cell r="P81">
            <v>0</v>
          </cell>
          <cell r="Q81">
            <v>20</v>
          </cell>
          <cell r="R81">
            <v>0</v>
          </cell>
          <cell r="T81">
            <v>40</v>
          </cell>
          <cell r="U81">
            <v>0</v>
          </cell>
          <cell r="V81">
            <v>0</v>
          </cell>
          <cell r="W81">
            <v>0</v>
          </cell>
          <cell r="X81">
            <v>20</v>
          </cell>
          <cell r="Z81">
            <v>20</v>
          </cell>
          <cell r="AA81">
            <v>0</v>
          </cell>
          <cell r="AB81">
            <v>0</v>
          </cell>
          <cell r="AC81">
            <v>20</v>
          </cell>
          <cell r="AD81">
            <v>0</v>
          </cell>
          <cell r="AF81">
            <v>20</v>
          </cell>
          <cell r="AG81">
            <v>5</v>
          </cell>
          <cell r="AH81">
            <v>5</v>
          </cell>
          <cell r="AI81">
            <v>5</v>
          </cell>
          <cell r="AJ81">
            <v>5</v>
          </cell>
          <cell r="AL81">
            <v>20</v>
          </cell>
        </row>
        <row r="82">
          <cell r="B82" t="str">
            <v>BC115-5CC80-1   0001</v>
          </cell>
          <cell r="C82" t="str">
            <v>461D</v>
          </cell>
          <cell r="D82">
            <v>960</v>
          </cell>
          <cell r="E82">
            <v>600</v>
          </cell>
          <cell r="F82">
            <v>720</v>
          </cell>
          <cell r="G82">
            <v>600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N82">
            <v>2880</v>
          </cell>
          <cell r="O82">
            <v>540</v>
          </cell>
          <cell r="P82">
            <v>780</v>
          </cell>
          <cell r="Q82">
            <v>900</v>
          </cell>
          <cell r="R82">
            <v>900</v>
          </cell>
          <cell r="T82">
            <v>3120</v>
          </cell>
          <cell r="U82">
            <v>1080</v>
          </cell>
          <cell r="V82">
            <v>600</v>
          </cell>
          <cell r="W82">
            <v>0</v>
          </cell>
          <cell r="X82">
            <v>780</v>
          </cell>
          <cell r="Z82">
            <v>2460</v>
          </cell>
          <cell r="AA82">
            <v>540</v>
          </cell>
          <cell r="AB82">
            <v>480</v>
          </cell>
          <cell r="AC82">
            <v>480</v>
          </cell>
          <cell r="AD82">
            <v>360</v>
          </cell>
          <cell r="AF82">
            <v>1860</v>
          </cell>
          <cell r="AG82">
            <v>360</v>
          </cell>
          <cell r="AH82">
            <v>360</v>
          </cell>
          <cell r="AI82">
            <v>360</v>
          </cell>
          <cell r="AJ82">
            <v>360</v>
          </cell>
          <cell r="AL82">
            <v>1440</v>
          </cell>
        </row>
        <row r="83">
          <cell r="B83" t="str">
            <v>BC115-5CC80-2   0001</v>
          </cell>
          <cell r="C83" t="str">
            <v>461D</v>
          </cell>
          <cell r="D83">
            <v>1020</v>
          </cell>
          <cell r="E83">
            <v>600</v>
          </cell>
          <cell r="F83">
            <v>720</v>
          </cell>
          <cell r="G83">
            <v>600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N83">
            <v>2940</v>
          </cell>
          <cell r="O83">
            <v>480</v>
          </cell>
          <cell r="P83">
            <v>780</v>
          </cell>
          <cell r="Q83">
            <v>900</v>
          </cell>
          <cell r="R83">
            <v>900</v>
          </cell>
          <cell r="T83">
            <v>3060</v>
          </cell>
          <cell r="U83">
            <v>1080</v>
          </cell>
          <cell r="V83">
            <v>600</v>
          </cell>
          <cell r="W83">
            <v>0</v>
          </cell>
          <cell r="X83">
            <v>780</v>
          </cell>
          <cell r="Z83">
            <v>2460</v>
          </cell>
          <cell r="AA83">
            <v>540</v>
          </cell>
          <cell r="AB83">
            <v>480</v>
          </cell>
          <cell r="AC83">
            <v>480</v>
          </cell>
          <cell r="AD83">
            <v>360</v>
          </cell>
          <cell r="AF83">
            <v>1860</v>
          </cell>
          <cell r="AG83">
            <v>360</v>
          </cell>
          <cell r="AH83">
            <v>360</v>
          </cell>
          <cell r="AI83">
            <v>360</v>
          </cell>
          <cell r="AJ83">
            <v>360</v>
          </cell>
          <cell r="AL83">
            <v>1440</v>
          </cell>
        </row>
        <row r="84">
          <cell r="C84" t="str">
            <v>TOTAL BC 120D</v>
          </cell>
          <cell r="D84">
            <v>12920</v>
          </cell>
          <cell r="E84">
            <v>13180</v>
          </cell>
          <cell r="F84">
            <v>13690</v>
          </cell>
          <cell r="G84">
            <v>10860</v>
          </cell>
          <cell r="H84">
            <v>14510</v>
          </cell>
          <cell r="I84">
            <v>0</v>
          </cell>
          <cell r="J84">
            <v>7520</v>
          </cell>
          <cell r="K84">
            <v>7240</v>
          </cell>
          <cell r="L84">
            <v>0</v>
          </cell>
          <cell r="M84">
            <v>0</v>
          </cell>
          <cell r="N84">
            <v>79920</v>
          </cell>
          <cell r="O84">
            <v>16150</v>
          </cell>
          <cell r="P84">
            <v>17020</v>
          </cell>
          <cell r="Q84">
            <v>19830</v>
          </cell>
          <cell r="R84">
            <v>19980</v>
          </cell>
          <cell r="S84">
            <v>0</v>
          </cell>
          <cell r="T84">
            <v>72980</v>
          </cell>
          <cell r="U84">
            <v>23440</v>
          </cell>
          <cell r="V84">
            <v>16120</v>
          </cell>
          <cell r="W84">
            <v>0</v>
          </cell>
          <cell r="X84">
            <v>25000</v>
          </cell>
          <cell r="Y84">
            <v>0</v>
          </cell>
          <cell r="Z84">
            <v>64560</v>
          </cell>
          <cell r="AA84">
            <v>20670</v>
          </cell>
          <cell r="AB84">
            <v>16230</v>
          </cell>
          <cell r="AC84">
            <v>19560</v>
          </cell>
          <cell r="AD84">
            <v>18330</v>
          </cell>
          <cell r="AE84">
            <v>0</v>
          </cell>
          <cell r="AF84">
            <v>74790</v>
          </cell>
          <cell r="AG84">
            <v>21140</v>
          </cell>
          <cell r="AH84">
            <v>21140</v>
          </cell>
          <cell r="AI84">
            <v>21140</v>
          </cell>
          <cell r="AJ84">
            <v>21140</v>
          </cell>
          <cell r="AK84">
            <v>0</v>
          </cell>
          <cell r="AL84">
            <v>84560</v>
          </cell>
        </row>
        <row r="87">
          <cell r="D87">
            <v>12920</v>
          </cell>
          <cell r="E87">
            <v>13180</v>
          </cell>
          <cell r="F87">
            <v>13690</v>
          </cell>
          <cell r="G87">
            <v>10860</v>
          </cell>
          <cell r="H87">
            <v>14510</v>
          </cell>
          <cell r="J87">
            <v>7520</v>
          </cell>
          <cell r="K87">
            <v>7240</v>
          </cell>
          <cell r="O87">
            <v>9210</v>
          </cell>
          <cell r="P87">
            <v>6940</v>
          </cell>
          <cell r="Q87">
            <v>10260</v>
          </cell>
          <cell r="R87">
            <v>6760</v>
          </cell>
          <cell r="S87">
            <v>11880</v>
          </cell>
          <cell r="T87">
            <v>7950</v>
          </cell>
          <cell r="U87">
            <v>12010</v>
          </cell>
          <cell r="V87">
            <v>7970</v>
          </cell>
          <cell r="W87">
            <v>11750</v>
          </cell>
          <cell r="X87">
            <v>11690</v>
          </cell>
          <cell r="Y87">
            <v>7820</v>
          </cell>
          <cell r="Z87">
            <v>8300</v>
          </cell>
          <cell r="AA87">
            <v>16880</v>
          </cell>
          <cell r="AB87">
            <v>8120</v>
          </cell>
          <cell r="AC87">
            <v>12560</v>
          </cell>
          <cell r="AD87">
            <v>8110</v>
          </cell>
          <cell r="AE87">
            <v>8050</v>
          </cell>
          <cell r="AF87">
            <v>8180</v>
          </cell>
          <cell r="AG87">
            <v>12040</v>
          </cell>
          <cell r="AH87">
            <v>7520</v>
          </cell>
          <cell r="AI87">
            <v>7310</v>
          </cell>
          <cell r="AJ87">
            <v>11020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SR"/>
      <sheetName val="SPP"/>
    </sheetNames>
    <sheetDataSet>
      <sheetData sheetId="0">
        <row r="11">
          <cell r="F11" t="str">
            <v>GLH467030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  <row r="83">
          <cell r="D83">
            <v>0</v>
          </cell>
        </row>
        <row r="84">
          <cell r="D84">
            <v>0</v>
          </cell>
        </row>
        <row r="85">
          <cell r="D85">
            <v>0</v>
          </cell>
        </row>
        <row r="86">
          <cell r="D86">
            <v>0</v>
          </cell>
        </row>
        <row r="87">
          <cell r="D87">
            <v>0</v>
          </cell>
        </row>
        <row r="88">
          <cell r="D88">
            <v>0</v>
          </cell>
        </row>
        <row r="89">
          <cell r="D89">
            <v>0</v>
          </cell>
        </row>
        <row r="90">
          <cell r="D90">
            <v>0</v>
          </cell>
        </row>
        <row r="91">
          <cell r="D91">
            <v>0</v>
          </cell>
        </row>
        <row r="92">
          <cell r="D92">
            <v>0</v>
          </cell>
        </row>
        <row r="93">
          <cell r="D93">
            <v>0</v>
          </cell>
        </row>
        <row r="94">
          <cell r="D94">
            <v>0</v>
          </cell>
        </row>
        <row r="95">
          <cell r="D95">
            <v>0</v>
          </cell>
        </row>
        <row r="96">
          <cell r="D96">
            <v>0</v>
          </cell>
        </row>
        <row r="97">
          <cell r="D97">
            <v>0</v>
          </cell>
        </row>
        <row r="98">
          <cell r="D98">
            <v>0</v>
          </cell>
        </row>
        <row r="99">
          <cell r="D99">
            <v>0</v>
          </cell>
        </row>
        <row r="100">
          <cell r="D100">
            <v>0</v>
          </cell>
        </row>
        <row r="101">
          <cell r="D101">
            <v>0</v>
          </cell>
        </row>
        <row r="102">
          <cell r="D102">
            <v>0</v>
          </cell>
        </row>
        <row r="103">
          <cell r="D103">
            <v>0</v>
          </cell>
        </row>
        <row r="104">
          <cell r="D104">
            <v>0</v>
          </cell>
        </row>
        <row r="105">
          <cell r="D105">
            <v>0</v>
          </cell>
        </row>
        <row r="106">
          <cell r="D106">
            <v>0</v>
          </cell>
        </row>
        <row r="107">
          <cell r="D107">
            <v>0</v>
          </cell>
        </row>
        <row r="108">
          <cell r="D108">
            <v>0</v>
          </cell>
        </row>
        <row r="109">
          <cell r="D109">
            <v>0</v>
          </cell>
        </row>
        <row r="110">
          <cell r="D110">
            <v>0</v>
          </cell>
        </row>
        <row r="111">
          <cell r="D111">
            <v>0</v>
          </cell>
        </row>
        <row r="112">
          <cell r="D112">
            <v>0</v>
          </cell>
        </row>
        <row r="113">
          <cell r="D113">
            <v>0</v>
          </cell>
        </row>
        <row r="114">
          <cell r="D114">
            <v>0</v>
          </cell>
        </row>
        <row r="115">
          <cell r="D115">
            <v>0</v>
          </cell>
        </row>
        <row r="116">
          <cell r="D116">
            <v>0</v>
          </cell>
        </row>
        <row r="117">
          <cell r="D117">
            <v>0</v>
          </cell>
        </row>
        <row r="118">
          <cell r="D118">
            <v>0</v>
          </cell>
        </row>
        <row r="119">
          <cell r="D119">
            <v>0</v>
          </cell>
        </row>
        <row r="120">
          <cell r="D120">
            <v>0</v>
          </cell>
        </row>
        <row r="121">
          <cell r="D121">
            <v>0</v>
          </cell>
        </row>
        <row r="122">
          <cell r="D122">
            <v>0</v>
          </cell>
        </row>
        <row r="123">
          <cell r="D123">
            <v>0</v>
          </cell>
        </row>
        <row r="124">
          <cell r="D124">
            <v>0</v>
          </cell>
        </row>
        <row r="125">
          <cell r="D125">
            <v>0</v>
          </cell>
        </row>
        <row r="126">
          <cell r="D126">
            <v>0</v>
          </cell>
        </row>
        <row r="127">
          <cell r="D127">
            <v>0</v>
          </cell>
        </row>
        <row r="128">
          <cell r="D128">
            <v>0</v>
          </cell>
        </row>
        <row r="129">
          <cell r="D129">
            <v>0</v>
          </cell>
        </row>
        <row r="130">
          <cell r="D130">
            <v>0</v>
          </cell>
        </row>
        <row r="131">
          <cell r="D131">
            <v>0</v>
          </cell>
        </row>
        <row r="132">
          <cell r="D132">
            <v>0</v>
          </cell>
        </row>
        <row r="133">
          <cell r="D133">
            <v>0</v>
          </cell>
        </row>
        <row r="134">
          <cell r="D134">
            <v>0</v>
          </cell>
        </row>
        <row r="135">
          <cell r="D135">
            <v>0</v>
          </cell>
        </row>
        <row r="136">
          <cell r="D136">
            <v>0</v>
          </cell>
        </row>
        <row r="137">
          <cell r="D137">
            <v>0</v>
          </cell>
        </row>
        <row r="138">
          <cell r="D138">
            <v>0</v>
          </cell>
        </row>
        <row r="139">
          <cell r="D139">
            <v>0</v>
          </cell>
        </row>
        <row r="140">
          <cell r="D140">
            <v>0</v>
          </cell>
        </row>
        <row r="141">
          <cell r="D141">
            <v>0</v>
          </cell>
        </row>
        <row r="142">
          <cell r="D142">
            <v>0</v>
          </cell>
        </row>
        <row r="143">
          <cell r="D143">
            <v>0</v>
          </cell>
        </row>
        <row r="144">
          <cell r="D144">
            <v>0</v>
          </cell>
        </row>
        <row r="145">
          <cell r="D145">
            <v>0</v>
          </cell>
        </row>
        <row r="146">
          <cell r="D146">
            <v>0</v>
          </cell>
        </row>
        <row r="147">
          <cell r="D147">
            <v>0</v>
          </cell>
        </row>
        <row r="148">
          <cell r="D148">
            <v>0</v>
          </cell>
        </row>
        <row r="149">
          <cell r="D149">
            <v>0</v>
          </cell>
        </row>
        <row r="150">
          <cell r="D150">
            <v>0</v>
          </cell>
        </row>
        <row r="151">
          <cell r="D151">
            <v>0</v>
          </cell>
        </row>
        <row r="152">
          <cell r="D152">
            <v>0</v>
          </cell>
        </row>
        <row r="153">
          <cell r="D153" t="str">
            <v>IPM-2</v>
          </cell>
        </row>
        <row r="154">
          <cell r="D154">
            <v>0</v>
          </cell>
        </row>
        <row r="155">
          <cell r="D155">
            <v>0</v>
          </cell>
        </row>
        <row r="156">
          <cell r="D156">
            <v>0</v>
          </cell>
        </row>
        <row r="157">
          <cell r="D157">
            <v>0</v>
          </cell>
        </row>
        <row r="158">
          <cell r="D158">
            <v>0</v>
          </cell>
        </row>
        <row r="159">
          <cell r="D159">
            <v>0</v>
          </cell>
        </row>
        <row r="160">
          <cell r="D160">
            <v>0</v>
          </cell>
        </row>
        <row r="161">
          <cell r="D161">
            <v>0</v>
          </cell>
        </row>
        <row r="162">
          <cell r="D162">
            <v>0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0</v>
          </cell>
        </row>
        <row r="166">
          <cell r="D166">
            <v>0</v>
          </cell>
        </row>
        <row r="167">
          <cell r="D167">
            <v>0</v>
          </cell>
        </row>
        <row r="168">
          <cell r="D168">
            <v>0</v>
          </cell>
        </row>
        <row r="169">
          <cell r="D169">
            <v>0</v>
          </cell>
        </row>
        <row r="170">
          <cell r="D170">
            <v>0</v>
          </cell>
        </row>
        <row r="171">
          <cell r="D171">
            <v>0</v>
          </cell>
        </row>
        <row r="172">
          <cell r="D172">
            <v>0</v>
          </cell>
        </row>
        <row r="173">
          <cell r="D173">
            <v>0</v>
          </cell>
        </row>
        <row r="174">
          <cell r="D174">
            <v>0</v>
          </cell>
        </row>
        <row r="175">
          <cell r="D175">
            <v>0</v>
          </cell>
        </row>
        <row r="176">
          <cell r="D176">
            <v>0</v>
          </cell>
        </row>
        <row r="177">
          <cell r="D177">
            <v>0</v>
          </cell>
        </row>
        <row r="178">
          <cell r="D178">
            <v>0</v>
          </cell>
        </row>
        <row r="179">
          <cell r="D179">
            <v>0</v>
          </cell>
        </row>
        <row r="180">
          <cell r="D180">
            <v>0</v>
          </cell>
        </row>
        <row r="181">
          <cell r="D181">
            <v>0</v>
          </cell>
        </row>
        <row r="182">
          <cell r="D182">
            <v>0</v>
          </cell>
        </row>
        <row r="183">
          <cell r="D183">
            <v>0</v>
          </cell>
        </row>
        <row r="184">
          <cell r="D184">
            <v>0</v>
          </cell>
        </row>
        <row r="185">
          <cell r="D185">
            <v>0</v>
          </cell>
        </row>
        <row r="186">
          <cell r="D186">
            <v>0</v>
          </cell>
        </row>
        <row r="187">
          <cell r="D187">
            <v>0</v>
          </cell>
        </row>
        <row r="188">
          <cell r="D188">
            <v>0</v>
          </cell>
        </row>
        <row r="189">
          <cell r="D189">
            <v>0</v>
          </cell>
        </row>
        <row r="190">
          <cell r="D190">
            <v>0</v>
          </cell>
        </row>
        <row r="191">
          <cell r="D191">
            <v>0</v>
          </cell>
        </row>
        <row r="192">
          <cell r="D192">
            <v>0</v>
          </cell>
        </row>
        <row r="193">
          <cell r="D193">
            <v>0</v>
          </cell>
        </row>
        <row r="194">
          <cell r="D194">
            <v>0</v>
          </cell>
        </row>
        <row r="195">
          <cell r="D195">
            <v>0</v>
          </cell>
        </row>
        <row r="196">
          <cell r="D196">
            <v>0</v>
          </cell>
        </row>
        <row r="197">
          <cell r="D197">
            <v>0</v>
          </cell>
        </row>
        <row r="198">
          <cell r="D198">
            <v>0</v>
          </cell>
        </row>
        <row r="199">
          <cell r="D199">
            <v>0</v>
          </cell>
        </row>
        <row r="200">
          <cell r="D200">
            <v>0</v>
          </cell>
        </row>
        <row r="201">
          <cell r="D201">
            <v>0</v>
          </cell>
        </row>
        <row r="202">
          <cell r="D202">
            <v>0</v>
          </cell>
        </row>
        <row r="203">
          <cell r="D203">
            <v>0</v>
          </cell>
        </row>
        <row r="204">
          <cell r="D204">
            <v>0</v>
          </cell>
        </row>
        <row r="205">
          <cell r="D205">
            <v>0</v>
          </cell>
        </row>
        <row r="206">
          <cell r="D206">
            <v>0</v>
          </cell>
        </row>
        <row r="207">
          <cell r="D207">
            <v>0</v>
          </cell>
        </row>
        <row r="208">
          <cell r="D208">
            <v>0</v>
          </cell>
        </row>
        <row r="209">
          <cell r="D209">
            <v>0</v>
          </cell>
        </row>
        <row r="210">
          <cell r="D210">
            <v>0</v>
          </cell>
        </row>
        <row r="211">
          <cell r="D211">
            <v>0</v>
          </cell>
        </row>
        <row r="212">
          <cell r="D212">
            <v>0</v>
          </cell>
        </row>
        <row r="213">
          <cell r="D213">
            <v>0</v>
          </cell>
        </row>
        <row r="214">
          <cell r="D214">
            <v>0</v>
          </cell>
        </row>
        <row r="215">
          <cell r="D215">
            <v>0</v>
          </cell>
        </row>
        <row r="216">
          <cell r="D216">
            <v>0</v>
          </cell>
        </row>
        <row r="217">
          <cell r="D217">
            <v>0</v>
          </cell>
        </row>
        <row r="218">
          <cell r="D218">
            <v>0</v>
          </cell>
        </row>
        <row r="219">
          <cell r="D219">
            <v>0</v>
          </cell>
        </row>
        <row r="220">
          <cell r="D220">
            <v>0</v>
          </cell>
        </row>
        <row r="221">
          <cell r="D221">
            <v>0</v>
          </cell>
        </row>
        <row r="222">
          <cell r="D222">
            <v>0</v>
          </cell>
        </row>
        <row r="223">
          <cell r="D223">
            <v>0</v>
          </cell>
        </row>
        <row r="224">
          <cell r="D224">
            <v>0</v>
          </cell>
        </row>
        <row r="225">
          <cell r="D225">
            <v>0</v>
          </cell>
        </row>
        <row r="226">
          <cell r="D226">
            <v>0</v>
          </cell>
        </row>
        <row r="227">
          <cell r="D227">
            <v>0</v>
          </cell>
        </row>
        <row r="228">
          <cell r="D228">
            <v>0</v>
          </cell>
        </row>
        <row r="229">
          <cell r="D229">
            <v>0</v>
          </cell>
        </row>
        <row r="230">
          <cell r="D230">
            <v>0</v>
          </cell>
        </row>
        <row r="231">
          <cell r="D231">
            <v>0</v>
          </cell>
        </row>
        <row r="232">
          <cell r="D232">
            <v>0</v>
          </cell>
        </row>
        <row r="233">
          <cell r="D233">
            <v>0</v>
          </cell>
        </row>
        <row r="234">
          <cell r="D234">
            <v>0</v>
          </cell>
        </row>
        <row r="235">
          <cell r="D235">
            <v>0</v>
          </cell>
        </row>
        <row r="236">
          <cell r="D236">
            <v>0</v>
          </cell>
        </row>
        <row r="237">
          <cell r="D237">
            <v>0</v>
          </cell>
        </row>
        <row r="238">
          <cell r="D238">
            <v>0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5">
          <cell r="D5" t="str">
            <v>82113-76120 0101</v>
          </cell>
          <cell r="E5" t="str">
            <v>8211376120</v>
          </cell>
          <cell r="F5" t="str">
            <v>8211376120</v>
          </cell>
          <cell r="G5">
            <v>40.52664</v>
          </cell>
          <cell r="H5">
            <v>0</v>
          </cell>
          <cell r="I5">
            <v>1.6141666666666669E-2</v>
          </cell>
          <cell r="J5">
            <v>4.1978333333333333E-2</v>
          </cell>
          <cell r="K5">
            <v>0</v>
          </cell>
          <cell r="L5">
            <v>4.5951666666666661E-2</v>
          </cell>
          <cell r="M5">
            <v>0.20851333333333333</v>
          </cell>
          <cell r="N5">
            <v>0</v>
          </cell>
          <cell r="O5">
            <v>3.6528333333333336E-2</v>
          </cell>
          <cell r="P5">
            <v>1.5223333333333334E-2</v>
          </cell>
          <cell r="Q5">
            <v>4.4816666666666659E-3</v>
          </cell>
          <cell r="R5">
            <v>5.8120000000000005E-2</v>
          </cell>
          <cell r="S5">
            <v>0.3106983333333333</v>
          </cell>
          <cell r="T5">
            <v>0</v>
          </cell>
          <cell r="U5">
            <v>0</v>
          </cell>
          <cell r="V5">
            <v>0</v>
          </cell>
          <cell r="W5">
            <v>0.3688183333333333</v>
          </cell>
        </row>
        <row r="6">
          <cell r="D6" t="str">
            <v>82113-76130 0101</v>
          </cell>
          <cell r="E6" t="str">
            <v>8211376130</v>
          </cell>
          <cell r="F6" t="str">
            <v>8211376130</v>
          </cell>
          <cell r="G6">
            <v>18.942</v>
          </cell>
          <cell r="H6">
            <v>0</v>
          </cell>
          <cell r="I6">
            <v>1.1594999999999999E-2</v>
          </cell>
          <cell r="J6">
            <v>2.6478333333333333E-2</v>
          </cell>
          <cell r="K6">
            <v>0</v>
          </cell>
          <cell r="L6">
            <v>3.8178333333333335E-2</v>
          </cell>
          <cell r="M6">
            <v>0.18492499999999998</v>
          </cell>
          <cell r="N6">
            <v>0</v>
          </cell>
          <cell r="O6">
            <v>3.2278333333333332E-2</v>
          </cell>
          <cell r="P6">
            <v>1.4286666666666666E-2</v>
          </cell>
          <cell r="Q6">
            <v>4.1849999999999995E-3</v>
          </cell>
          <cell r="R6">
            <v>3.8073333333333334E-2</v>
          </cell>
          <cell r="S6">
            <v>0.27385333333333334</v>
          </cell>
          <cell r="T6">
            <v>0</v>
          </cell>
          <cell r="U6">
            <v>0</v>
          </cell>
          <cell r="V6">
            <v>0</v>
          </cell>
          <cell r="W6">
            <v>0.31192666666666669</v>
          </cell>
        </row>
        <row r="7">
          <cell r="D7" t="str">
            <v>82113-76140 0101</v>
          </cell>
          <cell r="E7" t="str">
            <v>8211376140</v>
          </cell>
          <cell r="F7" t="str">
            <v>8211376140</v>
          </cell>
          <cell r="G7">
            <v>40.5</v>
          </cell>
          <cell r="H7">
            <v>0</v>
          </cell>
          <cell r="I7">
            <v>1.5229999999999999E-2</v>
          </cell>
          <cell r="J7">
            <v>4.1978333333333333E-2</v>
          </cell>
          <cell r="K7">
            <v>0</v>
          </cell>
          <cell r="L7">
            <v>4.2790000000000002E-2</v>
          </cell>
          <cell r="M7">
            <v>0.172905</v>
          </cell>
          <cell r="N7">
            <v>0</v>
          </cell>
          <cell r="O7">
            <v>3.2300000000000002E-2</v>
          </cell>
          <cell r="P7">
            <v>1.2678333333333335E-2</v>
          </cell>
          <cell r="Q7">
            <v>4.0100000000000005E-3</v>
          </cell>
          <cell r="R7">
            <v>5.7208333333333333E-2</v>
          </cell>
          <cell r="S7">
            <v>0.26468333333333333</v>
          </cell>
          <cell r="T7">
            <v>0</v>
          </cell>
          <cell r="U7">
            <v>0</v>
          </cell>
          <cell r="V7">
            <v>0</v>
          </cell>
          <cell r="W7">
            <v>0.32189166666666669</v>
          </cell>
        </row>
        <row r="8">
          <cell r="D8" t="str">
            <v>82113-76150 0101</v>
          </cell>
          <cell r="E8" t="str">
            <v>8211376150</v>
          </cell>
          <cell r="F8" t="str">
            <v>8211376150</v>
          </cell>
          <cell r="G8">
            <v>21.593879999999999</v>
          </cell>
          <cell r="H8">
            <v>0</v>
          </cell>
          <cell r="I8">
            <v>5.221666666666667E-3</v>
          </cell>
          <cell r="J8">
            <v>1.5500000000000002E-2</v>
          </cell>
          <cell r="K8">
            <v>0</v>
          </cell>
          <cell r="L8">
            <v>1.8589999999999999E-2</v>
          </cell>
          <cell r="M8">
            <v>6.7261666666666678E-2</v>
          </cell>
          <cell r="N8">
            <v>0</v>
          </cell>
          <cell r="O8">
            <v>1.5125E-2</v>
          </cell>
          <cell r="P8">
            <v>6.168333333333333E-3</v>
          </cell>
          <cell r="Q8">
            <v>2.9616666666666667E-3</v>
          </cell>
          <cell r="R8">
            <v>2.0721666666666669E-2</v>
          </cell>
          <cell r="S8">
            <v>0.11010666666666667</v>
          </cell>
          <cell r="T8">
            <v>0</v>
          </cell>
          <cell r="U8">
            <v>0</v>
          </cell>
          <cell r="V8">
            <v>0</v>
          </cell>
          <cell r="W8">
            <v>0.13082833333333335</v>
          </cell>
        </row>
        <row r="9">
          <cell r="D9" t="str">
            <v>82113-76160 0101</v>
          </cell>
          <cell r="E9" t="str">
            <v>8211376160</v>
          </cell>
          <cell r="F9" t="str">
            <v>8211376160</v>
          </cell>
          <cell r="G9">
            <v>18.899999999999999</v>
          </cell>
          <cell r="H9">
            <v>0</v>
          </cell>
          <cell r="I9">
            <v>1.0449999999999999E-2</v>
          </cell>
          <cell r="J9">
            <v>2.6478333333333333E-2</v>
          </cell>
          <cell r="K9">
            <v>0</v>
          </cell>
          <cell r="L9">
            <v>3.5016666666666668E-2</v>
          </cell>
          <cell r="M9">
            <v>0.13466166666666668</v>
          </cell>
          <cell r="N9">
            <v>0</v>
          </cell>
          <cell r="O9">
            <v>2.912E-2</v>
          </cell>
          <cell r="P9">
            <v>8.4950000000000008E-3</v>
          </cell>
          <cell r="Q9">
            <v>3.698333333333333E-3</v>
          </cell>
          <cell r="R9">
            <v>3.6928333333333334E-2</v>
          </cell>
          <cell r="S9">
            <v>0.21099166666666669</v>
          </cell>
          <cell r="T9">
            <v>0</v>
          </cell>
          <cell r="U9">
            <v>0</v>
          </cell>
          <cell r="V9">
            <v>0</v>
          </cell>
          <cell r="W9">
            <v>0.24792000000000003</v>
          </cell>
        </row>
        <row r="10">
          <cell r="D10" t="str">
            <v>82113-76170 A 0002</v>
          </cell>
          <cell r="E10" t="str">
            <v>8211376170</v>
          </cell>
          <cell r="F10" t="str">
            <v>8211376170</v>
          </cell>
          <cell r="G10">
            <v>47.17944</v>
          </cell>
          <cell r="H10">
            <v>0</v>
          </cell>
          <cell r="I10">
            <v>1.9398333333333333E-2</v>
          </cell>
          <cell r="J10">
            <v>3.1591666666666664E-2</v>
          </cell>
          <cell r="K10">
            <v>0</v>
          </cell>
          <cell r="L10">
            <v>4.7904999999999996E-2</v>
          </cell>
          <cell r="M10">
            <v>0.21357333333333331</v>
          </cell>
          <cell r="N10">
            <v>0</v>
          </cell>
          <cell r="O10">
            <v>2.0334999999999999E-2</v>
          </cell>
          <cell r="P10">
            <v>1.3406666666666667E-2</v>
          </cell>
          <cell r="Q10">
            <v>4.6049999999999997E-3</v>
          </cell>
          <cell r="R10">
            <v>5.0989999999999994E-2</v>
          </cell>
          <cell r="S10">
            <v>0.29982500000000001</v>
          </cell>
          <cell r="T10">
            <v>0</v>
          </cell>
          <cell r="U10">
            <v>0</v>
          </cell>
          <cell r="V10">
            <v>0</v>
          </cell>
          <cell r="W10">
            <v>0.35081499999999999</v>
          </cell>
        </row>
        <row r="11">
          <cell r="D11" t="str">
            <v>82113-76180 A 0002</v>
          </cell>
          <cell r="E11" t="str">
            <v>8211376180</v>
          </cell>
          <cell r="F11" t="str">
            <v>8211376180</v>
          </cell>
          <cell r="G11">
            <v>47.17944</v>
          </cell>
          <cell r="H11">
            <v>0</v>
          </cell>
          <cell r="I11">
            <v>1.9816666666666666E-2</v>
          </cell>
          <cell r="J11">
            <v>3.1591666666666664E-2</v>
          </cell>
          <cell r="K11">
            <v>0</v>
          </cell>
          <cell r="L11">
            <v>4.7904999999999996E-2</v>
          </cell>
          <cell r="M11">
            <v>0.24787833333333334</v>
          </cell>
          <cell r="N11">
            <v>0</v>
          </cell>
          <cell r="O11">
            <v>2.0083333333333335E-2</v>
          </cell>
          <cell r="P11">
            <v>1.4525000000000001E-2</v>
          </cell>
          <cell r="Q11">
            <v>5.3699999999999998E-3</v>
          </cell>
          <cell r="R11">
            <v>5.1408333333333334E-2</v>
          </cell>
          <cell r="S11">
            <v>0.33576166666666668</v>
          </cell>
          <cell r="T11">
            <v>0</v>
          </cell>
          <cell r="U11">
            <v>0</v>
          </cell>
          <cell r="V11">
            <v>0</v>
          </cell>
          <cell r="W11">
            <v>0.38717000000000001</v>
          </cell>
        </row>
        <row r="12">
          <cell r="D12" t="str">
            <v>82113-76190 0101</v>
          </cell>
          <cell r="E12" t="str">
            <v>8211376190</v>
          </cell>
          <cell r="F12" t="str">
            <v>8211376190</v>
          </cell>
          <cell r="G12">
            <v>28.9</v>
          </cell>
          <cell r="H12">
            <v>0</v>
          </cell>
          <cell r="I12">
            <v>7.9316666666666667E-3</v>
          </cell>
          <cell r="J12">
            <v>1.6673333333333332E-2</v>
          </cell>
          <cell r="K12">
            <v>0</v>
          </cell>
          <cell r="L12">
            <v>2.3704999999999997E-2</v>
          </cell>
          <cell r="M12">
            <v>7.0279999999999995E-2</v>
          </cell>
          <cell r="N12">
            <v>0</v>
          </cell>
          <cell r="O12">
            <v>1.5224999999999999E-2</v>
          </cell>
          <cell r="P12">
            <v>9.6666666666666654E-3</v>
          </cell>
          <cell r="Q12">
            <v>3.065E-3</v>
          </cell>
          <cell r="R12">
            <v>2.4604999999999998E-2</v>
          </cell>
          <cell r="S12">
            <v>0.12194166666666666</v>
          </cell>
          <cell r="T12">
            <v>0</v>
          </cell>
          <cell r="U12">
            <v>0</v>
          </cell>
          <cell r="V12">
            <v>0</v>
          </cell>
          <cell r="W12">
            <v>0.14654666666666666</v>
          </cell>
        </row>
        <row r="13">
          <cell r="D13" t="str">
            <v>82113-76200 A 0002</v>
          </cell>
          <cell r="E13" t="str">
            <v>8211376200</v>
          </cell>
          <cell r="F13" t="str">
            <v>8211376200</v>
          </cell>
          <cell r="G13">
            <v>18.316759999999999</v>
          </cell>
          <cell r="H13">
            <v>0</v>
          </cell>
          <cell r="I13">
            <v>1.1803333333333334E-2</v>
          </cell>
          <cell r="J13">
            <v>1.4918333333333334E-2</v>
          </cell>
          <cell r="K13">
            <v>0</v>
          </cell>
          <cell r="L13">
            <v>3.8261666666666666E-2</v>
          </cell>
          <cell r="M13">
            <v>0.17355166666666666</v>
          </cell>
          <cell r="N13">
            <v>0</v>
          </cell>
          <cell r="O13">
            <v>1.8658333333333332E-2</v>
          </cell>
          <cell r="P13">
            <v>1.0030000000000001E-2</v>
          </cell>
          <cell r="Q13">
            <v>4.0600000000000002E-3</v>
          </cell>
          <cell r="R13">
            <v>2.6721666666666668E-2</v>
          </cell>
          <cell r="S13">
            <v>0.24456166666666668</v>
          </cell>
          <cell r="T13">
            <v>0</v>
          </cell>
          <cell r="U13">
            <v>0</v>
          </cell>
          <cell r="V13">
            <v>0</v>
          </cell>
          <cell r="W13">
            <v>0.27128333333333332</v>
          </cell>
        </row>
        <row r="14">
          <cell r="D14" t="str">
            <v>82113-76210 0002</v>
          </cell>
          <cell r="E14" t="str">
            <v>8211376210</v>
          </cell>
          <cell r="F14" t="str">
            <v>8211376210</v>
          </cell>
          <cell r="G14">
            <v>47.78004</v>
          </cell>
          <cell r="H14">
            <v>0</v>
          </cell>
          <cell r="I14">
            <v>1.9431666666666667E-2</v>
          </cell>
          <cell r="J14">
            <v>3.168166666666667E-2</v>
          </cell>
          <cell r="K14">
            <v>0</v>
          </cell>
          <cell r="L14">
            <v>4.7904999999999996E-2</v>
          </cell>
          <cell r="M14">
            <v>0.21415666666666666</v>
          </cell>
          <cell r="N14">
            <v>0</v>
          </cell>
          <cell r="O14">
            <v>2.0338333333333333E-2</v>
          </cell>
          <cell r="P14">
            <v>1.3476666666666666E-2</v>
          </cell>
          <cell r="Q14">
            <v>4.6533333333333331E-3</v>
          </cell>
          <cell r="R14">
            <v>5.1113333333333337E-2</v>
          </cell>
          <cell r="S14">
            <v>0.30053000000000002</v>
          </cell>
          <cell r="T14">
            <v>0</v>
          </cell>
          <cell r="U14">
            <v>0</v>
          </cell>
          <cell r="V14">
            <v>0</v>
          </cell>
          <cell r="W14">
            <v>0.35164333333333336</v>
          </cell>
        </row>
        <row r="15">
          <cell r="D15" t="str">
            <v>82113-76220 0002</v>
          </cell>
          <cell r="E15" t="str">
            <v>8211376220</v>
          </cell>
          <cell r="F15" t="str">
            <v>8211376220</v>
          </cell>
          <cell r="G15">
            <v>47.78004</v>
          </cell>
          <cell r="H15">
            <v>0</v>
          </cell>
          <cell r="I15">
            <v>1.985E-2</v>
          </cell>
          <cell r="J15">
            <v>3.168166666666667E-2</v>
          </cell>
          <cell r="K15">
            <v>0</v>
          </cell>
          <cell r="L15">
            <v>4.7904999999999996E-2</v>
          </cell>
          <cell r="M15">
            <v>0.24846333333333334</v>
          </cell>
          <cell r="N15">
            <v>0</v>
          </cell>
          <cell r="O15">
            <v>2.0086666666666666E-2</v>
          </cell>
          <cell r="P15">
            <v>1.4595E-2</v>
          </cell>
          <cell r="Q15">
            <v>5.4166666666666669E-3</v>
          </cell>
          <cell r="R15">
            <v>5.153166666666667E-2</v>
          </cell>
          <cell r="S15">
            <v>0.33646666666666669</v>
          </cell>
          <cell r="T15">
            <v>0</v>
          </cell>
          <cell r="U15">
            <v>0</v>
          </cell>
          <cell r="V15">
            <v>0</v>
          </cell>
          <cell r="W15">
            <v>0.38799833333333333</v>
          </cell>
        </row>
        <row r="16">
          <cell r="D16" t="str">
            <v>82125-12660 B 1201</v>
          </cell>
          <cell r="E16" t="str">
            <v>8212512660</v>
          </cell>
          <cell r="F16" t="str">
            <v>8212512660</v>
          </cell>
          <cell r="G16">
            <v>19.5</v>
          </cell>
          <cell r="H16">
            <v>0</v>
          </cell>
          <cell r="I16">
            <v>1.0141666666666667E-2</v>
          </cell>
          <cell r="J16">
            <v>0</v>
          </cell>
          <cell r="K16">
            <v>1.302E-2</v>
          </cell>
          <cell r="L16">
            <v>2.6033333333333335E-2</v>
          </cell>
          <cell r="M16">
            <v>0.10109166666666666</v>
          </cell>
          <cell r="N16">
            <v>1.0450000000000001E-3</v>
          </cell>
          <cell r="O16">
            <v>1.3483333333333335E-2</v>
          </cell>
          <cell r="P16">
            <v>8.4883333333333321E-3</v>
          </cell>
          <cell r="Q16">
            <v>3.7383333333333335E-3</v>
          </cell>
          <cell r="R16">
            <v>2.3161666666666667E-2</v>
          </cell>
          <cell r="S16">
            <v>0.15387999999999999</v>
          </cell>
          <cell r="T16">
            <v>0</v>
          </cell>
          <cell r="U16">
            <v>0</v>
          </cell>
          <cell r="V16">
            <v>0</v>
          </cell>
          <cell r="W16">
            <v>0.17704166666666665</v>
          </cell>
        </row>
        <row r="17">
          <cell r="D17" t="str">
            <v>82125-33180 0231</v>
          </cell>
          <cell r="E17" t="str">
            <v>8212533180</v>
          </cell>
          <cell r="F17" t="str">
            <v>8212533180</v>
          </cell>
          <cell r="G17">
            <v>13.4</v>
          </cell>
          <cell r="H17">
            <v>0</v>
          </cell>
          <cell r="I17">
            <v>1.0136666666666665E-2</v>
          </cell>
          <cell r="J17">
            <v>0</v>
          </cell>
          <cell r="K17">
            <v>1.302E-2</v>
          </cell>
          <cell r="L17">
            <v>2.0313333333333336E-2</v>
          </cell>
          <cell r="M17">
            <v>9.2905000000000001E-2</v>
          </cell>
          <cell r="N17">
            <v>1.0450000000000001E-3</v>
          </cell>
          <cell r="O17">
            <v>1.3481666666666666E-2</v>
          </cell>
          <cell r="P17">
            <v>7.906666666666666E-3</v>
          </cell>
          <cell r="Q17">
            <v>3.7099999999999998E-3</v>
          </cell>
          <cell r="R17">
            <v>2.3156666666666666E-2</v>
          </cell>
          <cell r="S17">
            <v>0.13936166666666666</v>
          </cell>
          <cell r="T17">
            <v>0</v>
          </cell>
          <cell r="U17">
            <v>0</v>
          </cell>
          <cell r="V17">
            <v>0</v>
          </cell>
          <cell r="W17">
            <v>0.16251833333333332</v>
          </cell>
        </row>
        <row r="18">
          <cell r="D18" t="str">
            <v>82125-52190 A 1301</v>
          </cell>
          <cell r="E18" t="str">
            <v>8212552190</v>
          </cell>
          <cell r="F18" t="str">
            <v>8212552190</v>
          </cell>
          <cell r="G18">
            <v>7.1</v>
          </cell>
          <cell r="H18">
            <v>0</v>
          </cell>
          <cell r="I18">
            <v>5.678333333333333E-3</v>
          </cell>
          <cell r="J18">
            <v>0</v>
          </cell>
          <cell r="K18">
            <v>1.1991666666666668E-2</v>
          </cell>
          <cell r="L18">
            <v>1.6023333333333334E-2</v>
          </cell>
          <cell r="M18">
            <v>6.6653333333333328E-2</v>
          </cell>
          <cell r="N18">
            <v>1.0450000000000001E-3</v>
          </cell>
          <cell r="O18">
            <v>1.1741666666666668E-2</v>
          </cell>
          <cell r="P18">
            <v>6.7133333333333333E-3</v>
          </cell>
          <cell r="Q18">
            <v>2.895E-3</v>
          </cell>
          <cell r="R18">
            <v>1.7670000000000002E-2</v>
          </cell>
          <cell r="S18">
            <v>0.10507166666666666</v>
          </cell>
          <cell r="T18">
            <v>0</v>
          </cell>
          <cell r="U18">
            <v>0</v>
          </cell>
          <cell r="V18">
            <v>0</v>
          </cell>
          <cell r="W18">
            <v>0.12274166666666667</v>
          </cell>
        </row>
        <row r="19">
          <cell r="D19" t="str">
            <v>82126-12010 B 1001</v>
          </cell>
          <cell r="E19" t="str">
            <v>8212612010</v>
          </cell>
          <cell r="F19" t="str">
            <v>8212612010</v>
          </cell>
          <cell r="G19">
            <v>27.5</v>
          </cell>
          <cell r="H19">
            <v>0</v>
          </cell>
          <cell r="I19">
            <v>6.6383333333333329E-3</v>
          </cell>
          <cell r="J19">
            <v>2.4773333333333331E-2</v>
          </cell>
          <cell r="K19">
            <v>0</v>
          </cell>
          <cell r="L19">
            <v>1.54E-2</v>
          </cell>
          <cell r="M19">
            <v>5.2038333333333332E-2</v>
          </cell>
          <cell r="N19">
            <v>0</v>
          </cell>
          <cell r="O19">
            <v>2.5528333333333333E-2</v>
          </cell>
          <cell r="P19">
            <v>6.4283333333333328E-3</v>
          </cell>
          <cell r="Q19">
            <v>3.1349999999999998E-3</v>
          </cell>
          <cell r="R19">
            <v>3.1411666666666664E-2</v>
          </cell>
          <cell r="S19">
            <v>0.10253</v>
          </cell>
          <cell r="T19">
            <v>0</v>
          </cell>
          <cell r="U19">
            <v>0</v>
          </cell>
          <cell r="V19">
            <v>0</v>
          </cell>
          <cell r="W19">
            <v>0.13394166666666665</v>
          </cell>
        </row>
        <row r="20">
          <cell r="D20" t="str">
            <v>82126-33050 B 0101</v>
          </cell>
          <cell r="E20" t="str">
            <v>8212633050</v>
          </cell>
          <cell r="F20" t="str">
            <v>8212633050</v>
          </cell>
          <cell r="G20">
            <v>39.090479999999999</v>
          </cell>
          <cell r="H20">
            <v>0</v>
          </cell>
          <cell r="I20">
            <v>6.6449999999999999E-3</v>
          </cell>
          <cell r="J20">
            <v>2.4773333333333331E-2</v>
          </cell>
          <cell r="K20">
            <v>0</v>
          </cell>
          <cell r="L20">
            <v>1.54E-2</v>
          </cell>
          <cell r="M20">
            <v>4.0236666666666671E-2</v>
          </cell>
          <cell r="N20">
            <v>0</v>
          </cell>
          <cell r="O20">
            <v>2.5528333333333333E-2</v>
          </cell>
          <cell r="P20">
            <v>6.4283333333333328E-3</v>
          </cell>
          <cell r="Q20">
            <v>3.2083333333333334E-3</v>
          </cell>
          <cell r="R20">
            <v>3.1418333333333333E-2</v>
          </cell>
          <cell r="S20">
            <v>9.0801666666666656E-2</v>
          </cell>
          <cell r="T20">
            <v>0</v>
          </cell>
          <cell r="U20">
            <v>0</v>
          </cell>
          <cell r="V20">
            <v>0</v>
          </cell>
          <cell r="W20">
            <v>0.12222</v>
          </cell>
        </row>
        <row r="21">
          <cell r="D21" t="str">
            <v>82219-12140 B 1001</v>
          </cell>
          <cell r="E21" t="str">
            <v>8221912140</v>
          </cell>
          <cell r="F21" t="str">
            <v>8221912140</v>
          </cell>
          <cell r="G21">
            <v>13.6</v>
          </cell>
          <cell r="H21">
            <v>0</v>
          </cell>
          <cell r="I21">
            <v>8.0366666666666677E-3</v>
          </cell>
          <cell r="J21">
            <v>1.2386666666666666E-2</v>
          </cell>
          <cell r="K21">
            <v>0</v>
          </cell>
          <cell r="L21">
            <v>2.7298333333333331E-2</v>
          </cell>
          <cell r="M21">
            <v>6.1690000000000002E-2</v>
          </cell>
          <cell r="N21">
            <v>0</v>
          </cell>
          <cell r="O21">
            <v>2.6426666666666664E-2</v>
          </cell>
          <cell r="P21">
            <v>6.4450000000000002E-3</v>
          </cell>
          <cell r="Q21">
            <v>3.2816666666666667E-3</v>
          </cell>
          <cell r="R21">
            <v>2.0423333333333335E-2</v>
          </cell>
          <cell r="S21">
            <v>0.12514166666666668</v>
          </cell>
          <cell r="T21">
            <v>0</v>
          </cell>
          <cell r="U21">
            <v>0</v>
          </cell>
          <cell r="V21">
            <v>0</v>
          </cell>
          <cell r="W21">
            <v>0.145565</v>
          </cell>
        </row>
        <row r="22">
          <cell r="D22" t="str">
            <v>82219-33140 D 0301</v>
          </cell>
          <cell r="E22" t="str">
            <v>8221933140</v>
          </cell>
          <cell r="F22" t="str">
            <v>8221933140</v>
          </cell>
          <cell r="G22">
            <v>17.399999999999999</v>
          </cell>
          <cell r="H22">
            <v>0</v>
          </cell>
          <cell r="I22">
            <v>1.1250000000000001E-2</v>
          </cell>
          <cell r="J22">
            <v>6.9504999999999997E-2</v>
          </cell>
          <cell r="K22">
            <v>7.4199999999999995E-3</v>
          </cell>
          <cell r="L22">
            <v>2.2421666666666666E-2</v>
          </cell>
          <cell r="M22">
            <v>0.10783999999999999</v>
          </cell>
          <cell r="N22">
            <v>0</v>
          </cell>
          <cell r="O22">
            <v>1.4713333333333333E-2</v>
          </cell>
          <cell r="P22">
            <v>8.331666666666666E-3</v>
          </cell>
          <cell r="Q22">
            <v>3.3566666666666667E-3</v>
          </cell>
          <cell r="R22">
            <v>8.8174999999999989E-2</v>
          </cell>
          <cell r="S22">
            <v>0.15666333333333332</v>
          </cell>
          <cell r="T22">
            <v>0</v>
          </cell>
          <cell r="U22">
            <v>0</v>
          </cell>
          <cell r="V22">
            <v>0</v>
          </cell>
          <cell r="W22">
            <v>0.24483833333333332</v>
          </cell>
        </row>
        <row r="23">
          <cell r="D23" t="str">
            <v>82219-33141 A 0101</v>
          </cell>
          <cell r="E23" t="str">
            <v>8221933141</v>
          </cell>
          <cell r="F23" t="str">
            <v>8221933141</v>
          </cell>
          <cell r="G23">
            <v>15.4</v>
          </cell>
          <cell r="H23">
            <v>0</v>
          </cell>
          <cell r="I23">
            <v>9.3883333333333336E-3</v>
          </cell>
          <cell r="J23">
            <v>5.7818333333333333E-2</v>
          </cell>
          <cell r="K23">
            <v>7.4199999999999995E-3</v>
          </cell>
          <cell r="L23">
            <v>2.0735E-2</v>
          </cell>
          <cell r="M23">
            <v>9.7586666666666669E-2</v>
          </cell>
          <cell r="N23">
            <v>0</v>
          </cell>
          <cell r="O23">
            <v>1.3890000000000001E-2</v>
          </cell>
          <cell r="P23">
            <v>7.7383333333333332E-3</v>
          </cell>
          <cell r="Q23">
            <v>3.0433333333333337E-3</v>
          </cell>
          <cell r="R23">
            <v>7.4626666666666661E-2</v>
          </cell>
          <cell r="S23">
            <v>0.14299333333333336</v>
          </cell>
          <cell r="T23">
            <v>0</v>
          </cell>
          <cell r="U23">
            <v>0</v>
          </cell>
          <cell r="V23">
            <v>0</v>
          </cell>
          <cell r="W23">
            <v>0.21762000000000004</v>
          </cell>
        </row>
        <row r="24">
          <cell r="D24" t="str">
            <v>82219-76020 A 1501</v>
          </cell>
          <cell r="E24" t="str">
            <v>8221976020</v>
          </cell>
          <cell r="F24" t="str">
            <v>8221976020</v>
          </cell>
          <cell r="G24">
            <v>10.9</v>
          </cell>
          <cell r="H24">
            <v>0</v>
          </cell>
          <cell r="I24">
            <v>6.4466666666666665E-3</v>
          </cell>
          <cell r="J24">
            <v>1.2386666666666666E-2</v>
          </cell>
          <cell r="K24">
            <v>0</v>
          </cell>
          <cell r="L24">
            <v>2.5611666666666665E-2</v>
          </cell>
          <cell r="M24">
            <v>5.355E-2</v>
          </cell>
          <cell r="N24">
            <v>0</v>
          </cell>
          <cell r="O24">
            <v>2.4164999999999999E-2</v>
          </cell>
          <cell r="P24">
            <v>5.5083333333333338E-3</v>
          </cell>
          <cell r="Q24">
            <v>3.038333333333333E-3</v>
          </cell>
          <cell r="R24">
            <v>1.8833333333333334E-2</v>
          </cell>
          <cell r="S24">
            <v>0.11187333333333332</v>
          </cell>
          <cell r="T24">
            <v>0</v>
          </cell>
          <cell r="U24">
            <v>0</v>
          </cell>
          <cell r="V24">
            <v>0</v>
          </cell>
          <cell r="W24">
            <v>0.13070666666666667</v>
          </cell>
        </row>
        <row r="25">
          <cell r="D25" t="str">
            <v>82111-1HX90 F 0401</v>
          </cell>
          <cell r="E25" t="str">
            <v>821111HX90</v>
          </cell>
          <cell r="F25" t="str">
            <v>821111HX90</v>
          </cell>
          <cell r="G25">
            <v>3235</v>
          </cell>
          <cell r="H25">
            <v>0</v>
          </cell>
          <cell r="I25">
            <v>0.19680833333333334</v>
          </cell>
          <cell r="J25">
            <v>0.21644666666666668</v>
          </cell>
          <cell r="K25">
            <v>0.13327666666666665</v>
          </cell>
          <cell r="L25">
            <v>0.53723500000000002</v>
          </cell>
          <cell r="M25">
            <v>1.4237649999999999</v>
          </cell>
          <cell r="N25">
            <v>6.263500000000001E-2</v>
          </cell>
          <cell r="O25">
            <v>0.15764500000000001</v>
          </cell>
          <cell r="P25">
            <v>0.13317333333333334</v>
          </cell>
          <cell r="Q25">
            <v>0.10353166666666666</v>
          </cell>
          <cell r="R25">
            <v>0.54653166666666664</v>
          </cell>
          <cell r="S25">
            <v>2.4179849999999998</v>
          </cell>
          <cell r="T25">
            <v>2.7728333333333334E-2</v>
          </cell>
          <cell r="U25">
            <v>4.2031666666666669E-2</v>
          </cell>
          <cell r="V25">
            <v>0</v>
          </cell>
          <cell r="W25">
            <v>3.0342766666666661</v>
          </cell>
        </row>
        <row r="26">
          <cell r="D26" t="str">
            <v>82111-1KQ50 G 0401</v>
          </cell>
          <cell r="E26" t="str">
            <v>821111KQ50</v>
          </cell>
          <cell r="F26" t="str">
            <v>821111KQ50</v>
          </cell>
          <cell r="G26">
            <v>3335.3</v>
          </cell>
          <cell r="H26">
            <v>0</v>
          </cell>
          <cell r="I26">
            <v>0.20127499999999998</v>
          </cell>
          <cell r="J26">
            <v>0.23291166666666668</v>
          </cell>
          <cell r="K26">
            <v>0.15797333333333335</v>
          </cell>
          <cell r="L26">
            <v>0.55007166666666663</v>
          </cell>
          <cell r="M26">
            <v>1.4287983333333334</v>
          </cell>
          <cell r="N26">
            <v>6.6711666666666669E-2</v>
          </cell>
          <cell r="O26">
            <v>0.16937166666666667</v>
          </cell>
          <cell r="P26">
            <v>0.13324333333333332</v>
          </cell>
          <cell r="Q26">
            <v>0.10249833333333334</v>
          </cell>
          <cell r="R26">
            <v>0.59216000000000002</v>
          </cell>
          <cell r="S26">
            <v>2.4506949999999996</v>
          </cell>
          <cell r="T26">
            <v>2.7728333333333334E-2</v>
          </cell>
          <cell r="U26">
            <v>4.2031666666666669E-2</v>
          </cell>
          <cell r="V26">
            <v>0</v>
          </cell>
          <cell r="W26">
            <v>3.112614999999999</v>
          </cell>
        </row>
        <row r="27">
          <cell r="D27" t="str">
            <v>82111-1KQ51 0101</v>
          </cell>
          <cell r="E27" t="str">
            <v>821111KQ51</v>
          </cell>
          <cell r="F27" t="str">
            <v>821111KQ51</v>
          </cell>
          <cell r="G27">
            <v>0</v>
          </cell>
          <cell r="H27">
            <v>0</v>
          </cell>
          <cell r="I27">
            <v>0.19970333333333334</v>
          </cell>
          <cell r="J27">
            <v>0.23042166666666666</v>
          </cell>
          <cell r="K27">
            <v>0.15797333333333335</v>
          </cell>
          <cell r="L27">
            <v>0.54739499999999996</v>
          </cell>
          <cell r="M27">
            <v>1.4241250000000001</v>
          </cell>
          <cell r="N27">
            <v>6.6711666666666669E-2</v>
          </cell>
          <cell r="O27">
            <v>0.16921166666666665</v>
          </cell>
          <cell r="P27">
            <v>0.13324333333333332</v>
          </cell>
          <cell r="Q27">
            <v>7.8536666666666685E-2</v>
          </cell>
          <cell r="R27">
            <v>0.58809833333333339</v>
          </cell>
          <cell r="S27">
            <v>2.4192233333333326</v>
          </cell>
          <cell r="T27">
            <v>2.7728333333333334E-2</v>
          </cell>
          <cell r="U27">
            <v>4.2031666666666669E-2</v>
          </cell>
          <cell r="V27">
            <v>0</v>
          </cell>
          <cell r="W27">
            <v>3.0770816666666656</v>
          </cell>
        </row>
        <row r="28">
          <cell r="D28" t="str">
            <v>82111-1LA60 B 0301</v>
          </cell>
          <cell r="E28" t="str">
            <v>821111LA60</v>
          </cell>
          <cell r="F28" t="str">
            <v>821111LA60</v>
          </cell>
          <cell r="G28">
            <v>3065.3</v>
          </cell>
          <cell r="H28">
            <v>0</v>
          </cell>
          <cell r="I28">
            <v>0.17926999999999998</v>
          </cell>
          <cell r="J28">
            <v>0.20800833333333332</v>
          </cell>
          <cell r="K28">
            <v>0.13019166666666665</v>
          </cell>
          <cell r="L28">
            <v>0.51387666666666665</v>
          </cell>
          <cell r="M28">
            <v>1.2987</v>
          </cell>
          <cell r="N28">
            <v>5.9043333333333337E-2</v>
          </cell>
          <cell r="O28">
            <v>0.14690666666666666</v>
          </cell>
          <cell r="P28">
            <v>0.12673499999999999</v>
          </cell>
          <cell r="Q28">
            <v>0.10260999999999998</v>
          </cell>
          <cell r="R28">
            <v>0.51746999999999987</v>
          </cell>
          <cell r="S28">
            <v>2.2478716666666667</v>
          </cell>
          <cell r="T28">
            <v>2.7728333333333334E-2</v>
          </cell>
          <cell r="U28">
            <v>4.2031666666666669E-2</v>
          </cell>
          <cell r="V28">
            <v>0</v>
          </cell>
          <cell r="W28">
            <v>2.8351016666666662</v>
          </cell>
        </row>
        <row r="29">
          <cell r="D29" t="str">
            <v>82111-1LA70 B 0301</v>
          </cell>
          <cell r="E29" t="str">
            <v>821111LA70</v>
          </cell>
          <cell r="F29" t="str">
            <v>821111LA70</v>
          </cell>
          <cell r="G29">
            <v>3179.6</v>
          </cell>
          <cell r="H29">
            <v>0</v>
          </cell>
          <cell r="I29">
            <v>0.18973166666666669</v>
          </cell>
          <cell r="J29">
            <v>0.20800833333333332</v>
          </cell>
          <cell r="K29">
            <v>0.13327666666666665</v>
          </cell>
          <cell r="L29">
            <v>0.5330366666666666</v>
          </cell>
          <cell r="M29">
            <v>1.3681516666666667</v>
          </cell>
          <cell r="N29">
            <v>5.9353333333333334E-2</v>
          </cell>
          <cell r="O29">
            <v>0.15358333333333332</v>
          </cell>
          <cell r="P29">
            <v>0.13613833333333333</v>
          </cell>
          <cell r="Q29">
            <v>0.10380666666666669</v>
          </cell>
          <cell r="R29">
            <v>0.53101666666666669</v>
          </cell>
          <cell r="S29">
            <v>2.3540700000000001</v>
          </cell>
          <cell r="T29">
            <v>2.7728333333333334E-2</v>
          </cell>
          <cell r="U29">
            <v>4.2031666666666669E-2</v>
          </cell>
          <cell r="V29">
            <v>0</v>
          </cell>
          <cell r="W29">
            <v>2.9548466666666666</v>
          </cell>
        </row>
        <row r="30">
          <cell r="D30" t="str">
            <v>82111-1LA71 0001</v>
          </cell>
          <cell r="E30" t="str">
            <v>821111LA71</v>
          </cell>
          <cell r="F30" t="str">
            <v>821111LA71</v>
          </cell>
          <cell r="G30">
            <v>3130.6</v>
          </cell>
          <cell r="H30">
            <v>0</v>
          </cell>
          <cell r="I30">
            <v>0.18827666666666668</v>
          </cell>
          <cell r="J30">
            <v>0.19684500000000002</v>
          </cell>
          <cell r="K30">
            <v>0.13327666666666665</v>
          </cell>
          <cell r="L30">
            <v>0.53033166666666665</v>
          </cell>
          <cell r="M30">
            <v>1.3646799999999999</v>
          </cell>
          <cell r="N30">
            <v>5.9353333333333334E-2</v>
          </cell>
          <cell r="O30">
            <v>0.15250666666666665</v>
          </cell>
          <cell r="P30">
            <v>0.13600333333333334</v>
          </cell>
          <cell r="Q30">
            <v>3.6761666666666665E-2</v>
          </cell>
          <cell r="R30">
            <v>0.51839833333333329</v>
          </cell>
          <cell r="S30">
            <v>2.2796366666666668</v>
          </cell>
          <cell r="T30">
            <v>2.7728333333333334E-2</v>
          </cell>
          <cell r="U30">
            <v>4.2031666666666669E-2</v>
          </cell>
          <cell r="V30">
            <v>0</v>
          </cell>
          <cell r="W30">
            <v>2.8677949999999996</v>
          </cell>
        </row>
        <row r="31">
          <cell r="D31" t="str">
            <v>82111-1LA80 B 0301</v>
          </cell>
          <cell r="E31" t="str">
            <v>821111LA80</v>
          </cell>
          <cell r="F31" t="str">
            <v>821111LA80</v>
          </cell>
          <cell r="G31">
            <v>3093.6</v>
          </cell>
          <cell r="H31">
            <v>0</v>
          </cell>
          <cell r="I31">
            <v>0.18049666666666667</v>
          </cell>
          <cell r="J31">
            <v>0.20390499999999998</v>
          </cell>
          <cell r="K31">
            <v>0.13327666666666665</v>
          </cell>
          <cell r="L31">
            <v>0.50627</v>
          </cell>
          <cell r="M31">
            <v>1.33239</v>
          </cell>
          <cell r="N31">
            <v>5.9248333333333333E-2</v>
          </cell>
          <cell r="O31">
            <v>0.15032166666666666</v>
          </cell>
          <cell r="P31">
            <v>0.13566666666666669</v>
          </cell>
          <cell r="Q31">
            <v>0.10357833333333336</v>
          </cell>
          <cell r="R31">
            <v>0.51767833333333324</v>
          </cell>
          <cell r="S31">
            <v>2.2874750000000001</v>
          </cell>
          <cell r="T31">
            <v>2.7728333333333334E-2</v>
          </cell>
          <cell r="U31">
            <v>4.2031666666666669E-2</v>
          </cell>
          <cell r="V31">
            <v>0</v>
          </cell>
          <cell r="W31">
            <v>2.8749133333333328</v>
          </cell>
        </row>
        <row r="32">
          <cell r="D32" t="str">
            <v>82111-1LA90 B 0301</v>
          </cell>
          <cell r="E32" t="str">
            <v>821111LA90</v>
          </cell>
          <cell r="F32" t="str">
            <v>821111LA90</v>
          </cell>
          <cell r="G32">
            <v>3211.2</v>
          </cell>
          <cell r="H32">
            <v>0</v>
          </cell>
          <cell r="I32">
            <v>0.18843500000000002</v>
          </cell>
          <cell r="J32">
            <v>0.20390499999999998</v>
          </cell>
          <cell r="K32">
            <v>0.14424000000000001</v>
          </cell>
          <cell r="L32">
            <v>0.52236000000000005</v>
          </cell>
          <cell r="M32">
            <v>1.3852666666666666</v>
          </cell>
          <cell r="N32">
            <v>5.9408333333333327E-2</v>
          </cell>
          <cell r="O32">
            <v>0.16344666666666668</v>
          </cell>
          <cell r="P32">
            <v>0.13684833333333335</v>
          </cell>
          <cell r="Q32">
            <v>0.10409666666666667</v>
          </cell>
          <cell r="R32">
            <v>0.53658000000000006</v>
          </cell>
          <cell r="S32">
            <v>2.3714266666666668</v>
          </cell>
          <cell r="T32">
            <v>2.7728333333333334E-2</v>
          </cell>
          <cell r="U32">
            <v>4.2031666666666669E-2</v>
          </cell>
          <cell r="V32">
            <v>0</v>
          </cell>
          <cell r="W32">
            <v>2.9777666666666667</v>
          </cell>
        </row>
        <row r="33">
          <cell r="D33" t="str">
            <v>82111-1LB00 B 0301</v>
          </cell>
          <cell r="E33" t="str">
            <v>821111LB00</v>
          </cell>
          <cell r="F33" t="str">
            <v>821111LB00</v>
          </cell>
          <cell r="G33">
            <v>3193.6</v>
          </cell>
          <cell r="H33">
            <v>0</v>
          </cell>
          <cell r="I33">
            <v>0.18617333333333336</v>
          </cell>
          <cell r="J33">
            <v>0.21649499999999999</v>
          </cell>
          <cell r="K33">
            <v>0.13430499999999998</v>
          </cell>
          <cell r="L33">
            <v>0.51860166666666663</v>
          </cell>
          <cell r="M33">
            <v>1.3563933333333333</v>
          </cell>
          <cell r="N33">
            <v>6.3875000000000001E-2</v>
          </cell>
          <cell r="O33">
            <v>0.15245</v>
          </cell>
          <cell r="P33">
            <v>0.14025166666666669</v>
          </cell>
          <cell r="Q33">
            <v>9.7015000000000004E-2</v>
          </cell>
          <cell r="R33">
            <v>0.5369733333333333</v>
          </cell>
          <cell r="S33">
            <v>2.3285866666666668</v>
          </cell>
          <cell r="T33">
            <v>2.7728333333333334E-2</v>
          </cell>
          <cell r="U33">
            <v>4.2031666666666669E-2</v>
          </cell>
          <cell r="V33">
            <v>0</v>
          </cell>
          <cell r="W33">
            <v>2.9353199999999999</v>
          </cell>
        </row>
        <row r="34">
          <cell r="D34" t="str">
            <v>82111-1LB10 B 0301</v>
          </cell>
          <cell r="E34" t="str">
            <v>821111LB10</v>
          </cell>
          <cell r="F34" t="str">
            <v>821111LB10</v>
          </cell>
          <cell r="G34">
            <v>3326.9</v>
          </cell>
          <cell r="H34">
            <v>0</v>
          </cell>
          <cell r="I34">
            <v>0.19656500000000002</v>
          </cell>
          <cell r="J34">
            <v>0.21649499999999999</v>
          </cell>
          <cell r="K34">
            <v>0.15828833333333331</v>
          </cell>
          <cell r="L34">
            <v>0.53860666666666668</v>
          </cell>
          <cell r="M34">
            <v>1.4514316666666667</v>
          </cell>
          <cell r="N34">
            <v>6.4395000000000008E-2</v>
          </cell>
          <cell r="O34">
            <v>0.16995333333333335</v>
          </cell>
          <cell r="P34">
            <v>0.14867833333333333</v>
          </cell>
          <cell r="Q34">
            <v>9.9006666666666673E-2</v>
          </cell>
          <cell r="R34">
            <v>0.57134833333333335</v>
          </cell>
          <cell r="S34">
            <v>2.4720716666666664</v>
          </cell>
          <cell r="T34">
            <v>2.7728333333333334E-2</v>
          </cell>
          <cell r="U34">
            <v>4.2031666666666669E-2</v>
          </cell>
          <cell r="V34">
            <v>0</v>
          </cell>
          <cell r="W34">
            <v>3.1131799999999994</v>
          </cell>
        </row>
        <row r="35">
          <cell r="D35" t="str">
            <v>82111-1LB20 B 0301</v>
          </cell>
          <cell r="E35" t="str">
            <v>821111LB20</v>
          </cell>
          <cell r="F35" t="str">
            <v>821111LB20</v>
          </cell>
          <cell r="G35">
            <v>3115.3</v>
          </cell>
          <cell r="H35">
            <v>0</v>
          </cell>
          <cell r="I35">
            <v>0.18560833333333332</v>
          </cell>
          <cell r="J35">
            <v>0.20800833333333332</v>
          </cell>
          <cell r="K35">
            <v>0.13327666666666665</v>
          </cell>
          <cell r="L35">
            <v>0.5230433333333333</v>
          </cell>
          <cell r="M35">
            <v>1.3601766666666668</v>
          </cell>
          <cell r="N35">
            <v>5.9353333333333334E-2</v>
          </cell>
          <cell r="O35">
            <v>0.15218666666666666</v>
          </cell>
          <cell r="P35">
            <v>0.13600333333333334</v>
          </cell>
          <cell r="Q35">
            <v>0.10380666666666669</v>
          </cell>
          <cell r="R35">
            <v>0.52689333333333321</v>
          </cell>
          <cell r="S35">
            <v>2.3345700000000003</v>
          </cell>
          <cell r="T35">
            <v>2.7728333333333334E-2</v>
          </cell>
          <cell r="U35">
            <v>4.2031666666666669E-2</v>
          </cell>
          <cell r="V35">
            <v>0</v>
          </cell>
          <cell r="W35">
            <v>2.9312233333333331</v>
          </cell>
        </row>
        <row r="36">
          <cell r="D36" t="str">
            <v>82111-1LB21 0001</v>
          </cell>
          <cell r="E36" t="str">
            <v>821111LB21</v>
          </cell>
          <cell r="F36" t="str">
            <v>821111LB21</v>
          </cell>
          <cell r="G36">
            <v>3107.5</v>
          </cell>
          <cell r="H36">
            <v>0</v>
          </cell>
          <cell r="I36">
            <v>0.18487166666666666</v>
          </cell>
          <cell r="J36">
            <v>0.19684500000000002</v>
          </cell>
          <cell r="K36">
            <v>0.13327666666666665</v>
          </cell>
          <cell r="L36">
            <v>0.52125500000000002</v>
          </cell>
          <cell r="M36">
            <v>1.3583449999999999</v>
          </cell>
          <cell r="N36">
            <v>5.9353333333333334E-2</v>
          </cell>
          <cell r="O36">
            <v>0.15210666666666667</v>
          </cell>
          <cell r="P36">
            <v>0.13600333333333334</v>
          </cell>
          <cell r="Q36">
            <v>3.6761666666666665E-2</v>
          </cell>
          <cell r="R36">
            <v>0.51499333333333341</v>
          </cell>
          <cell r="S36">
            <v>2.2638250000000002</v>
          </cell>
          <cell r="T36">
            <v>2.7728333333333334E-2</v>
          </cell>
          <cell r="U36">
            <v>4.2031666666666669E-2</v>
          </cell>
          <cell r="V36">
            <v>0</v>
          </cell>
          <cell r="W36">
            <v>2.8485783333333332</v>
          </cell>
        </row>
        <row r="37">
          <cell r="D37" t="str">
            <v>82111-4D590 0002</v>
          </cell>
          <cell r="E37" t="str">
            <v>821114D590</v>
          </cell>
          <cell r="F37" t="str">
            <v>821114D590</v>
          </cell>
          <cell r="G37">
            <v>4078.2</v>
          </cell>
          <cell r="H37">
            <v>454.98269999999997</v>
          </cell>
          <cell r="I37">
            <v>0.34060000000000001</v>
          </cell>
          <cell r="J37">
            <v>0.69531333333333334</v>
          </cell>
          <cell r="K37">
            <v>0.11555333333333334</v>
          </cell>
          <cell r="L37">
            <v>0.90875833333333333</v>
          </cell>
          <cell r="M37">
            <v>2.2696566666666667</v>
          </cell>
          <cell r="N37">
            <v>6.350666666666667E-2</v>
          </cell>
          <cell r="O37">
            <v>0.25989333333333337</v>
          </cell>
          <cell r="P37">
            <v>0.22461833333333334</v>
          </cell>
          <cell r="Q37">
            <v>6.8981666666666663E-2</v>
          </cell>
          <cell r="R37">
            <v>1.1514666666666666</v>
          </cell>
          <cell r="S37">
            <v>3.7954150000000002</v>
          </cell>
          <cell r="T37">
            <v>0</v>
          </cell>
          <cell r="U37">
            <v>2.924333333333333E-2</v>
          </cell>
          <cell r="V37">
            <v>0.21875833333333339</v>
          </cell>
          <cell r="W37">
            <v>5.1948833333333342</v>
          </cell>
        </row>
        <row r="38">
          <cell r="D38" t="str">
            <v>82111-4DG90 A 1001</v>
          </cell>
          <cell r="E38" t="str">
            <v>821114DG90</v>
          </cell>
          <cell r="F38" t="str">
            <v>821114DG90</v>
          </cell>
          <cell r="G38">
            <v>4759.3999999999996</v>
          </cell>
          <cell r="H38">
            <v>466.78949999999998</v>
          </cell>
          <cell r="I38">
            <v>0.39577000000000001</v>
          </cell>
          <cell r="J38">
            <v>0.85049833333333325</v>
          </cell>
          <cell r="K38">
            <v>0.13592499999999999</v>
          </cell>
          <cell r="L38">
            <v>1.0220400000000001</v>
          </cell>
          <cell r="M38">
            <v>2.605985</v>
          </cell>
          <cell r="N38">
            <v>7.2136666666666668E-2</v>
          </cell>
          <cell r="O38">
            <v>0.28204000000000001</v>
          </cell>
          <cell r="P38">
            <v>0.25622166666666668</v>
          </cell>
          <cell r="Q38">
            <v>7.7660000000000007E-2</v>
          </cell>
          <cell r="R38">
            <v>1.3821933333333334</v>
          </cell>
          <cell r="S38">
            <v>4.3160833333333333</v>
          </cell>
          <cell r="T38">
            <v>0</v>
          </cell>
          <cell r="U38">
            <v>3.2140000000000002E-2</v>
          </cell>
          <cell r="V38">
            <v>0.27067333333333338</v>
          </cell>
          <cell r="W38">
            <v>6.0010900000000005</v>
          </cell>
        </row>
        <row r="39">
          <cell r="D39" t="str">
            <v>82111-4DJ00 A 1001</v>
          </cell>
          <cell r="E39" t="str">
            <v>821114DJ00</v>
          </cell>
          <cell r="F39" t="str">
            <v>821114DJ00</v>
          </cell>
          <cell r="G39">
            <v>4736.3</v>
          </cell>
          <cell r="H39">
            <v>466.78949999999998</v>
          </cell>
          <cell r="I39">
            <v>0.39382333333333336</v>
          </cell>
          <cell r="J39">
            <v>0.84140000000000004</v>
          </cell>
          <cell r="K39">
            <v>0.13592499999999999</v>
          </cell>
          <cell r="L39">
            <v>1.0203533333333334</v>
          </cell>
          <cell r="M39">
            <v>2.6035383333333333</v>
          </cell>
          <cell r="N39">
            <v>7.2136666666666668E-2</v>
          </cell>
          <cell r="O39">
            <v>0.28195999999999999</v>
          </cell>
          <cell r="P39">
            <v>0.25622166666666668</v>
          </cell>
          <cell r="Q39">
            <v>7.7660000000000007E-2</v>
          </cell>
          <cell r="R39">
            <v>1.3711483333333334</v>
          </cell>
          <cell r="S39">
            <v>4.3118699999999999</v>
          </cell>
          <cell r="T39">
            <v>0</v>
          </cell>
          <cell r="U39">
            <v>3.2140000000000002E-2</v>
          </cell>
          <cell r="V39">
            <v>0.27067333333333338</v>
          </cell>
          <cell r="W39">
            <v>5.9858316666666669</v>
          </cell>
        </row>
        <row r="40">
          <cell r="D40" t="str">
            <v>82111-4DL51 A 0001</v>
          </cell>
          <cell r="E40" t="str">
            <v>821114DL51</v>
          </cell>
          <cell r="F40" t="str">
            <v>821114DL51</v>
          </cell>
          <cell r="G40">
            <v>4203.1000000000004</v>
          </cell>
          <cell r="H40">
            <v>494.39789999999999</v>
          </cell>
          <cell r="I40">
            <v>0.31578833333333328</v>
          </cell>
          <cell r="J40">
            <v>0.45615999999999995</v>
          </cell>
          <cell r="K40">
            <v>5.6244999999999996E-2</v>
          </cell>
          <cell r="L40">
            <v>0.8243950000000001</v>
          </cell>
          <cell r="M40">
            <v>2.240463333333333</v>
          </cell>
          <cell r="N40">
            <v>6.4056666666666665E-2</v>
          </cell>
          <cell r="O40">
            <v>0.24773999999999999</v>
          </cell>
          <cell r="P40">
            <v>0.23324333333333333</v>
          </cell>
          <cell r="Q40">
            <v>6.9651666666666667E-2</v>
          </cell>
          <cell r="R40">
            <v>0.82819333333333323</v>
          </cell>
          <cell r="S40">
            <v>3.6795499999999994</v>
          </cell>
          <cell r="T40">
            <v>0</v>
          </cell>
          <cell r="U40">
            <v>4.1333333333333333E-2</v>
          </cell>
          <cell r="V40">
            <v>0.22701499999999999</v>
          </cell>
          <cell r="W40">
            <v>4.776091666666666</v>
          </cell>
        </row>
        <row r="41">
          <cell r="D41" t="str">
            <v>82111-4DL61 A 0001</v>
          </cell>
          <cell r="E41" t="str">
            <v>821114DL61</v>
          </cell>
          <cell r="F41" t="str">
            <v>821114DL61</v>
          </cell>
          <cell r="G41">
            <v>4030</v>
          </cell>
          <cell r="H41">
            <v>481.41480000000001</v>
          </cell>
          <cell r="I41">
            <v>0.30229833333333328</v>
          </cell>
          <cell r="J41">
            <v>0.42893333333333333</v>
          </cell>
          <cell r="K41">
            <v>5.4906666666666666E-2</v>
          </cell>
          <cell r="L41">
            <v>0.77757166666666666</v>
          </cell>
          <cell r="M41">
            <v>2.168425</v>
          </cell>
          <cell r="N41">
            <v>6.1606666666666671E-2</v>
          </cell>
          <cell r="O41">
            <v>0.24132833333333331</v>
          </cell>
          <cell r="P41">
            <v>0.22407833333333332</v>
          </cell>
          <cell r="Q41">
            <v>6.8356666666666677E-2</v>
          </cell>
          <cell r="R41">
            <v>0.78613833333333327</v>
          </cell>
          <cell r="S41">
            <v>3.5413666666666668</v>
          </cell>
          <cell r="T41">
            <v>0</v>
          </cell>
          <cell r="U41">
            <v>4.1333333333333333E-2</v>
          </cell>
          <cell r="V41">
            <v>0.21750333333333335</v>
          </cell>
          <cell r="W41">
            <v>4.5863416666666668</v>
          </cell>
        </row>
        <row r="42">
          <cell r="D42" t="str">
            <v>82111-4DL71 A 0001</v>
          </cell>
          <cell r="E42" t="str">
            <v>821114DL71</v>
          </cell>
          <cell r="F42" t="str">
            <v>821114DL71</v>
          </cell>
          <cell r="G42">
            <v>3659.8</v>
          </cell>
          <cell r="H42">
            <v>447.9203</v>
          </cell>
          <cell r="I42">
            <v>0.27158500000000002</v>
          </cell>
          <cell r="J42">
            <v>0.3759116666666667</v>
          </cell>
          <cell r="K42">
            <v>5.011666666666667E-2</v>
          </cell>
          <cell r="L42">
            <v>0.68335666666666661</v>
          </cell>
          <cell r="M42">
            <v>2.1324383333333334</v>
          </cell>
          <cell r="N42">
            <v>6.0526666666666666E-2</v>
          </cell>
          <cell r="O42">
            <v>0.23661166666666666</v>
          </cell>
          <cell r="P42">
            <v>0.22276499999999999</v>
          </cell>
          <cell r="Q42">
            <v>6.8341666666666662E-2</v>
          </cell>
          <cell r="R42">
            <v>0.69761333333333342</v>
          </cell>
          <cell r="S42">
            <v>3.4040399999999997</v>
          </cell>
          <cell r="T42">
            <v>0</v>
          </cell>
          <cell r="U42">
            <v>4.1333333333333333E-2</v>
          </cell>
          <cell r="V42">
            <v>0.21750333333333335</v>
          </cell>
          <cell r="W42">
            <v>4.3604899999999995</v>
          </cell>
        </row>
        <row r="43">
          <cell r="D43" t="str">
            <v>82111-4DL81 A 1001</v>
          </cell>
          <cell r="E43" t="str">
            <v>821114DL81</v>
          </cell>
          <cell r="F43" t="str">
            <v>821114DL81</v>
          </cell>
          <cell r="G43">
            <v>4346.8999999999996</v>
          </cell>
          <cell r="H43">
            <v>450.92610000000002</v>
          </cell>
          <cell r="I43">
            <v>0.36398499999999995</v>
          </cell>
          <cell r="J43">
            <v>0.73327333333333333</v>
          </cell>
          <cell r="K43">
            <v>0.11689166666666666</v>
          </cell>
          <cell r="L43">
            <v>0.96961166666666665</v>
          </cell>
          <cell r="M43">
            <v>2.4046516666666666</v>
          </cell>
          <cell r="N43">
            <v>6.6446666666666668E-2</v>
          </cell>
          <cell r="O43">
            <v>0.2715616666666667</v>
          </cell>
          <cell r="P43">
            <v>0.24628666666666668</v>
          </cell>
          <cell r="Q43">
            <v>7.2291666666666671E-2</v>
          </cell>
          <cell r="R43">
            <v>1.2141499999999998</v>
          </cell>
          <cell r="S43">
            <v>4.0308500000000009</v>
          </cell>
          <cell r="T43">
            <v>0</v>
          </cell>
          <cell r="U43">
            <v>2.924333333333333E-2</v>
          </cell>
          <cell r="V43">
            <v>0.22827000000000006</v>
          </cell>
          <cell r="W43">
            <v>5.5025133333333347</v>
          </cell>
        </row>
        <row r="44">
          <cell r="D44" t="str">
            <v>82111-4DL91 A 1001</v>
          </cell>
          <cell r="E44" t="str">
            <v>821114DL91</v>
          </cell>
          <cell r="F44" t="str">
            <v>821114DL91</v>
          </cell>
          <cell r="G44">
            <v>4229.2</v>
          </cell>
          <cell r="H44">
            <v>447.93720000000002</v>
          </cell>
          <cell r="I44">
            <v>0.36068</v>
          </cell>
          <cell r="J44">
            <v>0.74245833333333333</v>
          </cell>
          <cell r="K44">
            <v>0.11555333333333334</v>
          </cell>
          <cell r="L44">
            <v>0.96004166666666668</v>
          </cell>
          <cell r="M44">
            <v>2.3524766666666665</v>
          </cell>
          <cell r="N44">
            <v>6.6061666666666657E-2</v>
          </cell>
          <cell r="O44">
            <v>0.26785166666666671</v>
          </cell>
          <cell r="P44">
            <v>0.24351166666666665</v>
          </cell>
          <cell r="Q44">
            <v>7.0676666666666665E-2</v>
          </cell>
          <cell r="R44">
            <v>1.2186916666666667</v>
          </cell>
          <cell r="S44">
            <v>3.9606199999999996</v>
          </cell>
          <cell r="T44">
            <v>0</v>
          </cell>
          <cell r="U44">
            <v>2.924333333333333E-2</v>
          </cell>
          <cell r="V44">
            <v>0.21875833333333339</v>
          </cell>
          <cell r="W44">
            <v>5.4273133333333332</v>
          </cell>
        </row>
        <row r="45">
          <cell r="D45" t="str">
            <v>82111-4DM01 A 1001</v>
          </cell>
          <cell r="E45" t="str">
            <v>821114DM01</v>
          </cell>
          <cell r="F45" t="str">
            <v>821114DM01</v>
          </cell>
          <cell r="G45">
            <v>4206</v>
          </cell>
          <cell r="H45">
            <v>453.17449999999997</v>
          </cell>
          <cell r="I45">
            <v>0.36085166666666668</v>
          </cell>
          <cell r="J45">
            <v>0.73336000000000001</v>
          </cell>
          <cell r="K45">
            <v>0.11555333333333334</v>
          </cell>
          <cell r="L45">
            <v>0.96110499999999999</v>
          </cell>
          <cell r="M45">
            <v>2.3815499999999998</v>
          </cell>
          <cell r="N45">
            <v>6.6281666666666669E-2</v>
          </cell>
          <cell r="O45">
            <v>0.2692383333333333</v>
          </cell>
          <cell r="P45">
            <v>0.24529666666666666</v>
          </cell>
          <cell r="Q45">
            <v>7.1733333333333343E-2</v>
          </cell>
          <cell r="R45">
            <v>1.2097650000000002</v>
          </cell>
          <cell r="S45">
            <v>3.9952049999999999</v>
          </cell>
          <cell r="T45">
            <v>0</v>
          </cell>
          <cell r="U45">
            <v>2.924333333333333E-2</v>
          </cell>
          <cell r="V45">
            <v>0.21875833333333339</v>
          </cell>
          <cell r="W45">
            <v>5.4529716666666674</v>
          </cell>
        </row>
        <row r="46">
          <cell r="D46" t="str">
            <v>82111-4DM11 A 1001</v>
          </cell>
          <cell r="E46" t="str">
            <v>821114DM11</v>
          </cell>
          <cell r="F46" t="str">
            <v>821114DM11</v>
          </cell>
          <cell r="G46">
            <v>4235.2</v>
          </cell>
          <cell r="H46">
            <v>469.91750000000002</v>
          </cell>
          <cell r="I46">
            <v>0.36391166666666669</v>
          </cell>
          <cell r="J46">
            <v>0.75313000000000008</v>
          </cell>
          <cell r="K46">
            <v>0.11555333333333334</v>
          </cell>
          <cell r="L46">
            <v>0.96909333333333336</v>
          </cell>
          <cell r="M46">
            <v>2.3647916666666666</v>
          </cell>
          <cell r="N46">
            <v>6.6076666666666659E-2</v>
          </cell>
          <cell r="O46">
            <v>0.26877499999999999</v>
          </cell>
          <cell r="P46">
            <v>0.24030833333333332</v>
          </cell>
          <cell r="Q46">
            <v>7.0764999999999995E-2</v>
          </cell>
          <cell r="R46">
            <v>1.2325950000000001</v>
          </cell>
          <cell r="S46">
            <v>3.9798100000000001</v>
          </cell>
          <cell r="T46">
            <v>0</v>
          </cell>
          <cell r="U46">
            <v>2.924333333333333E-2</v>
          </cell>
          <cell r="V46">
            <v>0.21875833333333339</v>
          </cell>
          <cell r="W46">
            <v>5.4604066666666675</v>
          </cell>
        </row>
        <row r="47">
          <cell r="D47" t="str">
            <v>82111-4DM21 A 1001</v>
          </cell>
          <cell r="E47" t="str">
            <v>821114DM21</v>
          </cell>
          <cell r="F47" t="str">
            <v>821114DM21</v>
          </cell>
          <cell r="G47">
            <v>4167.3</v>
          </cell>
          <cell r="H47">
            <v>469.91750000000002</v>
          </cell>
          <cell r="I47">
            <v>0.35436000000000001</v>
          </cell>
          <cell r="J47">
            <v>0.72258</v>
          </cell>
          <cell r="K47">
            <v>0.11555333333333334</v>
          </cell>
          <cell r="L47">
            <v>0.95387666666666659</v>
          </cell>
          <cell r="M47">
            <v>2.3510849999999999</v>
          </cell>
          <cell r="N47">
            <v>6.6076666666666659E-2</v>
          </cell>
          <cell r="O47">
            <v>0.26821499999999998</v>
          </cell>
          <cell r="P47">
            <v>0.24030833333333332</v>
          </cell>
          <cell r="Q47">
            <v>7.0764999999999995E-2</v>
          </cell>
          <cell r="R47">
            <v>1.1924933333333334</v>
          </cell>
          <cell r="S47">
            <v>3.9503266666666663</v>
          </cell>
          <cell r="T47">
            <v>0</v>
          </cell>
          <cell r="U47">
            <v>2.924333333333333E-2</v>
          </cell>
          <cell r="V47">
            <v>0.21875833333333339</v>
          </cell>
          <cell r="W47">
            <v>5.3908216666666666</v>
          </cell>
        </row>
        <row r="48">
          <cell r="D48" t="str">
            <v>82111-4DM31 A 1001</v>
          </cell>
          <cell r="E48" t="str">
            <v>821114DM31</v>
          </cell>
          <cell r="F48" t="str">
            <v>821114DM31</v>
          </cell>
          <cell r="G48">
            <v>5160</v>
          </cell>
          <cell r="H48">
            <v>493.99079999999998</v>
          </cell>
          <cell r="I48">
            <v>0.43049666666666664</v>
          </cell>
          <cell r="J48">
            <v>0.87458166666666659</v>
          </cell>
          <cell r="K48">
            <v>0.13592499999999999</v>
          </cell>
          <cell r="L48">
            <v>1.1207283333333333</v>
          </cell>
          <cell r="M48">
            <v>2.7299300000000004</v>
          </cell>
          <cell r="N48">
            <v>7.3471666666666657E-2</v>
          </cell>
          <cell r="O48">
            <v>0.28783999999999998</v>
          </cell>
          <cell r="P48">
            <v>0.26778000000000002</v>
          </cell>
          <cell r="Q48">
            <v>7.872333333333334E-2</v>
          </cell>
          <cell r="R48">
            <v>1.4410033333333334</v>
          </cell>
          <cell r="S48">
            <v>4.5584733333333336</v>
          </cell>
          <cell r="T48">
            <v>0</v>
          </cell>
          <cell r="U48">
            <v>3.2140000000000002E-2</v>
          </cell>
          <cell r="V48">
            <v>0.27067333333333338</v>
          </cell>
          <cell r="W48">
            <v>6.3022900000000011</v>
          </cell>
        </row>
        <row r="49">
          <cell r="D49" t="str">
            <v>82111-4DM41 A 1001</v>
          </cell>
          <cell r="E49" t="str">
            <v>821114DM41</v>
          </cell>
          <cell r="F49" t="str">
            <v>821114DM41</v>
          </cell>
          <cell r="G49">
            <v>5136.8999999999996</v>
          </cell>
          <cell r="H49">
            <v>499.22679999999997</v>
          </cell>
          <cell r="I49">
            <v>0.43066833333333332</v>
          </cell>
          <cell r="J49">
            <v>0.86548333333333338</v>
          </cell>
          <cell r="K49">
            <v>0.13592499999999999</v>
          </cell>
          <cell r="L49">
            <v>1.1217916666666667</v>
          </cell>
          <cell r="M49">
            <v>2.7590033333333333</v>
          </cell>
          <cell r="N49">
            <v>7.3691666666666669E-2</v>
          </cell>
          <cell r="O49">
            <v>0.28922666666666669</v>
          </cell>
          <cell r="P49">
            <v>0.269565</v>
          </cell>
          <cell r="Q49">
            <v>7.977999999999999E-2</v>
          </cell>
          <cell r="R49">
            <v>1.4320766666666669</v>
          </cell>
          <cell r="S49">
            <v>4.5930583333333335</v>
          </cell>
          <cell r="T49">
            <v>0</v>
          </cell>
          <cell r="U49">
            <v>3.2140000000000002E-2</v>
          </cell>
          <cell r="V49">
            <v>0.27067333333333338</v>
          </cell>
          <cell r="W49">
            <v>6.3279483333333344</v>
          </cell>
        </row>
        <row r="50">
          <cell r="D50" t="str">
            <v>82111-4DM51 A 0001</v>
          </cell>
          <cell r="E50" t="str">
            <v>821114DM51</v>
          </cell>
          <cell r="F50" t="str">
            <v>821114DM51</v>
          </cell>
          <cell r="G50">
            <v>4400.3999999999996</v>
          </cell>
          <cell r="H50">
            <v>508.71080000000001</v>
          </cell>
          <cell r="I50">
            <v>0.37331666666666669</v>
          </cell>
          <cell r="J50">
            <v>0.73147499999999999</v>
          </cell>
          <cell r="K50">
            <v>7.1716666666666665E-2</v>
          </cell>
          <cell r="L50">
            <v>0.97720166666666664</v>
          </cell>
          <cell r="M50">
            <v>2.3325633333333333</v>
          </cell>
          <cell r="N50">
            <v>6.9836666666666672E-2</v>
          </cell>
          <cell r="O50">
            <v>0.28020499999999998</v>
          </cell>
          <cell r="P50">
            <v>0.24370333333333333</v>
          </cell>
          <cell r="Q50">
            <v>7.2810000000000014E-2</v>
          </cell>
          <cell r="R50">
            <v>1.1765083333333333</v>
          </cell>
          <cell r="S50">
            <v>3.9763200000000003</v>
          </cell>
          <cell r="T50">
            <v>0</v>
          </cell>
          <cell r="U50">
            <v>4.4219999999999995E-2</v>
          </cell>
          <cell r="V50">
            <v>0.24052500000000002</v>
          </cell>
          <cell r="W50">
            <v>5.4375733333333338</v>
          </cell>
        </row>
        <row r="51">
          <cell r="D51" t="str">
            <v>82111-4DM61 A 0001</v>
          </cell>
          <cell r="E51" t="str">
            <v>821114DM61</v>
          </cell>
          <cell r="F51" t="str">
            <v>821114DM61</v>
          </cell>
          <cell r="G51">
            <v>4282.6000000000004</v>
          </cell>
          <cell r="H51">
            <v>505.7296</v>
          </cell>
          <cell r="I51">
            <v>0.37001333333333336</v>
          </cell>
          <cell r="J51">
            <v>0.74070333333333338</v>
          </cell>
          <cell r="K51">
            <v>7.0378333333333334E-2</v>
          </cell>
          <cell r="L51">
            <v>0.96675166666666668</v>
          </cell>
          <cell r="M51">
            <v>2.2848883333333334</v>
          </cell>
          <cell r="N51">
            <v>6.8316666666666664E-2</v>
          </cell>
          <cell r="O51">
            <v>0.27583000000000002</v>
          </cell>
          <cell r="P51">
            <v>0.238145</v>
          </cell>
          <cell r="Q51">
            <v>7.0889999999999981E-2</v>
          </cell>
          <cell r="R51">
            <v>1.1810950000000002</v>
          </cell>
          <cell r="S51">
            <v>3.9048216666666664</v>
          </cell>
          <cell r="T51">
            <v>0</v>
          </cell>
          <cell r="U51">
            <v>4.4219999999999995E-2</v>
          </cell>
          <cell r="V51">
            <v>0.22778000000000001</v>
          </cell>
          <cell r="W51">
            <v>5.3579166666666671</v>
          </cell>
        </row>
        <row r="52">
          <cell r="D52" t="str">
            <v>82111-4DM71 A 0001</v>
          </cell>
          <cell r="E52" t="str">
            <v>821114DM71</v>
          </cell>
          <cell r="F52" t="str">
            <v>821114DM71</v>
          </cell>
          <cell r="G52">
            <v>4259.3999999999996</v>
          </cell>
          <cell r="H52">
            <v>510.96690000000001</v>
          </cell>
          <cell r="I52">
            <v>0.37018666666666672</v>
          </cell>
          <cell r="J52">
            <v>0.73160499999999995</v>
          </cell>
          <cell r="K52">
            <v>7.0378333333333334E-2</v>
          </cell>
          <cell r="L52">
            <v>0.96781499999999998</v>
          </cell>
          <cell r="M52">
            <v>2.3136316666666668</v>
          </cell>
          <cell r="N52">
            <v>6.8536666666666662E-2</v>
          </cell>
          <cell r="O52">
            <v>0.27721666666666667</v>
          </cell>
          <cell r="P52">
            <v>0.23993</v>
          </cell>
          <cell r="Q52">
            <v>7.1946666666666659E-2</v>
          </cell>
          <cell r="R52">
            <v>1.1721700000000002</v>
          </cell>
          <cell r="S52">
            <v>3.9390766666666672</v>
          </cell>
          <cell r="T52">
            <v>0</v>
          </cell>
          <cell r="U52">
            <v>4.4219999999999995E-2</v>
          </cell>
          <cell r="V52">
            <v>0.22778000000000001</v>
          </cell>
          <cell r="W52">
            <v>5.3832466666666674</v>
          </cell>
        </row>
        <row r="53">
          <cell r="D53" t="str">
            <v>82111-4DM81 A 0001</v>
          </cell>
          <cell r="E53" t="str">
            <v>821114DM81</v>
          </cell>
          <cell r="F53" t="str">
            <v>821114DM81</v>
          </cell>
          <cell r="G53">
            <v>4364</v>
          </cell>
          <cell r="H53">
            <v>511.91050000000001</v>
          </cell>
          <cell r="I53">
            <v>0.37858166666666665</v>
          </cell>
          <cell r="J53">
            <v>0.74564333333333332</v>
          </cell>
          <cell r="K53">
            <v>7.3055000000000009E-2</v>
          </cell>
          <cell r="L53">
            <v>0.98231499999999994</v>
          </cell>
          <cell r="M53">
            <v>2.3526133333333332</v>
          </cell>
          <cell r="N53">
            <v>6.869666666666667E-2</v>
          </cell>
          <cell r="O53">
            <v>0.27893833333333334</v>
          </cell>
          <cell r="P53">
            <v>0.24579166666666669</v>
          </cell>
          <cell r="Q53">
            <v>7.2286666666666666E-2</v>
          </cell>
          <cell r="R53">
            <v>1.1972800000000001</v>
          </cell>
          <cell r="S53">
            <v>4.0006416666666667</v>
          </cell>
          <cell r="T53">
            <v>0</v>
          </cell>
          <cell r="U53">
            <v>4.4219999999999995E-2</v>
          </cell>
          <cell r="V53">
            <v>0.24680333333333335</v>
          </cell>
          <cell r="W53">
            <v>5.4889450000000002</v>
          </cell>
        </row>
        <row r="54">
          <cell r="D54" t="str">
            <v>82111-4DM91 A 0001</v>
          </cell>
          <cell r="E54" t="str">
            <v>821114DM91</v>
          </cell>
          <cell r="F54" t="str">
            <v>821114DM91</v>
          </cell>
          <cell r="G54">
            <v>4366.7</v>
          </cell>
          <cell r="H54">
            <v>517.14779999999996</v>
          </cell>
          <cell r="I54">
            <v>0.37940166666666664</v>
          </cell>
          <cell r="J54">
            <v>0.73654500000000001</v>
          </cell>
          <cell r="K54">
            <v>7.3055000000000009E-2</v>
          </cell>
          <cell r="L54">
            <v>0.98429499999999992</v>
          </cell>
          <cell r="M54">
            <v>2.3828366666666669</v>
          </cell>
          <cell r="N54">
            <v>6.8916666666666668E-2</v>
          </cell>
          <cell r="O54">
            <v>0.28132166666666669</v>
          </cell>
          <cell r="P54">
            <v>0.24771166666666666</v>
          </cell>
          <cell r="Q54">
            <v>7.3343333333333344E-2</v>
          </cell>
          <cell r="R54">
            <v>1.1890016666666667</v>
          </cell>
          <cell r="S54">
            <v>4.0384250000000002</v>
          </cell>
          <cell r="T54">
            <v>0</v>
          </cell>
          <cell r="U54">
            <v>4.4219999999999995E-2</v>
          </cell>
          <cell r="V54">
            <v>0.24680333333333335</v>
          </cell>
          <cell r="W54">
            <v>5.5184500000000005</v>
          </cell>
        </row>
        <row r="55">
          <cell r="D55" t="str">
            <v>82111-4DN31 A 1001</v>
          </cell>
          <cell r="E55" t="str">
            <v>821114DN31</v>
          </cell>
          <cell r="F55" t="str">
            <v>821114DN31</v>
          </cell>
          <cell r="G55">
            <v>4437.8999999999996</v>
          </cell>
          <cell r="H55">
            <v>459.17719999999997</v>
          </cell>
          <cell r="I55">
            <v>0.3575916666666667</v>
          </cell>
          <cell r="J55">
            <v>0.71305333333333332</v>
          </cell>
          <cell r="K55">
            <v>0.11541333333333334</v>
          </cell>
          <cell r="L55">
            <v>0.94251499999999999</v>
          </cell>
          <cell r="M55">
            <v>2.3181816666666668</v>
          </cell>
          <cell r="N55">
            <v>5.9505000000000002E-2</v>
          </cell>
          <cell r="O55">
            <v>0.26561333333333331</v>
          </cell>
          <cell r="P55">
            <v>0.26891666666666669</v>
          </cell>
          <cell r="Q55">
            <v>5.9398333333333338E-2</v>
          </cell>
          <cell r="R55">
            <v>1.1860583333333334</v>
          </cell>
          <cell r="S55">
            <v>3.9141300000000006</v>
          </cell>
          <cell r="T55">
            <v>0</v>
          </cell>
          <cell r="U55">
            <v>2.9246666666666664E-2</v>
          </cell>
          <cell r="V55">
            <v>0.21852833333333338</v>
          </cell>
          <cell r="W55">
            <v>5.3479633333333334</v>
          </cell>
        </row>
        <row r="56">
          <cell r="D56" t="str">
            <v>82111-4DN41 A 1001</v>
          </cell>
          <cell r="E56" t="str">
            <v>821114DN41</v>
          </cell>
          <cell r="F56" t="str">
            <v>821114DN41</v>
          </cell>
          <cell r="G56">
            <v>5138</v>
          </cell>
          <cell r="H56">
            <v>474.80590000000001</v>
          </cell>
          <cell r="I56">
            <v>0.41275499999999998</v>
          </cell>
          <cell r="J56">
            <v>0.82549499999999998</v>
          </cell>
          <cell r="K56">
            <v>0.13121333333333332</v>
          </cell>
          <cell r="L56">
            <v>1.0833516666666665</v>
          </cell>
          <cell r="M56">
            <v>2.6706116666666668</v>
          </cell>
          <cell r="N56">
            <v>6.6830000000000001E-2</v>
          </cell>
          <cell r="O56">
            <v>0.27859</v>
          </cell>
          <cell r="P56">
            <v>0.30085333333333336</v>
          </cell>
          <cell r="Q56">
            <v>6.7330000000000001E-2</v>
          </cell>
          <cell r="R56">
            <v>1.3694633333333333</v>
          </cell>
          <cell r="S56">
            <v>4.4675666666666665</v>
          </cell>
          <cell r="T56">
            <v>0</v>
          </cell>
          <cell r="U56">
            <v>3.2143333333333329E-2</v>
          </cell>
          <cell r="V56">
            <v>0.25142000000000003</v>
          </cell>
          <cell r="W56">
            <v>6.1205933333333329</v>
          </cell>
        </row>
        <row r="57">
          <cell r="D57" t="str">
            <v>82111-4DN51 A 1001</v>
          </cell>
          <cell r="E57" t="str">
            <v>821114DN51</v>
          </cell>
          <cell r="F57" t="str">
            <v>821114DN51</v>
          </cell>
          <cell r="G57">
            <v>5004.5</v>
          </cell>
          <cell r="H57">
            <v>504.536</v>
          </cell>
          <cell r="I57">
            <v>0.40718000000000004</v>
          </cell>
          <cell r="J57">
            <v>0.81765166666666667</v>
          </cell>
          <cell r="K57">
            <v>0.12823999999999999</v>
          </cell>
          <cell r="L57">
            <v>1.0670166666666667</v>
          </cell>
          <cell r="M57">
            <v>2.6606916666666667</v>
          </cell>
          <cell r="N57">
            <v>6.694E-2</v>
          </cell>
          <cell r="O57">
            <v>0.27878166666666665</v>
          </cell>
          <cell r="P57">
            <v>0.30126333333333333</v>
          </cell>
          <cell r="Q57">
            <v>6.7769999999999997E-2</v>
          </cell>
          <cell r="R57">
            <v>1.3530716666666667</v>
          </cell>
          <cell r="S57">
            <v>4.4424633333333325</v>
          </cell>
          <cell r="T57">
            <v>0</v>
          </cell>
          <cell r="U57">
            <v>3.2143333333333329E-2</v>
          </cell>
          <cell r="V57">
            <v>0.26093166666666667</v>
          </cell>
          <cell r="W57">
            <v>6.0886099999999992</v>
          </cell>
        </row>
        <row r="58">
          <cell r="D58" t="str">
            <v>82111-4DN61 A 0001</v>
          </cell>
          <cell r="E58" t="str">
            <v>821114DN61</v>
          </cell>
          <cell r="F58" t="str">
            <v>821114DN61</v>
          </cell>
          <cell r="G58">
            <v>4480.3</v>
          </cell>
          <cell r="H58">
            <v>514.78089999999997</v>
          </cell>
          <cell r="I58">
            <v>0.36472333333333334</v>
          </cell>
          <cell r="J58">
            <v>0.72007999999999994</v>
          </cell>
          <cell r="K58">
            <v>7.8376666666666678E-2</v>
          </cell>
          <cell r="L58">
            <v>0.94101166666666669</v>
          </cell>
          <cell r="M58">
            <v>2.2409899999999996</v>
          </cell>
          <cell r="N58">
            <v>5.9420000000000001E-2</v>
          </cell>
          <cell r="O58">
            <v>0.27615666666666672</v>
          </cell>
          <cell r="P58">
            <v>0.25405499999999998</v>
          </cell>
          <cell r="Q58">
            <v>5.8773333333333337E-2</v>
          </cell>
          <cell r="R58">
            <v>1.1631800000000001</v>
          </cell>
          <cell r="S58">
            <v>3.8304066666666663</v>
          </cell>
          <cell r="T58">
            <v>0</v>
          </cell>
          <cell r="U58">
            <v>4.422333333333333E-2</v>
          </cell>
          <cell r="V58">
            <v>0.22431666666666666</v>
          </cell>
          <cell r="W58">
            <v>5.2621266666666662</v>
          </cell>
        </row>
        <row r="59">
          <cell r="D59" t="str">
            <v>82111-4DN71 A 0001</v>
          </cell>
          <cell r="E59" t="str">
            <v>821114DN71</v>
          </cell>
          <cell r="F59" t="str">
            <v>821114DN71</v>
          </cell>
          <cell r="G59">
            <v>4513.2</v>
          </cell>
          <cell r="H59">
            <v>523.12049999999999</v>
          </cell>
          <cell r="I59">
            <v>0.36827166666666666</v>
          </cell>
          <cell r="J59">
            <v>0.71307500000000001</v>
          </cell>
          <cell r="K59">
            <v>7.8376666666666678E-2</v>
          </cell>
          <cell r="L59">
            <v>0.9488766666666667</v>
          </cell>
          <cell r="M59">
            <v>2.2876883333333335</v>
          </cell>
          <cell r="N59">
            <v>5.9660000000000005E-2</v>
          </cell>
          <cell r="O59">
            <v>0.28101666666666669</v>
          </cell>
          <cell r="P59">
            <v>0.25939499999999999</v>
          </cell>
          <cell r="Q59">
            <v>5.9726666666666671E-2</v>
          </cell>
          <cell r="R59">
            <v>1.1597233333333334</v>
          </cell>
          <cell r="S59">
            <v>3.8963633333333334</v>
          </cell>
          <cell r="T59">
            <v>0</v>
          </cell>
          <cell r="U59">
            <v>4.422333333333333E-2</v>
          </cell>
          <cell r="V59">
            <v>0.22431666666666666</v>
          </cell>
          <cell r="W59">
            <v>5.3246266666666671</v>
          </cell>
        </row>
        <row r="60">
          <cell r="D60" t="str">
            <v>82111-4DQ01 A 0001</v>
          </cell>
          <cell r="E60" t="str">
            <v>821114DQ01</v>
          </cell>
          <cell r="F60" t="str">
            <v>821114DQ01</v>
          </cell>
          <cell r="G60">
            <v>4269.3</v>
          </cell>
          <cell r="H60">
            <v>549.3836</v>
          </cell>
          <cell r="I60">
            <v>0.32751999999999998</v>
          </cell>
          <cell r="J60">
            <v>0.46769333333333329</v>
          </cell>
          <cell r="K60">
            <v>5.6244999999999996E-2</v>
          </cell>
          <cell r="L60">
            <v>0.84927333333333332</v>
          </cell>
          <cell r="M60">
            <v>2.2924266666666666</v>
          </cell>
          <cell r="N60">
            <v>6.4251666666666665E-2</v>
          </cell>
          <cell r="O60">
            <v>0.25210833333333332</v>
          </cell>
          <cell r="P60">
            <v>0.23692666666666667</v>
          </cell>
          <cell r="Q60">
            <v>7.0365000000000011E-2</v>
          </cell>
          <cell r="R60">
            <v>0.85145833333333332</v>
          </cell>
          <cell r="S60">
            <v>3.7653516666666667</v>
          </cell>
          <cell r="T60">
            <v>0</v>
          </cell>
          <cell r="U60">
            <v>4.1333333333333333E-2</v>
          </cell>
          <cell r="V60">
            <v>0.22701499999999999</v>
          </cell>
          <cell r="W60">
            <v>4.885158333333333</v>
          </cell>
        </row>
        <row r="61">
          <cell r="D61" t="str">
            <v>82111-4DQ11 A 0001</v>
          </cell>
          <cell r="E61" t="str">
            <v>821114DQ11</v>
          </cell>
          <cell r="F61" t="str">
            <v>821114DQ11</v>
          </cell>
          <cell r="G61">
            <v>4096.2</v>
          </cell>
          <cell r="H61">
            <v>536.40049999999997</v>
          </cell>
          <cell r="I61">
            <v>0.31402999999999998</v>
          </cell>
          <cell r="J61">
            <v>0.44046666666666667</v>
          </cell>
          <cell r="K61">
            <v>5.4906666666666666E-2</v>
          </cell>
          <cell r="L61">
            <v>0.80245</v>
          </cell>
          <cell r="M61">
            <v>2.2203866666666667</v>
          </cell>
          <cell r="N61">
            <v>6.1801666666666664E-2</v>
          </cell>
          <cell r="O61">
            <v>0.24569666666666665</v>
          </cell>
          <cell r="P61">
            <v>0.22545166666666669</v>
          </cell>
          <cell r="Q61">
            <v>6.907166666666667E-2</v>
          </cell>
          <cell r="R61">
            <v>0.80940333333333325</v>
          </cell>
          <cell r="S61">
            <v>3.6248583333333335</v>
          </cell>
          <cell r="T61">
            <v>0</v>
          </cell>
          <cell r="U61">
            <v>4.1333333333333333E-2</v>
          </cell>
          <cell r="V61">
            <v>0.21750333333333335</v>
          </cell>
          <cell r="W61">
            <v>4.6930983333333334</v>
          </cell>
        </row>
        <row r="62">
          <cell r="D62" t="str">
            <v>82111-4DQ21 A 1001</v>
          </cell>
          <cell r="E62" t="str">
            <v>821114DQ21</v>
          </cell>
          <cell r="F62" t="str">
            <v>821114DQ21</v>
          </cell>
          <cell r="G62">
            <v>4194.8</v>
          </cell>
          <cell r="H62">
            <v>441.63229999999999</v>
          </cell>
          <cell r="I62">
            <v>0.35129333333333335</v>
          </cell>
          <cell r="J62">
            <v>0.71532333333333342</v>
          </cell>
          <cell r="K62">
            <v>0.11555333333333334</v>
          </cell>
          <cell r="L62">
            <v>0.92756833333333333</v>
          </cell>
          <cell r="M62">
            <v>2.2991133333333331</v>
          </cell>
          <cell r="N62">
            <v>6.369166666666666E-2</v>
          </cell>
          <cell r="O62">
            <v>0.26234333333333332</v>
          </cell>
          <cell r="P62">
            <v>0.23246666666666668</v>
          </cell>
          <cell r="Q62">
            <v>6.9666666666666682E-2</v>
          </cell>
          <cell r="R62">
            <v>1.1821700000000002</v>
          </cell>
          <cell r="S62">
            <v>3.8548499999999999</v>
          </cell>
          <cell r="T62">
            <v>0</v>
          </cell>
          <cell r="U62">
            <v>2.924333333333333E-2</v>
          </cell>
          <cell r="V62">
            <v>0.21875833333333339</v>
          </cell>
          <cell r="W62">
            <v>5.2850216666666672</v>
          </cell>
        </row>
        <row r="63">
          <cell r="D63" t="str">
            <v>82111-4DQ41 A 1001</v>
          </cell>
          <cell r="E63" t="str">
            <v>821114DQ41</v>
          </cell>
          <cell r="F63" t="str">
            <v>821114DQ41</v>
          </cell>
          <cell r="G63">
            <v>4413.8999999999996</v>
          </cell>
          <cell r="H63">
            <v>467.51670000000001</v>
          </cell>
          <cell r="I63">
            <v>0.35772666666666664</v>
          </cell>
          <cell r="J63">
            <v>0.70377000000000001</v>
          </cell>
          <cell r="K63">
            <v>0.11541333333333334</v>
          </cell>
          <cell r="L63">
            <v>0.9435783333333333</v>
          </cell>
          <cell r="M63">
            <v>2.3401000000000001</v>
          </cell>
          <cell r="N63">
            <v>5.9629999999999996E-2</v>
          </cell>
          <cell r="O63">
            <v>0.26696833333333336</v>
          </cell>
          <cell r="P63">
            <v>0.26987499999999998</v>
          </cell>
          <cell r="Q63">
            <v>5.9930000000000004E-2</v>
          </cell>
          <cell r="R63">
            <v>1.1769100000000001</v>
          </cell>
          <cell r="S63">
            <v>3.9400816666666665</v>
          </cell>
          <cell r="T63">
            <v>0</v>
          </cell>
          <cell r="U63">
            <v>2.9246666666666664E-2</v>
          </cell>
          <cell r="V63">
            <v>0.21852833333333338</v>
          </cell>
          <cell r="W63">
            <v>5.3647666666666662</v>
          </cell>
        </row>
        <row r="64">
          <cell r="D64" t="str">
            <v>82111-4DR50 A 1001</v>
          </cell>
          <cell r="E64" t="str">
            <v>821114DR50</v>
          </cell>
          <cell r="F64" t="str">
            <v>821114DR50</v>
          </cell>
          <cell r="G64">
            <v>5269.8</v>
          </cell>
          <cell r="H64">
            <v>470.89920000000001</v>
          </cell>
          <cell r="I64">
            <v>0.42433833333333332</v>
          </cell>
          <cell r="J64">
            <v>0.85735166666666662</v>
          </cell>
          <cell r="K64">
            <v>0.13592499999999999</v>
          </cell>
          <cell r="L64">
            <v>1.1081383333333332</v>
          </cell>
          <cell r="M64">
            <v>2.7475216666666666</v>
          </cell>
          <cell r="N64">
            <v>7.3671666666666663E-2</v>
          </cell>
          <cell r="O64">
            <v>0.2881016666666667</v>
          </cell>
          <cell r="P64">
            <v>0.26605333333333336</v>
          </cell>
          <cell r="Q64">
            <v>7.9655000000000004E-2</v>
          </cell>
          <cell r="R64">
            <v>1.4176150000000001</v>
          </cell>
          <cell r="S64">
            <v>4.5631416666666667</v>
          </cell>
          <cell r="T64">
            <v>0</v>
          </cell>
          <cell r="U64">
            <v>3.2140000000000002E-2</v>
          </cell>
          <cell r="V64">
            <v>0.27067333333333338</v>
          </cell>
          <cell r="W64">
            <v>6.2835700000000001</v>
          </cell>
        </row>
        <row r="65">
          <cell r="D65" t="str">
            <v>82111-613D3 0001</v>
          </cell>
          <cell r="E65" t="str">
            <v>82111613D3</v>
          </cell>
          <cell r="F65" t="str">
            <v>82111613D3</v>
          </cell>
          <cell r="G65">
            <v>4083.1</v>
          </cell>
          <cell r="H65">
            <v>496.6463</v>
          </cell>
          <cell r="I65">
            <v>0.31578833333333328</v>
          </cell>
          <cell r="J65">
            <v>0.44773333333333337</v>
          </cell>
          <cell r="K65">
            <v>5.4906666666666666E-2</v>
          </cell>
          <cell r="L65">
            <v>0.82063666666666668</v>
          </cell>
          <cell r="M65">
            <v>2.2207783333333335</v>
          </cell>
          <cell r="N65">
            <v>6.4941666666666661E-2</v>
          </cell>
          <cell r="O65">
            <v>0.24292166666666667</v>
          </cell>
          <cell r="P65">
            <v>0.22981333333333334</v>
          </cell>
          <cell r="Q65">
            <v>6.909333333333334E-2</v>
          </cell>
          <cell r="R65">
            <v>0.81842833333333331</v>
          </cell>
          <cell r="S65">
            <v>3.6481850000000002</v>
          </cell>
          <cell r="T65">
            <v>0</v>
          </cell>
          <cell r="U65">
            <v>4.1333333333333333E-2</v>
          </cell>
          <cell r="V65">
            <v>0.21759500000000004</v>
          </cell>
          <cell r="W65">
            <v>4.7255416666666665</v>
          </cell>
        </row>
        <row r="66">
          <cell r="D66" t="str">
            <v>82111-613D4 0001</v>
          </cell>
          <cell r="E66" t="str">
            <v>82111613D4</v>
          </cell>
          <cell r="F66" t="str">
            <v>82111613D4</v>
          </cell>
          <cell r="G66">
            <v>4156.1000000000004</v>
          </cell>
          <cell r="H66">
            <v>467.95749999999998</v>
          </cell>
          <cell r="I66">
            <v>0.35011166666666665</v>
          </cell>
          <cell r="J66">
            <v>0.71530333333333329</v>
          </cell>
          <cell r="K66">
            <v>0.11555333333333334</v>
          </cell>
          <cell r="L66">
            <v>0.9423999999999999</v>
          </cell>
          <cell r="M66">
            <v>2.3489133333333334</v>
          </cell>
          <cell r="N66">
            <v>6.6076666666666659E-2</v>
          </cell>
          <cell r="O66">
            <v>0.26483833333333334</v>
          </cell>
          <cell r="P66">
            <v>0.24017333333333332</v>
          </cell>
          <cell r="Q66">
            <v>7.0764999999999995E-2</v>
          </cell>
          <cell r="R66">
            <v>1.1809683333333334</v>
          </cell>
          <cell r="S66">
            <v>3.9331666666666667</v>
          </cell>
          <cell r="T66">
            <v>0</v>
          </cell>
          <cell r="U66">
            <v>2.924333333333333E-2</v>
          </cell>
          <cell r="V66">
            <v>0.21875833333333339</v>
          </cell>
          <cell r="W66">
            <v>5.3621366666666672</v>
          </cell>
        </row>
        <row r="67">
          <cell r="D67" t="str">
            <v>82111-613D5 0001</v>
          </cell>
          <cell r="E67" t="str">
            <v>82111613D5</v>
          </cell>
          <cell r="F67" t="str">
            <v>82111613D5</v>
          </cell>
          <cell r="G67">
            <v>5141.2</v>
          </cell>
          <cell r="H67">
            <v>474.80590000000001</v>
          </cell>
          <cell r="I67">
            <v>0.41418666666666665</v>
          </cell>
          <cell r="J67">
            <v>0.83117833333333335</v>
          </cell>
          <cell r="K67">
            <v>0.13121333333333332</v>
          </cell>
          <cell r="L67">
            <v>1.0870183333333334</v>
          </cell>
          <cell r="M67">
            <v>2.6736316666666666</v>
          </cell>
          <cell r="N67">
            <v>6.6830000000000001E-2</v>
          </cell>
          <cell r="O67">
            <v>0.27669000000000005</v>
          </cell>
          <cell r="P67">
            <v>0.30085333333333336</v>
          </cell>
          <cell r="Q67">
            <v>6.7330000000000015E-2</v>
          </cell>
          <cell r="R67">
            <v>1.3765783333333335</v>
          </cell>
          <cell r="S67">
            <v>4.4723533333333334</v>
          </cell>
          <cell r="T67">
            <v>0</v>
          </cell>
          <cell r="U67">
            <v>3.2143333333333329E-2</v>
          </cell>
          <cell r="V67">
            <v>0.25142000000000003</v>
          </cell>
          <cell r="W67">
            <v>6.1324950000000005</v>
          </cell>
        </row>
        <row r="68">
          <cell r="D68" t="str">
            <v>82111-613D6 0011</v>
          </cell>
          <cell r="E68" t="str">
            <v>82111613D6</v>
          </cell>
          <cell r="F68" t="str">
            <v>82111613D6</v>
          </cell>
          <cell r="G68">
            <v>4407.6000000000004</v>
          </cell>
          <cell r="H68">
            <v>462.85750000000002</v>
          </cell>
          <cell r="I68">
            <v>0.35489833333333337</v>
          </cell>
          <cell r="J68">
            <v>0.70748166666666668</v>
          </cell>
          <cell r="K68">
            <v>0.11541333333333334</v>
          </cell>
          <cell r="L68">
            <v>0.93576833333333331</v>
          </cell>
          <cell r="M68">
            <v>2.3391299999999999</v>
          </cell>
          <cell r="N68">
            <v>5.9629999999999996E-2</v>
          </cell>
          <cell r="O68">
            <v>0.26375166666666666</v>
          </cell>
          <cell r="P68">
            <v>0.26973999999999998</v>
          </cell>
          <cell r="Q68">
            <v>5.9930000000000011E-2</v>
          </cell>
          <cell r="R68">
            <v>1.1777933333333335</v>
          </cell>
          <cell r="S68">
            <v>3.9279500000000001</v>
          </cell>
          <cell r="T68">
            <v>0</v>
          </cell>
          <cell r="U68">
            <v>2.9246666666666664E-2</v>
          </cell>
          <cell r="V68">
            <v>0.21852833333333338</v>
          </cell>
          <cell r="W68">
            <v>5.3535183333333336</v>
          </cell>
        </row>
        <row r="69">
          <cell r="D69" t="str">
            <v>82111-76Z00 B 0401</v>
          </cell>
          <cell r="E69" t="str">
            <v>8211176Z00</v>
          </cell>
          <cell r="F69" t="str">
            <v>8211176Z00</v>
          </cell>
          <cell r="G69">
            <v>4318.8999999999996</v>
          </cell>
          <cell r="H69">
            <v>24.491</v>
          </cell>
          <cell r="I69">
            <v>0.28333666666666668</v>
          </cell>
          <cell r="J69">
            <v>0.7945766666666666</v>
          </cell>
          <cell r="K69">
            <v>0.21816166666666667</v>
          </cell>
          <cell r="L69">
            <v>0.75338166666666662</v>
          </cell>
          <cell r="M69">
            <v>1.8976149999999998</v>
          </cell>
          <cell r="N69">
            <v>8.0416666666666664E-2</v>
          </cell>
          <cell r="O69">
            <v>0.22211833333333333</v>
          </cell>
          <cell r="P69">
            <v>0.17088999999999999</v>
          </cell>
          <cell r="Q69">
            <v>4.3821666666666662E-2</v>
          </cell>
          <cell r="R69">
            <v>1.2960749999999999</v>
          </cell>
          <cell r="S69">
            <v>3.1682433333333333</v>
          </cell>
          <cell r="T69">
            <v>3.9536666666666664E-2</v>
          </cell>
          <cell r="U69">
            <v>1.6786666666666668E-2</v>
          </cell>
          <cell r="V69">
            <v>0</v>
          </cell>
          <cell r="W69">
            <v>4.5206416666666662</v>
          </cell>
        </row>
        <row r="70">
          <cell r="D70" t="str">
            <v>82111-76Z10 B 0401</v>
          </cell>
          <cell r="E70" t="str">
            <v>8211176Z10</v>
          </cell>
          <cell r="F70" t="str">
            <v>8211176Z10</v>
          </cell>
          <cell r="G70">
            <v>4285.8</v>
          </cell>
          <cell r="H70">
            <v>24.491</v>
          </cell>
          <cell r="I70">
            <v>0.27893166666666669</v>
          </cell>
          <cell r="J70">
            <v>0.79047333333333336</v>
          </cell>
          <cell r="K70">
            <v>0.21713333333333334</v>
          </cell>
          <cell r="L70">
            <v>0.74373833333333328</v>
          </cell>
          <cell r="M70">
            <v>1.8645033333333332</v>
          </cell>
          <cell r="N70">
            <v>8.0321666666666666E-2</v>
          </cell>
          <cell r="O70">
            <v>0.21945666666666669</v>
          </cell>
          <cell r="P70">
            <v>0.17008000000000001</v>
          </cell>
          <cell r="Q70">
            <v>4.3461666666666662E-2</v>
          </cell>
          <cell r="R70">
            <v>1.2865383333333336</v>
          </cell>
          <cell r="S70">
            <v>3.1215616666666666</v>
          </cell>
          <cell r="T70">
            <v>3.9536666666666664E-2</v>
          </cell>
          <cell r="U70">
            <v>1.6786666666666668E-2</v>
          </cell>
          <cell r="V70">
            <v>0</v>
          </cell>
          <cell r="W70">
            <v>4.4644233333333334</v>
          </cell>
        </row>
        <row r="71">
          <cell r="D71" t="str">
            <v>82111-76Z20 B 0401</v>
          </cell>
          <cell r="E71" t="str">
            <v>8211176Z20</v>
          </cell>
          <cell r="F71" t="str">
            <v>8211176Z20</v>
          </cell>
          <cell r="G71">
            <v>4603.3999999999996</v>
          </cell>
          <cell r="H71">
            <v>18.294799999999999</v>
          </cell>
          <cell r="I71">
            <v>0.29823</v>
          </cell>
          <cell r="J71">
            <v>0.82006833333333329</v>
          </cell>
          <cell r="K71">
            <v>0.21390333333333331</v>
          </cell>
          <cell r="L71">
            <v>0.82413000000000003</v>
          </cell>
          <cell r="M71">
            <v>1.9436500000000001</v>
          </cell>
          <cell r="N71">
            <v>8.1958333333333341E-2</v>
          </cell>
          <cell r="O71">
            <v>0.22592500000000001</v>
          </cell>
          <cell r="P71">
            <v>0.17322333333333334</v>
          </cell>
          <cell r="Q71">
            <v>4.4478333333333328E-2</v>
          </cell>
          <cell r="R71">
            <v>1.3322016666666665</v>
          </cell>
          <cell r="S71">
            <v>3.2933650000000001</v>
          </cell>
          <cell r="T71">
            <v>3.9536666666666664E-2</v>
          </cell>
          <cell r="U71">
            <v>1.6786666666666668E-2</v>
          </cell>
          <cell r="V71">
            <v>0</v>
          </cell>
          <cell r="W71">
            <v>4.6818900000000001</v>
          </cell>
        </row>
        <row r="72">
          <cell r="D72" t="str">
            <v>82111-76Z30 B 0401</v>
          </cell>
          <cell r="E72" t="str">
            <v>8211176Z30</v>
          </cell>
          <cell r="F72" t="str">
            <v>8211176Z30</v>
          </cell>
          <cell r="G72">
            <v>4580.5</v>
          </cell>
          <cell r="H72">
            <v>18.294799999999999</v>
          </cell>
          <cell r="I72">
            <v>0.29451499999999997</v>
          </cell>
          <cell r="J72">
            <v>0.81596500000000005</v>
          </cell>
          <cell r="K72">
            <v>0.21390333333333331</v>
          </cell>
          <cell r="L72">
            <v>0.81540333333333337</v>
          </cell>
          <cell r="M72">
            <v>1.9121300000000001</v>
          </cell>
          <cell r="N72">
            <v>8.1863333333333344E-2</v>
          </cell>
          <cell r="O72">
            <v>0.22334333333333334</v>
          </cell>
          <cell r="P72">
            <v>0.17241333333333334</v>
          </cell>
          <cell r="Q72">
            <v>4.4118333333333343E-2</v>
          </cell>
          <cell r="R72">
            <v>1.3243833333333332</v>
          </cell>
          <cell r="S72">
            <v>3.249271666666667</v>
          </cell>
          <cell r="T72">
            <v>3.9536666666666664E-2</v>
          </cell>
          <cell r="U72">
            <v>1.6786666666666668E-2</v>
          </cell>
          <cell r="V72">
            <v>0</v>
          </cell>
          <cell r="W72">
            <v>4.6299783333333338</v>
          </cell>
        </row>
        <row r="73">
          <cell r="D73" t="str">
            <v>82111-76Z40 B 0401</v>
          </cell>
          <cell r="E73" t="str">
            <v>8211176Z40</v>
          </cell>
          <cell r="F73" t="str">
            <v>8211176Z40</v>
          </cell>
          <cell r="G73">
            <v>4627.7</v>
          </cell>
          <cell r="H73">
            <v>18.294799999999999</v>
          </cell>
          <cell r="I73">
            <v>0.30276500000000001</v>
          </cell>
          <cell r="J73">
            <v>0.83787999999999996</v>
          </cell>
          <cell r="K73">
            <v>0.21493166666666666</v>
          </cell>
          <cell r="L73">
            <v>0.82589000000000001</v>
          </cell>
          <cell r="M73">
            <v>1.9688416666666666</v>
          </cell>
          <cell r="N73">
            <v>8.2831666666666665E-2</v>
          </cell>
          <cell r="O73">
            <v>0.226715</v>
          </cell>
          <cell r="P73">
            <v>0.17888333333333334</v>
          </cell>
          <cell r="Q73">
            <v>4.5261666666666672E-2</v>
          </cell>
          <cell r="R73">
            <v>1.3555766666666667</v>
          </cell>
          <cell r="S73">
            <v>3.3284233333333333</v>
          </cell>
          <cell r="T73">
            <v>3.9536666666666664E-2</v>
          </cell>
          <cell r="U73">
            <v>1.6786666666666668E-2</v>
          </cell>
          <cell r="V73">
            <v>0</v>
          </cell>
          <cell r="W73">
            <v>4.7403233333333334</v>
          </cell>
        </row>
        <row r="74">
          <cell r="D74" t="str">
            <v>82111-76Z50 B 0401</v>
          </cell>
          <cell r="E74" t="str">
            <v>8211176Z50</v>
          </cell>
          <cell r="F74" t="str">
            <v>8211176Z50</v>
          </cell>
          <cell r="G74">
            <v>4587.2</v>
          </cell>
          <cell r="H74">
            <v>18.294799999999999</v>
          </cell>
          <cell r="I74">
            <v>0.29387833333333335</v>
          </cell>
          <cell r="J74">
            <v>0.83018666666666663</v>
          </cell>
          <cell r="K74">
            <v>0.21390333333333331</v>
          </cell>
          <cell r="L74">
            <v>0.80277666666666669</v>
          </cell>
          <cell r="M74">
            <v>1.9520266666666666</v>
          </cell>
          <cell r="N74">
            <v>8.2831666666666665E-2</v>
          </cell>
          <cell r="O74">
            <v>0.22766833333333333</v>
          </cell>
          <cell r="P74">
            <v>0.17915333333333333</v>
          </cell>
          <cell r="Q74">
            <v>4.5261666666666672E-2</v>
          </cell>
          <cell r="R74">
            <v>1.3379683333333332</v>
          </cell>
          <cell r="S74">
            <v>3.2897183333333335</v>
          </cell>
          <cell r="T74">
            <v>3.9536666666666664E-2</v>
          </cell>
          <cell r="U74">
            <v>1.6786666666666668E-2</v>
          </cell>
          <cell r="V74">
            <v>0</v>
          </cell>
          <cell r="W74">
            <v>4.6840099999999998</v>
          </cell>
        </row>
        <row r="75">
          <cell r="D75" t="str">
            <v>82111-76Z80 B 0601</v>
          </cell>
          <cell r="E75" t="str">
            <v>8211176Z80</v>
          </cell>
          <cell r="F75" t="str">
            <v>8211176Z80</v>
          </cell>
          <cell r="G75">
            <v>4221.8</v>
          </cell>
          <cell r="H75">
            <v>15.287699999999999</v>
          </cell>
          <cell r="I75">
            <v>0.28569666666666665</v>
          </cell>
          <cell r="J75">
            <v>0.84051166666666666</v>
          </cell>
          <cell r="K75">
            <v>0.19335333333333335</v>
          </cell>
          <cell r="L75">
            <v>0.7928033333333333</v>
          </cell>
          <cell r="M75">
            <v>1.8866583333333333</v>
          </cell>
          <cell r="N75">
            <v>8.1736666666666666E-2</v>
          </cell>
          <cell r="O75">
            <v>0.22390499999999999</v>
          </cell>
          <cell r="P75">
            <v>0.18380333333333335</v>
          </cell>
          <cell r="Q75">
            <v>4.5160000000000006E-2</v>
          </cell>
          <cell r="R75">
            <v>1.3195616666666665</v>
          </cell>
          <cell r="S75">
            <v>3.2140666666666666</v>
          </cell>
          <cell r="T75">
            <v>3.9559999999999998E-2</v>
          </cell>
          <cell r="U75">
            <v>1.6686666666666666E-2</v>
          </cell>
          <cell r="V75">
            <v>0</v>
          </cell>
          <cell r="W75">
            <v>4.5898749999999993</v>
          </cell>
        </row>
        <row r="76">
          <cell r="D76" t="str">
            <v>82111-76Z90 B 0501</v>
          </cell>
          <cell r="E76" t="str">
            <v>8211176Z90</v>
          </cell>
          <cell r="F76" t="str">
            <v>8211176Z90</v>
          </cell>
          <cell r="G76">
            <v>4580.3</v>
          </cell>
          <cell r="H76">
            <v>15.287699999999999</v>
          </cell>
          <cell r="I76">
            <v>0.29592500000000005</v>
          </cell>
          <cell r="J76">
            <v>0.84279000000000004</v>
          </cell>
          <cell r="K76">
            <v>0.19438166666666667</v>
          </cell>
          <cell r="L76">
            <v>0.82697666666666669</v>
          </cell>
          <cell r="M76">
            <v>1.9243416666666666</v>
          </cell>
          <cell r="N76">
            <v>8.3228333333333321E-2</v>
          </cell>
          <cell r="O76">
            <v>0.22972999999999999</v>
          </cell>
          <cell r="P76">
            <v>0.18285999999999999</v>
          </cell>
          <cell r="Q76">
            <v>4.5708333333333337E-2</v>
          </cell>
          <cell r="R76">
            <v>1.3330966666666668</v>
          </cell>
          <cell r="S76">
            <v>3.2928449999999998</v>
          </cell>
          <cell r="T76">
            <v>3.9559999999999998E-2</v>
          </cell>
          <cell r="U76">
            <v>1.6686666666666666E-2</v>
          </cell>
          <cell r="V76">
            <v>0</v>
          </cell>
          <cell r="W76">
            <v>4.6821883333333334</v>
          </cell>
        </row>
        <row r="77">
          <cell r="D77" t="str">
            <v>82125-K0060 B 2401</v>
          </cell>
          <cell r="E77" t="str">
            <v>82125K0060</v>
          </cell>
          <cell r="F77" t="str">
            <v>82125K0060</v>
          </cell>
          <cell r="G77">
            <v>10.6</v>
          </cell>
          <cell r="H77">
            <v>0</v>
          </cell>
          <cell r="I77">
            <v>8.3616666666666666E-3</v>
          </cell>
          <cell r="J77">
            <v>4.1216666666666667E-3</v>
          </cell>
          <cell r="K77">
            <v>1.1991666666666668E-2</v>
          </cell>
          <cell r="L77">
            <v>1.8553333333333331E-2</v>
          </cell>
          <cell r="M77">
            <v>8.4396666666666662E-2</v>
          </cell>
          <cell r="N77">
            <v>1.0450000000000001E-3</v>
          </cell>
          <cell r="O77">
            <v>1.2498333333333334E-2</v>
          </cell>
          <cell r="P77">
            <v>7.7566666666666661E-3</v>
          </cell>
          <cell r="Q77">
            <v>3.4233333333333333E-3</v>
          </cell>
          <cell r="R77">
            <v>2.4475E-2</v>
          </cell>
          <cell r="S77">
            <v>0.12767333333333331</v>
          </cell>
          <cell r="T77">
            <v>0</v>
          </cell>
          <cell r="U77">
            <v>0</v>
          </cell>
          <cell r="V77">
            <v>0</v>
          </cell>
          <cell r="W77">
            <v>0.1521483333333333</v>
          </cell>
        </row>
        <row r="78">
          <cell r="D78" t="str">
            <v>82126-K0040 B 1101</v>
          </cell>
          <cell r="E78" t="str">
            <v>82126K0040</v>
          </cell>
          <cell r="F78" t="str">
            <v>82126K0040</v>
          </cell>
          <cell r="G78">
            <v>10.032</v>
          </cell>
          <cell r="H78">
            <v>0</v>
          </cell>
          <cell r="I78">
            <v>4.9833333333333335E-3</v>
          </cell>
          <cell r="J78">
            <v>1.8579999999999999E-2</v>
          </cell>
          <cell r="K78">
            <v>0</v>
          </cell>
          <cell r="L78">
            <v>1.155E-2</v>
          </cell>
          <cell r="M78">
            <v>6.0686666666666667E-2</v>
          </cell>
          <cell r="N78">
            <v>0</v>
          </cell>
          <cell r="O78">
            <v>1.6795000000000001E-2</v>
          </cell>
          <cell r="P78">
            <v>7.2416666666666662E-3</v>
          </cell>
          <cell r="Q78">
            <v>2.8400000000000001E-3</v>
          </cell>
          <cell r="R78">
            <v>2.3563333333333332E-2</v>
          </cell>
          <cell r="S78">
            <v>9.9113333333333331E-2</v>
          </cell>
          <cell r="T78">
            <v>0</v>
          </cell>
          <cell r="U78">
            <v>0</v>
          </cell>
          <cell r="V78">
            <v>0</v>
          </cell>
          <cell r="W78">
            <v>0.12267666666666666</v>
          </cell>
        </row>
        <row r="79">
          <cell r="D79" t="str">
            <v>82219-K0050 B 1101</v>
          </cell>
          <cell r="E79" t="str">
            <v>82219K0050</v>
          </cell>
          <cell r="F79" t="str">
            <v>82219K0050</v>
          </cell>
          <cell r="G79">
            <v>12.550560000000001</v>
          </cell>
          <cell r="H79">
            <v>0</v>
          </cell>
          <cell r="I79">
            <v>7.7000000000000002E-3</v>
          </cell>
          <cell r="J79">
            <v>1.8599999999999998E-2</v>
          </cell>
          <cell r="K79">
            <v>0</v>
          </cell>
          <cell r="L79">
            <v>2.2499999999999999E-2</v>
          </cell>
          <cell r="M79">
            <v>8.3900000000000002E-2</v>
          </cell>
          <cell r="N79">
            <v>0</v>
          </cell>
          <cell r="O79">
            <v>1.89E-2</v>
          </cell>
          <cell r="P79">
            <v>5.7999999999999996E-3</v>
          </cell>
          <cell r="Q79">
            <v>3.2000000000000002E-3</v>
          </cell>
          <cell r="R79">
            <v>2.6299999999999997E-2</v>
          </cell>
          <cell r="S79">
            <v>0.1343</v>
          </cell>
          <cell r="T79">
            <v>0</v>
          </cell>
          <cell r="U79">
            <v>0</v>
          </cell>
          <cell r="V79">
            <v>0</v>
          </cell>
          <cell r="W79">
            <v>0.16059999999999999</v>
          </cell>
        </row>
        <row r="80">
          <cell r="D80" t="str">
            <v>82219-K0060 B 1101</v>
          </cell>
          <cell r="E80" t="str">
            <v>82219K0060</v>
          </cell>
          <cell r="F80" t="str">
            <v>82219K0060</v>
          </cell>
          <cell r="G80">
            <v>5.4432</v>
          </cell>
          <cell r="H80">
            <v>0</v>
          </cell>
          <cell r="I80">
            <v>4.1000000000000003E-3</v>
          </cell>
          <cell r="J80">
            <v>1.24E-2</v>
          </cell>
          <cell r="K80">
            <v>0</v>
          </cell>
          <cell r="L80">
            <v>1.29E-2</v>
          </cell>
          <cell r="M80">
            <v>5.4899999999999997E-2</v>
          </cell>
          <cell r="N80">
            <v>0</v>
          </cell>
          <cell r="O80">
            <v>1.67E-2</v>
          </cell>
          <cell r="P80">
            <v>4.0000000000000001E-3</v>
          </cell>
          <cell r="Q80">
            <v>2.5999999999999999E-3</v>
          </cell>
          <cell r="R80">
            <v>1.6500000000000001E-2</v>
          </cell>
          <cell r="S80">
            <v>9.11E-2</v>
          </cell>
          <cell r="T80">
            <v>0</v>
          </cell>
          <cell r="U80">
            <v>0</v>
          </cell>
          <cell r="V80">
            <v>0</v>
          </cell>
          <cell r="W80">
            <v>0.1076</v>
          </cell>
        </row>
        <row r="81">
          <cell r="D81" t="str">
            <v>K1A3-67030 0821</v>
          </cell>
          <cell r="E81" t="str">
            <v>K1A367030</v>
          </cell>
          <cell r="F81" t="str">
            <v>K1A367030</v>
          </cell>
          <cell r="G81">
            <v>1817.7</v>
          </cell>
          <cell r="H81">
            <v>33.282899999999998</v>
          </cell>
          <cell r="I81">
            <v>0.23457999999999998</v>
          </cell>
          <cell r="J81">
            <v>0.42913666666666667</v>
          </cell>
          <cell r="K81">
            <v>9.0363333333333337E-2</v>
          </cell>
          <cell r="L81">
            <v>0.59792000000000001</v>
          </cell>
          <cell r="M81">
            <v>1.3807866666666666</v>
          </cell>
          <cell r="N81">
            <v>1.5675000000000001E-2</v>
          </cell>
          <cell r="O81">
            <v>0.12789</v>
          </cell>
          <cell r="P81">
            <v>9.3701666666666655E-2</v>
          </cell>
          <cell r="Q81">
            <v>0.10558333333333333</v>
          </cell>
          <cell r="R81">
            <v>0.75407999999999997</v>
          </cell>
          <cell r="S81">
            <v>2.3215566666666665</v>
          </cell>
          <cell r="T81">
            <v>2.6813333333333328E-2</v>
          </cell>
          <cell r="U81">
            <v>0</v>
          </cell>
          <cell r="V81">
            <v>0</v>
          </cell>
          <cell r="W81">
            <v>3.1024499999999997</v>
          </cell>
        </row>
        <row r="82">
          <cell r="D82" t="str">
            <v>K1B1-67030 0821</v>
          </cell>
          <cell r="E82" t="str">
            <v>K1B167030</v>
          </cell>
          <cell r="F82" t="str">
            <v>K1B167030</v>
          </cell>
          <cell r="G82">
            <v>1943.5</v>
          </cell>
          <cell r="H82">
            <v>33.282899999999998</v>
          </cell>
          <cell r="I82">
            <v>0.24356499999999998</v>
          </cell>
          <cell r="J82">
            <v>0.44517499999999999</v>
          </cell>
          <cell r="K82">
            <v>0.11960666666666667</v>
          </cell>
          <cell r="L82">
            <v>0.61524500000000004</v>
          </cell>
          <cell r="M82">
            <v>1.4339333333333333</v>
          </cell>
          <cell r="N82">
            <v>1.5675000000000001E-2</v>
          </cell>
          <cell r="O82">
            <v>0.13334833333333332</v>
          </cell>
          <cell r="P82">
            <v>9.8394999999999996E-2</v>
          </cell>
          <cell r="Q82">
            <v>0.11286333333333333</v>
          </cell>
          <cell r="R82">
            <v>0.80834666666666655</v>
          </cell>
          <cell r="S82">
            <v>2.4094599999999997</v>
          </cell>
          <cell r="T82">
            <v>2.6813333333333328E-2</v>
          </cell>
          <cell r="U82">
            <v>0</v>
          </cell>
          <cell r="V82">
            <v>0</v>
          </cell>
          <cell r="W82">
            <v>3.2446199999999994</v>
          </cell>
        </row>
        <row r="83">
          <cell r="D83" t="str">
            <v>K1B3-67030 0821</v>
          </cell>
          <cell r="E83" t="str">
            <v>K1B367030</v>
          </cell>
          <cell r="F83" t="str">
            <v>K1B367030</v>
          </cell>
          <cell r="G83">
            <v>2004.1</v>
          </cell>
          <cell r="H83">
            <v>33.282899999999998</v>
          </cell>
          <cell r="I83">
            <v>0.24953666666666668</v>
          </cell>
          <cell r="J83">
            <v>0.49702000000000002</v>
          </cell>
          <cell r="K83">
            <v>0.12607333333333334</v>
          </cell>
          <cell r="L83">
            <v>0.62885333333333338</v>
          </cell>
          <cell r="M83">
            <v>1.44259</v>
          </cell>
          <cell r="N83">
            <v>1.5675000000000001E-2</v>
          </cell>
          <cell r="O83">
            <v>0.134265</v>
          </cell>
          <cell r="P83">
            <v>9.9213333333333334E-2</v>
          </cell>
          <cell r="Q83">
            <v>0.11336833333333333</v>
          </cell>
          <cell r="R83">
            <v>0.87263000000000013</v>
          </cell>
          <cell r="S83">
            <v>2.4339649999999997</v>
          </cell>
          <cell r="T83">
            <v>2.6813333333333328E-2</v>
          </cell>
          <cell r="U83">
            <v>0</v>
          </cell>
          <cell r="V83">
            <v>0</v>
          </cell>
          <cell r="W83">
            <v>3.3334083333333329</v>
          </cell>
        </row>
        <row r="84">
          <cell r="D84" t="str">
            <v>K1B4-67030 0821</v>
          </cell>
          <cell r="E84" t="str">
            <v>K1B467030</v>
          </cell>
          <cell r="F84" t="str">
            <v>K1B467030</v>
          </cell>
          <cell r="G84">
            <v>2010.6</v>
          </cell>
          <cell r="H84">
            <v>33.282899999999998</v>
          </cell>
          <cell r="I84">
            <v>0.25065666666666669</v>
          </cell>
          <cell r="J84">
            <v>0.4994366666666667</v>
          </cell>
          <cell r="K84">
            <v>0.12607333333333334</v>
          </cell>
          <cell r="L84">
            <v>0.63141999999999998</v>
          </cell>
          <cell r="M84">
            <v>1.4453083333333334</v>
          </cell>
          <cell r="N84">
            <v>1.5675000000000001E-2</v>
          </cell>
          <cell r="O84">
            <v>0.13508333333333333</v>
          </cell>
          <cell r="P84">
            <v>9.9568333333333328E-2</v>
          </cell>
          <cell r="Q84">
            <v>0.11356833333333333</v>
          </cell>
          <cell r="R84">
            <v>0.87616666666666676</v>
          </cell>
          <cell r="S84">
            <v>2.4406233333333334</v>
          </cell>
          <cell r="T84">
            <v>2.6813333333333328E-2</v>
          </cell>
          <cell r="U84">
            <v>0</v>
          </cell>
          <cell r="V84">
            <v>0</v>
          </cell>
          <cell r="W84">
            <v>3.3436033333333333</v>
          </cell>
        </row>
        <row r="85">
          <cell r="D85" t="str">
            <v>K616-67120A 0521</v>
          </cell>
          <cell r="E85" t="str">
            <v>K61667120</v>
          </cell>
          <cell r="F85" t="str">
            <v>K61667120</v>
          </cell>
          <cell r="G85">
            <v>29.8</v>
          </cell>
          <cell r="H85">
            <v>0</v>
          </cell>
          <cell r="I85">
            <v>1.0239999999999999E-2</v>
          </cell>
          <cell r="J85">
            <v>5.2800000000000008E-3</v>
          </cell>
          <cell r="K85">
            <v>0</v>
          </cell>
          <cell r="L85">
            <v>1.6500000000000001E-2</v>
          </cell>
          <cell r="M85">
            <v>0.25135166666666664</v>
          </cell>
          <cell r="N85">
            <v>1.0450000000000001E-3</v>
          </cell>
          <cell r="O85">
            <v>2.1149999999999999E-2</v>
          </cell>
          <cell r="P85">
            <v>1.2648333333333334E-2</v>
          </cell>
          <cell r="Q85">
            <v>6.4083333333333336E-3</v>
          </cell>
          <cell r="R85">
            <v>1.5519999999999999E-2</v>
          </cell>
          <cell r="S85">
            <v>0.30910333333333334</v>
          </cell>
          <cell r="T85">
            <v>0</v>
          </cell>
          <cell r="U85">
            <v>0</v>
          </cell>
          <cell r="V85">
            <v>0</v>
          </cell>
          <cell r="W85">
            <v>0.32462333333333332</v>
          </cell>
        </row>
        <row r="86">
          <cell r="D86" t="str">
            <v>K616-67SJ0A 0601</v>
          </cell>
          <cell r="E86" t="str">
            <v>K61667SJ0</v>
          </cell>
          <cell r="F86" t="str">
            <v>K61667SJ0</v>
          </cell>
          <cell r="G86">
            <v>99.005709999999993</v>
          </cell>
          <cell r="H86">
            <v>0</v>
          </cell>
          <cell r="I86">
            <v>2.5796666666666669E-2</v>
          </cell>
          <cell r="J86">
            <v>0.19586000000000001</v>
          </cell>
          <cell r="K86">
            <v>2.5866666666666666E-2</v>
          </cell>
          <cell r="L86">
            <v>6.4111666666666664E-2</v>
          </cell>
          <cell r="M86">
            <v>7.3455000000000006E-2</v>
          </cell>
          <cell r="N86">
            <v>0</v>
          </cell>
          <cell r="O86">
            <v>2.0355000000000002E-2</v>
          </cell>
          <cell r="P86">
            <v>7.3750000000000005E-3</v>
          </cell>
          <cell r="Q86">
            <v>3.8983333333333331E-3</v>
          </cell>
          <cell r="R86">
            <v>0.24752333333333335</v>
          </cell>
          <cell r="S86">
            <v>0.16919500000000001</v>
          </cell>
          <cell r="T86">
            <v>0</v>
          </cell>
          <cell r="U86">
            <v>0</v>
          </cell>
          <cell r="V86">
            <v>0</v>
          </cell>
          <cell r="W86">
            <v>0.41671833333333336</v>
          </cell>
        </row>
        <row r="87">
          <cell r="D87" t="str">
            <v>K63K-67030B 1011</v>
          </cell>
          <cell r="E87" t="str">
            <v>K63K67030</v>
          </cell>
          <cell r="F87" t="str">
            <v>K63K67030</v>
          </cell>
          <cell r="G87">
            <v>1219.5999999999999</v>
          </cell>
          <cell r="H87">
            <v>0</v>
          </cell>
          <cell r="I87">
            <v>0.20063</v>
          </cell>
          <cell r="J87">
            <v>0.41206666666666669</v>
          </cell>
          <cell r="K87">
            <v>0.10789833333333335</v>
          </cell>
          <cell r="L87">
            <v>0.4841166666666667</v>
          </cell>
          <cell r="M87">
            <v>1.1325916666666667</v>
          </cell>
          <cell r="N87">
            <v>9.4050000000000002E-3</v>
          </cell>
          <cell r="O87">
            <v>0.10603166666666668</v>
          </cell>
          <cell r="P87">
            <v>6.371333333333333E-2</v>
          </cell>
          <cell r="Q87">
            <v>7.6395000000000005E-2</v>
          </cell>
          <cell r="R87">
            <v>0.72059499999999999</v>
          </cell>
          <cell r="S87">
            <v>1.8722533333333335</v>
          </cell>
          <cell r="T87">
            <v>0</v>
          </cell>
          <cell r="U87">
            <v>0</v>
          </cell>
          <cell r="V87">
            <v>0</v>
          </cell>
          <cell r="W87">
            <v>2.5928483333333334</v>
          </cell>
        </row>
        <row r="88">
          <cell r="D88" t="str">
            <v>K63K-67120A 0521</v>
          </cell>
          <cell r="E88" t="str">
            <v>K63K67120</v>
          </cell>
          <cell r="F88" t="str">
            <v>K63K67120</v>
          </cell>
          <cell r="G88">
            <v>29.8</v>
          </cell>
          <cell r="H88">
            <v>0</v>
          </cell>
          <cell r="I88">
            <v>1.0933333333333333E-2</v>
          </cell>
          <cell r="J88">
            <v>5.2800000000000008E-3</v>
          </cell>
          <cell r="K88">
            <v>0</v>
          </cell>
          <cell r="L88">
            <v>1.6500000000000001E-2</v>
          </cell>
          <cell r="M88">
            <v>0.27417833333333336</v>
          </cell>
          <cell r="N88">
            <v>1.0450000000000001E-3</v>
          </cell>
          <cell r="O88">
            <v>2.1871666666666668E-2</v>
          </cell>
          <cell r="P88">
            <v>1.3238333333333333E-2</v>
          </cell>
          <cell r="Q88">
            <v>6.9033333333333334E-3</v>
          </cell>
          <cell r="R88">
            <v>1.6213333333333333E-2</v>
          </cell>
          <cell r="S88">
            <v>0.33373666666666674</v>
          </cell>
          <cell r="T88">
            <v>0</v>
          </cell>
          <cell r="U88">
            <v>0</v>
          </cell>
          <cell r="V88">
            <v>0</v>
          </cell>
          <cell r="W88">
            <v>0.34995000000000009</v>
          </cell>
        </row>
        <row r="89">
          <cell r="D89" t="str">
            <v>K63K-67240A 1111</v>
          </cell>
          <cell r="E89" t="str">
            <v>K63K67240</v>
          </cell>
          <cell r="F89" t="str">
            <v>K63K67240</v>
          </cell>
          <cell r="G89">
            <v>65.8</v>
          </cell>
          <cell r="H89">
            <v>0</v>
          </cell>
          <cell r="I89">
            <v>1.3984999999999999E-2</v>
          </cell>
          <cell r="J89">
            <v>0</v>
          </cell>
          <cell r="K89">
            <v>0</v>
          </cell>
          <cell r="L89">
            <v>3.5108333333333332E-2</v>
          </cell>
          <cell r="M89">
            <v>0.16933499999999999</v>
          </cell>
          <cell r="N89">
            <v>2.0900000000000003E-3</v>
          </cell>
          <cell r="O89">
            <v>2.3890000000000002E-2</v>
          </cell>
          <cell r="P89">
            <v>1.3721666666666667E-2</v>
          </cell>
          <cell r="Q89">
            <v>5.3699999999999998E-3</v>
          </cell>
          <cell r="R89">
            <v>1.3984999999999999E-2</v>
          </cell>
          <cell r="S89">
            <v>0.24951499999999999</v>
          </cell>
          <cell r="T89">
            <v>0</v>
          </cell>
          <cell r="U89">
            <v>0</v>
          </cell>
          <cell r="V89">
            <v>0</v>
          </cell>
          <cell r="W89">
            <v>0.26350000000000001</v>
          </cell>
        </row>
        <row r="90">
          <cell r="D90" t="str">
            <v>K63L-67240A 1111</v>
          </cell>
          <cell r="E90" t="str">
            <v>K63L67240</v>
          </cell>
          <cell r="F90" t="str">
            <v>K63L67240</v>
          </cell>
          <cell r="G90">
            <v>61.7</v>
          </cell>
          <cell r="H90">
            <v>0</v>
          </cell>
          <cell r="I90">
            <v>1.2946666666666667E-2</v>
          </cell>
          <cell r="J90">
            <v>0</v>
          </cell>
          <cell r="K90">
            <v>0</v>
          </cell>
          <cell r="L90">
            <v>3.3366666666666663E-2</v>
          </cell>
          <cell r="M90">
            <v>0.16053000000000001</v>
          </cell>
          <cell r="N90">
            <v>2.0900000000000003E-3</v>
          </cell>
          <cell r="O90">
            <v>2.3198333333333331E-2</v>
          </cell>
          <cell r="P90">
            <v>1.3278333333333333E-2</v>
          </cell>
          <cell r="Q90">
            <v>5.1599999999999997E-3</v>
          </cell>
          <cell r="R90">
            <v>1.2946666666666667E-2</v>
          </cell>
          <cell r="S90">
            <v>0.23762333333333333</v>
          </cell>
          <cell r="T90">
            <v>0</v>
          </cell>
          <cell r="U90">
            <v>0</v>
          </cell>
          <cell r="V90">
            <v>0</v>
          </cell>
          <cell r="W90">
            <v>0.25057000000000001</v>
          </cell>
        </row>
        <row r="91">
          <cell r="D91" t="str">
            <v>K63M-67240A 1111</v>
          </cell>
          <cell r="E91" t="str">
            <v>K63M67240</v>
          </cell>
          <cell r="F91" t="str">
            <v>K63M67240</v>
          </cell>
          <cell r="G91">
            <v>72.7</v>
          </cell>
          <cell r="H91">
            <v>0</v>
          </cell>
          <cell r="I91">
            <v>1.5185000000000001E-2</v>
          </cell>
          <cell r="J91">
            <v>0</v>
          </cell>
          <cell r="K91">
            <v>0</v>
          </cell>
          <cell r="L91">
            <v>3.859166666666667E-2</v>
          </cell>
          <cell r="M91">
            <v>0.17615</v>
          </cell>
          <cell r="N91">
            <v>2.0900000000000003E-3</v>
          </cell>
          <cell r="O91">
            <v>2.4704999999999998E-2</v>
          </cell>
          <cell r="P91">
            <v>1.3981666666666667E-2</v>
          </cell>
          <cell r="Q91">
            <v>5.5483333333333331E-3</v>
          </cell>
          <cell r="R91">
            <v>1.5185000000000001E-2</v>
          </cell>
          <cell r="S91">
            <v>0.26106666666666667</v>
          </cell>
          <cell r="T91">
            <v>0</v>
          </cell>
          <cell r="U91">
            <v>0</v>
          </cell>
          <cell r="V91">
            <v>0</v>
          </cell>
          <cell r="W91">
            <v>0.27625166666666667</v>
          </cell>
        </row>
        <row r="92">
          <cell r="D92" t="str">
            <v>K63N-67120A 0531</v>
          </cell>
          <cell r="E92" t="str">
            <v>K63N67120</v>
          </cell>
          <cell r="F92" t="str">
            <v>K63N67120</v>
          </cell>
          <cell r="G92">
            <v>47.7</v>
          </cell>
          <cell r="H92">
            <v>0</v>
          </cell>
          <cell r="I92">
            <v>1.3603333333333334E-2</v>
          </cell>
          <cell r="J92">
            <v>1.0534999999999999E-2</v>
          </cell>
          <cell r="K92">
            <v>0</v>
          </cell>
          <cell r="L92">
            <v>2.7445000000000001E-2</v>
          </cell>
          <cell r="M92">
            <v>0.27764166666666668</v>
          </cell>
          <cell r="N92">
            <v>1.0450000000000001E-3</v>
          </cell>
          <cell r="O92">
            <v>2.3405000000000002E-2</v>
          </cell>
          <cell r="P92">
            <v>1.3888333333333334E-2</v>
          </cell>
          <cell r="Q92">
            <v>7.1633333333333332E-3</v>
          </cell>
          <cell r="R92">
            <v>2.4138333333333331E-2</v>
          </cell>
          <cell r="S92">
            <v>0.35058833333333339</v>
          </cell>
          <cell r="T92">
            <v>0</v>
          </cell>
          <cell r="U92">
            <v>0</v>
          </cell>
          <cell r="V92">
            <v>0</v>
          </cell>
          <cell r="W92">
            <v>0.37472666666666671</v>
          </cell>
        </row>
        <row r="93">
          <cell r="D93" t="str">
            <v>K63N-67240A 1121</v>
          </cell>
          <cell r="E93" t="str">
            <v>K63N67240</v>
          </cell>
          <cell r="F93" t="str">
            <v>K63N67240</v>
          </cell>
          <cell r="G93">
            <v>67.5</v>
          </cell>
          <cell r="H93">
            <v>0</v>
          </cell>
          <cell r="I93">
            <v>1.4366666666666666E-2</v>
          </cell>
          <cell r="J93">
            <v>0</v>
          </cell>
          <cell r="K93">
            <v>0</v>
          </cell>
          <cell r="L93">
            <v>3.7033333333333335E-2</v>
          </cell>
          <cell r="M93">
            <v>0.16437500000000002</v>
          </cell>
          <cell r="N93">
            <v>2.0900000000000003E-3</v>
          </cell>
          <cell r="O93">
            <v>2.4018333333333333E-2</v>
          </cell>
          <cell r="P93">
            <v>1.363E-2</v>
          </cell>
          <cell r="Q93">
            <v>5.398333333333334E-3</v>
          </cell>
          <cell r="R93">
            <v>1.4366666666666666E-2</v>
          </cell>
          <cell r="S93">
            <v>0.24654500000000004</v>
          </cell>
          <cell r="T93">
            <v>0</v>
          </cell>
          <cell r="U93">
            <v>0</v>
          </cell>
          <cell r="V93">
            <v>0</v>
          </cell>
          <cell r="W93">
            <v>0.26091166666666671</v>
          </cell>
        </row>
        <row r="94">
          <cell r="D94" t="str">
            <v>K63P-67120A 0531</v>
          </cell>
          <cell r="E94" t="str">
            <v>K63P67120</v>
          </cell>
          <cell r="F94" t="str">
            <v>K63P67120</v>
          </cell>
          <cell r="G94">
            <v>81.400000000000006</v>
          </cell>
          <cell r="H94">
            <v>0</v>
          </cell>
          <cell r="I94">
            <v>2.0291666666666666E-2</v>
          </cell>
          <cell r="J94">
            <v>3.1348333333333332E-2</v>
          </cell>
          <cell r="K94">
            <v>0</v>
          </cell>
          <cell r="L94">
            <v>4.1928333333333331E-2</v>
          </cell>
          <cell r="M94">
            <v>0.33643000000000001</v>
          </cell>
          <cell r="N94">
            <v>1.0450000000000001E-3</v>
          </cell>
          <cell r="O94">
            <v>2.6536666666666667E-2</v>
          </cell>
          <cell r="P94">
            <v>1.5608333333333333E-2</v>
          </cell>
          <cell r="Q94">
            <v>8.3366666666666658E-3</v>
          </cell>
          <cell r="R94">
            <v>5.1639999999999998E-2</v>
          </cell>
          <cell r="S94">
            <v>0.42988500000000002</v>
          </cell>
          <cell r="T94">
            <v>0</v>
          </cell>
          <cell r="U94">
            <v>0</v>
          </cell>
          <cell r="V94">
            <v>0</v>
          </cell>
          <cell r="W94">
            <v>0.48152500000000004</v>
          </cell>
        </row>
        <row r="95">
          <cell r="D95" t="str">
            <v>K63P-67240A 1121</v>
          </cell>
          <cell r="E95" t="str">
            <v>K63P67240</v>
          </cell>
          <cell r="F95" t="str">
            <v>K63P67240</v>
          </cell>
          <cell r="G95">
            <v>78.400000000000006</v>
          </cell>
          <cell r="H95">
            <v>0</v>
          </cell>
          <cell r="I95">
            <v>1.6604999999999998E-2</v>
          </cell>
          <cell r="J95">
            <v>0</v>
          </cell>
          <cell r="K95">
            <v>0</v>
          </cell>
          <cell r="L95">
            <v>4.2258333333333328E-2</v>
          </cell>
          <cell r="M95">
            <v>0.17999333333333334</v>
          </cell>
          <cell r="N95">
            <v>2.0900000000000003E-3</v>
          </cell>
          <cell r="O95">
            <v>2.5525000000000003E-2</v>
          </cell>
          <cell r="P95">
            <v>1.4333333333333333E-2</v>
          </cell>
          <cell r="Q95">
            <v>5.7883333333333337E-3</v>
          </cell>
          <cell r="R95">
            <v>1.6604999999999998E-2</v>
          </cell>
          <cell r="S95">
            <v>0.26998833333333333</v>
          </cell>
          <cell r="T95">
            <v>0</v>
          </cell>
          <cell r="U95">
            <v>0</v>
          </cell>
          <cell r="V95">
            <v>0</v>
          </cell>
          <cell r="W95">
            <v>0.28659333333333331</v>
          </cell>
        </row>
        <row r="96">
          <cell r="D96" t="str">
            <v>K63R-67120A 0531</v>
          </cell>
          <cell r="E96" t="str">
            <v>K63R67120</v>
          </cell>
          <cell r="F96" t="str">
            <v>K63R67120</v>
          </cell>
          <cell r="G96">
            <v>47.7</v>
          </cell>
          <cell r="H96">
            <v>0</v>
          </cell>
          <cell r="I96">
            <v>1.4296666666666668E-2</v>
          </cell>
          <cell r="J96">
            <v>1.0534999999999999E-2</v>
          </cell>
          <cell r="K96">
            <v>0</v>
          </cell>
          <cell r="L96">
            <v>2.7445000000000001E-2</v>
          </cell>
          <cell r="M96">
            <v>0.30046833333333328</v>
          </cell>
          <cell r="N96">
            <v>1.0450000000000001E-3</v>
          </cell>
          <cell r="O96">
            <v>2.4126666666666668E-2</v>
          </cell>
          <cell r="P96">
            <v>1.448E-2</v>
          </cell>
          <cell r="Q96">
            <v>7.6583333333333338E-3</v>
          </cell>
          <cell r="R96">
            <v>2.4831666666666669E-2</v>
          </cell>
          <cell r="S96">
            <v>0.3752233333333333</v>
          </cell>
          <cell r="T96">
            <v>0</v>
          </cell>
          <cell r="U96">
            <v>0</v>
          </cell>
          <cell r="V96">
            <v>0</v>
          </cell>
          <cell r="W96">
            <v>0.40005499999999994</v>
          </cell>
        </row>
        <row r="97">
          <cell r="D97" t="str">
            <v>K63S-67120A 0531</v>
          </cell>
          <cell r="E97" t="str">
            <v>K63S67120</v>
          </cell>
          <cell r="F97" t="str">
            <v>K63S67120</v>
          </cell>
          <cell r="G97">
            <v>81.400000000000006</v>
          </cell>
          <cell r="H97">
            <v>0</v>
          </cell>
          <cell r="I97">
            <v>2.0983333333333333E-2</v>
          </cell>
          <cell r="J97">
            <v>3.1348333333333332E-2</v>
          </cell>
          <cell r="K97">
            <v>0</v>
          </cell>
          <cell r="L97">
            <v>4.1928333333333331E-2</v>
          </cell>
          <cell r="M97">
            <v>0.35972999999999999</v>
          </cell>
          <cell r="N97">
            <v>1.0450000000000001E-3</v>
          </cell>
          <cell r="O97">
            <v>2.726E-2</v>
          </cell>
          <cell r="P97">
            <v>1.6199999999999999E-2</v>
          </cell>
          <cell r="Q97">
            <v>8.8316666666666665E-3</v>
          </cell>
          <cell r="R97">
            <v>5.2331666666666665E-2</v>
          </cell>
          <cell r="S97">
            <v>0.45499500000000004</v>
          </cell>
          <cell r="T97">
            <v>0</v>
          </cell>
          <cell r="U97">
            <v>0</v>
          </cell>
          <cell r="V97">
            <v>0</v>
          </cell>
          <cell r="W97">
            <v>0.5073266666666667</v>
          </cell>
        </row>
        <row r="98">
          <cell r="D98" t="str">
            <v>K63V-67030B 1011</v>
          </cell>
          <cell r="E98" t="str">
            <v>K63V67030</v>
          </cell>
          <cell r="F98" t="str">
            <v>K63V67030</v>
          </cell>
          <cell r="G98">
            <v>1235</v>
          </cell>
          <cell r="H98">
            <v>0</v>
          </cell>
          <cell r="I98">
            <v>0.20419333333333334</v>
          </cell>
          <cell r="J98">
            <v>0.4273433333333333</v>
          </cell>
          <cell r="K98">
            <v>0.10789833333333335</v>
          </cell>
          <cell r="L98">
            <v>0.4951166666666667</v>
          </cell>
          <cell r="M98">
            <v>1.1349583333333333</v>
          </cell>
          <cell r="N98">
            <v>9.4050000000000002E-3</v>
          </cell>
          <cell r="O98">
            <v>0.10627166666666667</v>
          </cell>
          <cell r="P98">
            <v>6.371333333333333E-2</v>
          </cell>
          <cell r="Q98">
            <v>7.6395000000000005E-2</v>
          </cell>
          <cell r="R98">
            <v>0.73943499999999995</v>
          </cell>
          <cell r="S98">
            <v>1.8858600000000001</v>
          </cell>
          <cell r="T98">
            <v>0</v>
          </cell>
          <cell r="U98">
            <v>0</v>
          </cell>
          <cell r="V98">
            <v>0</v>
          </cell>
          <cell r="W98">
            <v>2.6252949999999999</v>
          </cell>
        </row>
        <row r="99">
          <cell r="D99" t="str">
            <v>K64A-67030B 1011</v>
          </cell>
          <cell r="E99" t="str">
            <v>K64A67030</v>
          </cell>
          <cell r="F99" t="str">
            <v>K64A67030</v>
          </cell>
          <cell r="G99">
            <v>1275.9000000000001</v>
          </cell>
          <cell r="H99">
            <v>0</v>
          </cell>
          <cell r="I99">
            <v>0.20818499999999998</v>
          </cell>
          <cell r="J99">
            <v>0.43325000000000002</v>
          </cell>
          <cell r="K99">
            <v>0.11411333333333333</v>
          </cell>
          <cell r="L99">
            <v>0.50336666666666674</v>
          </cell>
          <cell r="M99">
            <v>1.1515816666666665</v>
          </cell>
          <cell r="N99">
            <v>9.4050000000000002E-3</v>
          </cell>
          <cell r="O99">
            <v>0.10733666666666666</v>
          </cell>
          <cell r="P99">
            <v>6.4229999999999995E-2</v>
          </cell>
          <cell r="Q99">
            <v>7.8716666666666671E-2</v>
          </cell>
          <cell r="R99">
            <v>0.75554833333333327</v>
          </cell>
          <cell r="S99">
            <v>1.9146366666666668</v>
          </cell>
          <cell r="T99">
            <v>0</v>
          </cell>
          <cell r="U99">
            <v>0</v>
          </cell>
          <cell r="V99">
            <v>0</v>
          </cell>
          <cell r="W99">
            <v>2.670185</v>
          </cell>
        </row>
        <row r="100">
          <cell r="D100" t="str">
            <v>K64B-67120A 0541</v>
          </cell>
          <cell r="E100" t="str">
            <v>K64B67120</v>
          </cell>
          <cell r="F100" t="str">
            <v>K64B67120</v>
          </cell>
          <cell r="G100">
            <v>52.1</v>
          </cell>
          <cell r="H100">
            <v>0</v>
          </cell>
          <cell r="I100">
            <v>1.5063333333333335E-2</v>
          </cell>
          <cell r="J100">
            <v>1.0534999999999999E-2</v>
          </cell>
          <cell r="K100">
            <v>0</v>
          </cell>
          <cell r="L100">
            <v>3.0928333333333332E-2</v>
          </cell>
          <cell r="M100">
            <v>0.29696</v>
          </cell>
          <cell r="N100">
            <v>1.0450000000000001E-3</v>
          </cell>
          <cell r="O100">
            <v>2.4838333333333334E-2</v>
          </cell>
          <cell r="P100">
            <v>1.4738333333333332E-2</v>
          </cell>
          <cell r="Q100">
            <v>7.6516666666666669E-3</v>
          </cell>
          <cell r="R100">
            <v>2.5598333333333334E-2</v>
          </cell>
          <cell r="S100">
            <v>0.37616166666666673</v>
          </cell>
          <cell r="T100">
            <v>0</v>
          </cell>
          <cell r="U100">
            <v>0</v>
          </cell>
          <cell r="V100">
            <v>0</v>
          </cell>
          <cell r="W100">
            <v>0.40176000000000006</v>
          </cell>
        </row>
        <row r="101">
          <cell r="D101" t="str">
            <v>K64C-67030B 1011</v>
          </cell>
          <cell r="E101" t="str">
            <v>K64C67030</v>
          </cell>
          <cell r="F101" t="str">
            <v>K64C67030</v>
          </cell>
          <cell r="G101">
            <v>1289.4000000000001</v>
          </cell>
          <cell r="H101">
            <v>0</v>
          </cell>
          <cell r="I101">
            <v>0.20933833333333332</v>
          </cell>
          <cell r="J101">
            <v>0.47904666666666668</v>
          </cell>
          <cell r="K101">
            <v>0.11436500000000001</v>
          </cell>
          <cell r="L101">
            <v>0.50409999999999999</v>
          </cell>
          <cell r="M101">
            <v>1.1491666666666667</v>
          </cell>
          <cell r="N101">
            <v>9.4050000000000002E-3</v>
          </cell>
          <cell r="O101">
            <v>0.10709166666666667</v>
          </cell>
          <cell r="P101">
            <v>6.4096666666666663E-2</v>
          </cell>
          <cell r="Q101">
            <v>7.6611666666666675E-2</v>
          </cell>
          <cell r="R101">
            <v>0.80275000000000007</v>
          </cell>
          <cell r="S101">
            <v>1.9104716666666668</v>
          </cell>
          <cell r="T101">
            <v>0</v>
          </cell>
          <cell r="U101">
            <v>0</v>
          </cell>
          <cell r="V101">
            <v>0</v>
          </cell>
          <cell r="W101">
            <v>2.7132216666666666</v>
          </cell>
        </row>
        <row r="102">
          <cell r="D102" t="str">
            <v>K64C-67120A 0541</v>
          </cell>
          <cell r="E102" t="str">
            <v>K64C67120</v>
          </cell>
          <cell r="F102" t="str">
            <v>K64C67120</v>
          </cell>
          <cell r="G102">
            <v>85.8</v>
          </cell>
          <cell r="H102">
            <v>0</v>
          </cell>
          <cell r="I102">
            <v>2.1751666666666666E-2</v>
          </cell>
          <cell r="J102">
            <v>3.1348333333333332E-2</v>
          </cell>
          <cell r="K102">
            <v>0</v>
          </cell>
          <cell r="L102">
            <v>4.5411666666666663E-2</v>
          </cell>
          <cell r="M102">
            <v>0.35574833333333333</v>
          </cell>
          <cell r="N102">
            <v>1.0450000000000001E-3</v>
          </cell>
          <cell r="O102">
            <v>2.7969999999999998E-2</v>
          </cell>
          <cell r="P102">
            <v>1.6456666666666668E-2</v>
          </cell>
          <cell r="Q102">
            <v>8.8249999999999995E-3</v>
          </cell>
          <cell r="R102">
            <v>5.3099999999999994E-2</v>
          </cell>
          <cell r="S102">
            <v>0.45545666666666673</v>
          </cell>
          <cell r="T102">
            <v>0</v>
          </cell>
          <cell r="U102">
            <v>0</v>
          </cell>
          <cell r="V102">
            <v>0</v>
          </cell>
          <cell r="W102">
            <v>0.50855666666666677</v>
          </cell>
        </row>
        <row r="103">
          <cell r="D103" t="str">
            <v>K64E-67030B 1011</v>
          </cell>
          <cell r="E103" t="str">
            <v>K64E67030</v>
          </cell>
          <cell r="F103" t="str">
            <v>K64E67030</v>
          </cell>
          <cell r="G103">
            <v>1330.3</v>
          </cell>
          <cell r="H103">
            <v>0</v>
          </cell>
          <cell r="I103">
            <v>0.21332999999999999</v>
          </cell>
          <cell r="J103">
            <v>0.48495333333333335</v>
          </cell>
          <cell r="K103">
            <v>0.12057999999999999</v>
          </cell>
          <cell r="L103">
            <v>0.51234999999999997</v>
          </cell>
          <cell r="M103">
            <v>1.1657900000000001</v>
          </cell>
          <cell r="N103">
            <v>9.4050000000000002E-3</v>
          </cell>
          <cell r="O103">
            <v>0.108155</v>
          </cell>
          <cell r="P103">
            <v>6.4608333333333337E-2</v>
          </cell>
          <cell r="Q103">
            <v>7.8933333333333328E-2</v>
          </cell>
          <cell r="R103">
            <v>0.81886333333333339</v>
          </cell>
          <cell r="S103">
            <v>1.9392416666666668</v>
          </cell>
          <cell r="T103">
            <v>0</v>
          </cell>
          <cell r="U103">
            <v>0</v>
          </cell>
          <cell r="V103">
            <v>0</v>
          </cell>
          <cell r="W103">
            <v>2.758105</v>
          </cell>
        </row>
        <row r="104">
          <cell r="D104" t="str">
            <v>K64E-67120A 0541</v>
          </cell>
          <cell r="E104" t="str">
            <v>K64E67120</v>
          </cell>
          <cell r="F104" t="str">
            <v>K64E67120</v>
          </cell>
          <cell r="G104">
            <v>85.8</v>
          </cell>
          <cell r="H104">
            <v>0</v>
          </cell>
          <cell r="I104">
            <v>2.2443333333333332E-2</v>
          </cell>
          <cell r="J104">
            <v>3.1348333333333332E-2</v>
          </cell>
          <cell r="K104">
            <v>0</v>
          </cell>
          <cell r="L104">
            <v>4.5411666666666663E-2</v>
          </cell>
          <cell r="M104">
            <v>0.37904833333333332</v>
          </cell>
          <cell r="N104">
            <v>1.0450000000000001E-3</v>
          </cell>
          <cell r="O104">
            <v>2.8693333333333335E-2</v>
          </cell>
          <cell r="P104">
            <v>1.7049999999999999E-2</v>
          </cell>
          <cell r="Q104">
            <v>9.3200000000000002E-3</v>
          </cell>
          <cell r="R104">
            <v>5.3791666666666668E-2</v>
          </cell>
          <cell r="S104">
            <v>0.48056833333333338</v>
          </cell>
          <cell r="T104">
            <v>0</v>
          </cell>
          <cell r="U104">
            <v>0</v>
          </cell>
          <cell r="V104">
            <v>0</v>
          </cell>
          <cell r="W104">
            <v>0.53436000000000006</v>
          </cell>
        </row>
        <row r="105">
          <cell r="D105" t="str">
            <v>K64G-67030 1011</v>
          </cell>
          <cell r="E105" t="str">
            <v>K64G67030</v>
          </cell>
          <cell r="F105" t="str">
            <v>K64G67030</v>
          </cell>
          <cell r="G105">
            <v>1219.5999999999999</v>
          </cell>
          <cell r="H105">
            <v>0</v>
          </cell>
          <cell r="I105">
            <v>0.19994999999999999</v>
          </cell>
          <cell r="J105">
            <v>0.41206666666666669</v>
          </cell>
          <cell r="K105">
            <v>0.10789833333333335</v>
          </cell>
          <cell r="L105">
            <v>0.4841166666666667</v>
          </cell>
          <cell r="M105">
            <v>1.1114916666666665</v>
          </cell>
          <cell r="N105">
            <v>9.4050000000000002E-3</v>
          </cell>
          <cell r="O105">
            <v>0.10530833333333334</v>
          </cell>
          <cell r="P105">
            <v>6.2950000000000006E-2</v>
          </cell>
          <cell r="Q105">
            <v>7.3849999999999999E-2</v>
          </cell>
          <cell r="R105">
            <v>0.71991499999999997</v>
          </cell>
          <cell r="S105">
            <v>1.8471216666666668</v>
          </cell>
          <cell r="T105">
            <v>0</v>
          </cell>
          <cell r="U105">
            <v>0</v>
          </cell>
          <cell r="V105">
            <v>0</v>
          </cell>
          <cell r="W105">
            <v>2.5670366666666666</v>
          </cell>
        </row>
        <row r="106">
          <cell r="D106" t="str">
            <v>K64L-67030 1011</v>
          </cell>
          <cell r="E106" t="str">
            <v>K64L67030</v>
          </cell>
          <cell r="F106" t="str">
            <v>K64L67030</v>
          </cell>
          <cell r="G106">
            <v>1235</v>
          </cell>
          <cell r="H106">
            <v>0</v>
          </cell>
          <cell r="I106">
            <v>0.20351333333333335</v>
          </cell>
          <cell r="J106">
            <v>0.4273433333333333</v>
          </cell>
          <cell r="K106">
            <v>0.10789833333333335</v>
          </cell>
          <cell r="L106">
            <v>0.4951166666666667</v>
          </cell>
          <cell r="M106">
            <v>1.1138583333333334</v>
          </cell>
          <cell r="N106">
            <v>9.4050000000000002E-3</v>
          </cell>
          <cell r="O106">
            <v>0.10554833333333334</v>
          </cell>
          <cell r="P106">
            <v>6.2950000000000006E-2</v>
          </cell>
          <cell r="Q106">
            <v>7.3849999999999999E-2</v>
          </cell>
          <cell r="R106">
            <v>0.73875499999999994</v>
          </cell>
          <cell r="S106">
            <v>1.8607283333333335</v>
          </cell>
          <cell r="T106">
            <v>0</v>
          </cell>
          <cell r="U106">
            <v>0</v>
          </cell>
          <cell r="V106">
            <v>0</v>
          </cell>
          <cell r="W106">
            <v>2.5994833333333336</v>
          </cell>
        </row>
        <row r="107">
          <cell r="D107" t="str">
            <v>K64S-67030A 1201</v>
          </cell>
          <cell r="E107" t="str">
            <v>K64S67030</v>
          </cell>
          <cell r="F107" t="str">
            <v>K64S67030</v>
          </cell>
          <cell r="G107">
            <v>1219.5999999999999</v>
          </cell>
          <cell r="H107">
            <v>0</v>
          </cell>
          <cell r="I107">
            <v>0.20063</v>
          </cell>
          <cell r="J107">
            <v>0.41206666666666669</v>
          </cell>
          <cell r="K107">
            <v>0.10789833333333335</v>
          </cell>
          <cell r="L107">
            <v>0.4841166666666667</v>
          </cell>
          <cell r="M107">
            <v>1.1325916666666667</v>
          </cell>
          <cell r="N107">
            <v>9.4050000000000002E-3</v>
          </cell>
          <cell r="O107">
            <v>0.10603166666666668</v>
          </cell>
          <cell r="P107">
            <v>6.1403333333333338E-2</v>
          </cell>
          <cell r="Q107">
            <v>7.6395000000000005E-2</v>
          </cell>
          <cell r="R107">
            <v>0.72059499999999999</v>
          </cell>
          <cell r="S107">
            <v>1.8699433333333335</v>
          </cell>
          <cell r="T107">
            <v>0</v>
          </cell>
          <cell r="U107">
            <v>0</v>
          </cell>
          <cell r="V107">
            <v>0</v>
          </cell>
          <cell r="W107">
            <v>2.5905383333333334</v>
          </cell>
        </row>
        <row r="108">
          <cell r="D108" t="str">
            <v>K64V-67120A 0541</v>
          </cell>
          <cell r="E108" t="str">
            <v>K64V67120</v>
          </cell>
          <cell r="F108" t="str">
            <v>K64V67120</v>
          </cell>
          <cell r="G108">
            <v>64.599999999999994</v>
          </cell>
          <cell r="H108">
            <v>0</v>
          </cell>
          <cell r="I108">
            <v>1.7758333333333331E-2</v>
          </cell>
          <cell r="J108">
            <v>1.0534999999999999E-2</v>
          </cell>
          <cell r="K108">
            <v>0</v>
          </cell>
          <cell r="L108">
            <v>3.6244999999999999E-2</v>
          </cell>
          <cell r="M108">
            <v>0.32665333333333335</v>
          </cell>
          <cell r="N108">
            <v>2.0900000000000003E-3</v>
          </cell>
          <cell r="O108">
            <v>2.8808333333333332E-2</v>
          </cell>
          <cell r="P108">
            <v>1.8695E-2</v>
          </cell>
          <cell r="Q108">
            <v>8.4066666666666665E-3</v>
          </cell>
          <cell r="R108">
            <v>2.829333333333333E-2</v>
          </cell>
          <cell r="S108">
            <v>0.42089833333333332</v>
          </cell>
          <cell r="T108">
            <v>0</v>
          </cell>
          <cell r="U108">
            <v>0</v>
          </cell>
          <cell r="V108">
            <v>0</v>
          </cell>
          <cell r="W108">
            <v>0.44919166666666666</v>
          </cell>
        </row>
        <row r="109">
          <cell r="D109" t="str">
            <v>K64W-67120A 0541</v>
          </cell>
          <cell r="E109" t="str">
            <v>K64W67120</v>
          </cell>
          <cell r="F109" t="str">
            <v>K64W67120</v>
          </cell>
          <cell r="G109">
            <v>98.3</v>
          </cell>
          <cell r="H109">
            <v>0</v>
          </cell>
          <cell r="I109">
            <v>2.4444999999999998E-2</v>
          </cell>
          <cell r="J109">
            <v>3.1348333333333332E-2</v>
          </cell>
          <cell r="K109">
            <v>0</v>
          </cell>
          <cell r="L109">
            <v>5.0728333333333334E-2</v>
          </cell>
          <cell r="M109">
            <v>0.3854433333333333</v>
          </cell>
          <cell r="N109">
            <v>2.0900000000000003E-3</v>
          </cell>
          <cell r="O109">
            <v>3.1940000000000003E-2</v>
          </cell>
          <cell r="P109">
            <v>2.0413333333333335E-2</v>
          </cell>
          <cell r="Q109">
            <v>9.58E-3</v>
          </cell>
          <cell r="R109">
            <v>5.5793333333333334E-2</v>
          </cell>
          <cell r="S109">
            <v>0.50019499999999995</v>
          </cell>
          <cell r="T109">
            <v>0</v>
          </cell>
          <cell r="U109">
            <v>0</v>
          </cell>
          <cell r="V109">
            <v>0</v>
          </cell>
          <cell r="W109">
            <v>0.55598833333333331</v>
          </cell>
        </row>
        <row r="110">
          <cell r="D110" t="str">
            <v>K65D-67030 1111</v>
          </cell>
          <cell r="E110" t="str">
            <v>K65D67030</v>
          </cell>
          <cell r="F110" t="str">
            <v>K65D67030</v>
          </cell>
          <cell r="G110">
            <v>1275.9000000000001</v>
          </cell>
          <cell r="H110">
            <v>0</v>
          </cell>
          <cell r="I110">
            <v>0.20818499999999998</v>
          </cell>
          <cell r="J110">
            <v>0.43325000000000002</v>
          </cell>
          <cell r="K110">
            <v>0.11411333333333333</v>
          </cell>
          <cell r="L110">
            <v>0.50336666666666674</v>
          </cell>
          <cell r="M110">
            <v>1.1515816666666665</v>
          </cell>
          <cell r="N110">
            <v>9.4050000000000002E-3</v>
          </cell>
          <cell r="O110">
            <v>0.10733666666666666</v>
          </cell>
          <cell r="P110">
            <v>6.1919999999999996E-2</v>
          </cell>
          <cell r="Q110">
            <v>7.8716666666666671E-2</v>
          </cell>
          <cell r="R110">
            <v>0.75554833333333327</v>
          </cell>
          <cell r="S110">
            <v>1.9123266666666667</v>
          </cell>
          <cell r="T110">
            <v>0</v>
          </cell>
          <cell r="U110">
            <v>0</v>
          </cell>
          <cell r="V110">
            <v>0</v>
          </cell>
          <cell r="W110">
            <v>2.667875</v>
          </cell>
        </row>
        <row r="111">
          <cell r="D111" t="str">
            <v>K65F-67030 1111</v>
          </cell>
          <cell r="E111" t="str">
            <v>K65F67030</v>
          </cell>
          <cell r="F111" t="str">
            <v>K65F67030</v>
          </cell>
          <cell r="G111">
            <v>1330.3</v>
          </cell>
          <cell r="H111">
            <v>0</v>
          </cell>
          <cell r="I111">
            <v>0.21332999999999999</v>
          </cell>
          <cell r="J111">
            <v>0.48495333333333335</v>
          </cell>
          <cell r="K111">
            <v>0.12057999999999999</v>
          </cell>
          <cell r="L111">
            <v>0.51234999999999997</v>
          </cell>
          <cell r="M111">
            <v>1.1657900000000001</v>
          </cell>
          <cell r="N111">
            <v>9.4050000000000002E-3</v>
          </cell>
          <cell r="O111">
            <v>0.108155</v>
          </cell>
          <cell r="P111">
            <v>6.2298333333333331E-2</v>
          </cell>
          <cell r="Q111">
            <v>7.8933333333333328E-2</v>
          </cell>
          <cell r="R111">
            <v>0.81886333333333339</v>
          </cell>
          <cell r="S111">
            <v>1.9369316666666667</v>
          </cell>
          <cell r="T111">
            <v>0</v>
          </cell>
          <cell r="U111">
            <v>0</v>
          </cell>
          <cell r="V111">
            <v>0</v>
          </cell>
          <cell r="W111">
            <v>2.755795</v>
          </cell>
        </row>
        <row r="112">
          <cell r="D112" t="str">
            <v>K65S-67120A 0541</v>
          </cell>
          <cell r="E112" t="str">
            <v>K65S67120</v>
          </cell>
          <cell r="F112" t="str">
            <v>K65S67120</v>
          </cell>
          <cell r="G112">
            <v>214.7</v>
          </cell>
          <cell r="H112">
            <v>0</v>
          </cell>
          <cell r="I112">
            <v>3.8796666666666667E-2</v>
          </cell>
          <cell r="J112">
            <v>3.1348333333333332E-2</v>
          </cell>
          <cell r="K112">
            <v>0</v>
          </cell>
          <cell r="L112">
            <v>8.9724999999999999E-2</v>
          </cell>
          <cell r="M112">
            <v>0.49439833333333338</v>
          </cell>
          <cell r="N112">
            <v>2.0900000000000003E-3</v>
          </cell>
          <cell r="O112">
            <v>3.7865000000000003E-2</v>
          </cell>
          <cell r="P112">
            <v>2.0431666666666667E-2</v>
          </cell>
          <cell r="Q112">
            <v>1.6338333333333333E-2</v>
          </cell>
          <cell r="R112">
            <v>7.0144999999999999E-2</v>
          </cell>
          <cell r="S112">
            <v>0.66084833333333337</v>
          </cell>
          <cell r="T112">
            <v>0</v>
          </cell>
          <cell r="U112">
            <v>0</v>
          </cell>
          <cell r="V112">
            <v>0</v>
          </cell>
          <cell r="W112">
            <v>0.73099333333333338</v>
          </cell>
        </row>
        <row r="113">
          <cell r="D113" t="str">
            <v>K65V-67120A 0541</v>
          </cell>
          <cell r="E113" t="str">
            <v>K65V67120</v>
          </cell>
          <cell r="F113" t="str">
            <v>K65V67120</v>
          </cell>
          <cell r="G113">
            <v>214.7</v>
          </cell>
          <cell r="H113">
            <v>0</v>
          </cell>
          <cell r="I113">
            <v>3.9488333333333334E-2</v>
          </cell>
          <cell r="J113">
            <v>3.1348333333333332E-2</v>
          </cell>
          <cell r="K113">
            <v>0</v>
          </cell>
          <cell r="L113">
            <v>8.9724999999999999E-2</v>
          </cell>
          <cell r="M113">
            <v>0.51769833333333337</v>
          </cell>
          <cell r="N113">
            <v>2.0900000000000003E-3</v>
          </cell>
          <cell r="O113">
            <v>3.8586666666666665E-2</v>
          </cell>
          <cell r="P113">
            <v>2.1023333333333335E-2</v>
          </cell>
          <cell r="Q113">
            <v>1.6833333333333332E-2</v>
          </cell>
          <cell r="R113">
            <v>7.0836666666666659E-2</v>
          </cell>
          <cell r="S113">
            <v>0.68595666666666677</v>
          </cell>
          <cell r="T113">
            <v>0</v>
          </cell>
          <cell r="U113">
            <v>0</v>
          </cell>
          <cell r="V113">
            <v>0</v>
          </cell>
          <cell r="W113">
            <v>0.75679333333333343</v>
          </cell>
        </row>
        <row r="114">
          <cell r="D114" t="str">
            <v>K66M-67120A 0541</v>
          </cell>
          <cell r="E114" t="str">
            <v>K66M67120</v>
          </cell>
          <cell r="F114" t="str">
            <v>K66M67120</v>
          </cell>
          <cell r="G114">
            <v>191.1</v>
          </cell>
          <cell r="H114">
            <v>0</v>
          </cell>
          <cell r="I114">
            <v>3.4543333333333336E-2</v>
          </cell>
          <cell r="J114">
            <v>1.0534999999999999E-2</v>
          </cell>
          <cell r="K114">
            <v>0</v>
          </cell>
          <cell r="L114">
            <v>7.8724999999999989E-2</v>
          </cell>
          <cell r="M114">
            <v>0.46371333333333337</v>
          </cell>
          <cell r="N114">
            <v>2.0900000000000003E-3</v>
          </cell>
          <cell r="O114">
            <v>3.6768333333333333E-2</v>
          </cell>
          <cell r="P114">
            <v>2.2143333333333334E-2</v>
          </cell>
          <cell r="Q114">
            <v>1.5748333333333333E-2</v>
          </cell>
          <cell r="R114">
            <v>4.5078333333333331E-2</v>
          </cell>
          <cell r="S114">
            <v>0.61918833333333334</v>
          </cell>
          <cell r="T114">
            <v>0</v>
          </cell>
          <cell r="U114">
            <v>0</v>
          </cell>
          <cell r="V114">
            <v>0</v>
          </cell>
          <cell r="W114">
            <v>0.66426666666666667</v>
          </cell>
        </row>
        <row r="115">
          <cell r="D115" t="str">
            <v>K66N-67120A 0541</v>
          </cell>
          <cell r="E115" t="str">
            <v>K66N67120</v>
          </cell>
          <cell r="F115" t="str">
            <v>K66N67120</v>
          </cell>
          <cell r="G115">
            <v>224.8</v>
          </cell>
          <cell r="H115">
            <v>0</v>
          </cell>
          <cell r="I115">
            <v>4.0919999999999998E-2</v>
          </cell>
          <cell r="J115">
            <v>3.1348333333333332E-2</v>
          </cell>
          <cell r="K115">
            <v>0</v>
          </cell>
          <cell r="L115">
            <v>9.3208333333333337E-2</v>
          </cell>
          <cell r="M115">
            <v>0.51816499999999999</v>
          </cell>
          <cell r="N115">
            <v>2.0900000000000003E-3</v>
          </cell>
          <cell r="O115">
            <v>3.9901666666666662E-2</v>
          </cell>
          <cell r="P115">
            <v>2.3863333333333334E-2</v>
          </cell>
          <cell r="Q115">
            <v>1.6921666666666668E-2</v>
          </cell>
          <cell r="R115">
            <v>7.2268333333333323E-2</v>
          </cell>
          <cell r="S115">
            <v>0.69415000000000004</v>
          </cell>
          <cell r="T115">
            <v>0</v>
          </cell>
          <cell r="U115">
            <v>0</v>
          </cell>
          <cell r="V115">
            <v>0</v>
          </cell>
          <cell r="W115">
            <v>0.76641833333333342</v>
          </cell>
        </row>
        <row r="116">
          <cell r="D116" t="str">
            <v>K66R-67120A 0541</v>
          </cell>
          <cell r="E116" t="str">
            <v>K66R67120</v>
          </cell>
          <cell r="F116" t="str">
            <v>K66R67120</v>
          </cell>
          <cell r="G116">
            <v>224.8</v>
          </cell>
          <cell r="H116">
            <v>0</v>
          </cell>
          <cell r="I116">
            <v>4.1613333333333329E-2</v>
          </cell>
          <cell r="J116">
            <v>3.1348333333333332E-2</v>
          </cell>
          <cell r="K116">
            <v>0</v>
          </cell>
          <cell r="L116">
            <v>9.3208333333333337E-2</v>
          </cell>
          <cell r="M116">
            <v>0.54146500000000009</v>
          </cell>
          <cell r="N116">
            <v>2.0900000000000003E-3</v>
          </cell>
          <cell r="O116">
            <v>4.0625000000000001E-2</v>
          </cell>
          <cell r="P116">
            <v>2.4455000000000001E-2</v>
          </cell>
          <cell r="Q116">
            <v>1.7416666666666667E-2</v>
          </cell>
          <cell r="R116">
            <v>7.2961666666666661E-2</v>
          </cell>
          <cell r="S116">
            <v>0.71926000000000012</v>
          </cell>
          <cell r="T116">
            <v>0</v>
          </cell>
          <cell r="U116">
            <v>0</v>
          </cell>
          <cell r="V116">
            <v>0</v>
          </cell>
          <cell r="W116">
            <v>0.79222166666666682</v>
          </cell>
        </row>
        <row r="117">
          <cell r="D117" t="str">
            <v>KANK-67030 0241</v>
          </cell>
          <cell r="E117" t="str">
            <v>KANK67030</v>
          </cell>
          <cell r="F117" t="str">
            <v>KANK67030</v>
          </cell>
          <cell r="G117">
            <v>1817.9</v>
          </cell>
          <cell r="H117">
            <v>33.282899999999998</v>
          </cell>
          <cell r="I117">
            <v>0.22638166666666668</v>
          </cell>
          <cell r="J117">
            <v>0.43634000000000001</v>
          </cell>
          <cell r="K117">
            <v>8.8471666666666671E-2</v>
          </cell>
          <cell r="L117">
            <v>0.58724833333333337</v>
          </cell>
          <cell r="M117">
            <v>1.3277533333333333</v>
          </cell>
          <cell r="N117">
            <v>1.5675000000000001E-2</v>
          </cell>
          <cell r="O117">
            <v>0.12729333333333334</v>
          </cell>
          <cell r="P117">
            <v>8.3333333333333329E-2</v>
          </cell>
          <cell r="Q117">
            <v>0.10668833333333333</v>
          </cell>
          <cell r="R117">
            <v>0.75119333333333338</v>
          </cell>
          <cell r="S117">
            <v>2.2479916666666671</v>
          </cell>
          <cell r="T117">
            <v>2.6813333333333328E-2</v>
          </cell>
          <cell r="U117">
            <v>0</v>
          </cell>
          <cell r="V117">
            <v>0</v>
          </cell>
          <cell r="W117">
            <v>3.0259983333333338</v>
          </cell>
        </row>
        <row r="118">
          <cell r="D118" t="str">
            <v>KANM-67030 0241</v>
          </cell>
          <cell r="E118" t="str">
            <v>KANM67030</v>
          </cell>
          <cell r="F118" t="str">
            <v>KANM67030</v>
          </cell>
          <cell r="G118">
            <v>1851.7</v>
          </cell>
          <cell r="H118">
            <v>33.282899999999998</v>
          </cell>
          <cell r="I118">
            <v>0.22949</v>
          </cell>
          <cell r="J118">
            <v>0.43875666666666663</v>
          </cell>
          <cell r="K118">
            <v>0.10345666666666667</v>
          </cell>
          <cell r="L118">
            <v>0.59228999999999998</v>
          </cell>
          <cell r="M118">
            <v>1.3545900000000002</v>
          </cell>
          <cell r="N118">
            <v>1.5675000000000001E-2</v>
          </cell>
          <cell r="O118">
            <v>0.12961999999999999</v>
          </cell>
          <cell r="P118">
            <v>8.4503333333333333E-2</v>
          </cell>
          <cell r="Q118">
            <v>0.11133833333333333</v>
          </cell>
          <cell r="R118">
            <v>0.7717033333333333</v>
          </cell>
          <cell r="S118">
            <v>2.2880166666666666</v>
          </cell>
          <cell r="T118">
            <v>2.6813333333333328E-2</v>
          </cell>
          <cell r="U118">
            <v>0</v>
          </cell>
          <cell r="V118">
            <v>0</v>
          </cell>
          <cell r="W118">
            <v>3.0865333333333331</v>
          </cell>
        </row>
        <row r="119">
          <cell r="D119" t="str">
            <v>KCLL-67030C 1811</v>
          </cell>
          <cell r="E119" t="str">
            <v>KCLL67030</v>
          </cell>
          <cell r="F119" t="str">
            <v>KCLL67030</v>
          </cell>
          <cell r="G119">
            <v>1242.4000000000001</v>
          </cell>
          <cell r="H119">
            <v>0</v>
          </cell>
          <cell r="I119">
            <v>0.19797333333333331</v>
          </cell>
          <cell r="J119">
            <v>0.40313666666666664</v>
          </cell>
          <cell r="K119">
            <v>0.10896</v>
          </cell>
          <cell r="L119">
            <v>0.47976166666666664</v>
          </cell>
          <cell r="M119">
            <v>1.053655</v>
          </cell>
          <cell r="N119">
            <v>9.4050000000000002E-3</v>
          </cell>
          <cell r="O119">
            <v>0.10125666666666668</v>
          </cell>
          <cell r="P119">
            <v>5.3995000000000001E-2</v>
          </cell>
          <cell r="Q119">
            <v>7.2770000000000001E-2</v>
          </cell>
          <cell r="R119">
            <v>0.71006999999999998</v>
          </cell>
          <cell r="S119">
            <v>1.7708433333333335</v>
          </cell>
          <cell r="T119">
            <v>0</v>
          </cell>
          <cell r="U119">
            <v>0</v>
          </cell>
          <cell r="V119">
            <v>0</v>
          </cell>
          <cell r="W119">
            <v>2.4809133333333335</v>
          </cell>
        </row>
        <row r="120">
          <cell r="D120" t="str">
            <v>KCLL-67240B 1121</v>
          </cell>
          <cell r="E120" t="str">
            <v>KCLL67240</v>
          </cell>
          <cell r="F120" t="str">
            <v>KCLL67240</v>
          </cell>
          <cell r="G120">
            <v>73.908469999999994</v>
          </cell>
          <cell r="H120">
            <v>0</v>
          </cell>
          <cell r="I120">
            <v>1.7303333333333334E-2</v>
          </cell>
          <cell r="J120">
            <v>0</v>
          </cell>
          <cell r="K120">
            <v>0</v>
          </cell>
          <cell r="L120">
            <v>4.4274999999999995E-2</v>
          </cell>
          <cell r="M120">
            <v>0.18009333333333333</v>
          </cell>
          <cell r="N120">
            <v>2.0900000000000003E-3</v>
          </cell>
          <cell r="O120">
            <v>2.5601666666666668E-2</v>
          </cell>
          <cell r="P120">
            <v>1.4245000000000001E-2</v>
          </cell>
          <cell r="Q120">
            <v>5.7266666666666672E-3</v>
          </cell>
          <cell r="R120">
            <v>1.7303333333333334E-2</v>
          </cell>
          <cell r="S120">
            <v>0.27203166666666667</v>
          </cell>
          <cell r="T120">
            <v>0</v>
          </cell>
          <cell r="U120">
            <v>0</v>
          </cell>
          <cell r="V120">
            <v>0</v>
          </cell>
          <cell r="W120">
            <v>0.28933500000000001</v>
          </cell>
        </row>
        <row r="121">
          <cell r="D121" t="str">
            <v>KCLL-67SJ0A 0531</v>
          </cell>
          <cell r="E121" t="str">
            <v>KCLL67SJ0</v>
          </cell>
          <cell r="F121" t="str">
            <v>KCLL67SJ0</v>
          </cell>
          <cell r="G121">
            <v>85.668490000000006</v>
          </cell>
          <cell r="H121">
            <v>0</v>
          </cell>
          <cell r="I121">
            <v>1.7653333333333333E-2</v>
          </cell>
          <cell r="J121">
            <v>0.12042</v>
          </cell>
          <cell r="K121">
            <v>2.246666666666667E-2</v>
          </cell>
          <cell r="L121">
            <v>6.6845000000000002E-2</v>
          </cell>
          <cell r="M121">
            <v>6.5998333333333339E-2</v>
          </cell>
          <cell r="N121">
            <v>0</v>
          </cell>
          <cell r="O121">
            <v>1.7676666666666667E-2</v>
          </cell>
          <cell r="P121">
            <v>6.5166666666666671E-3</v>
          </cell>
          <cell r="Q121">
            <v>3.1333333333333335E-3</v>
          </cell>
          <cell r="R121">
            <v>0.16053999999999999</v>
          </cell>
          <cell r="S121">
            <v>0.16017000000000001</v>
          </cell>
          <cell r="T121">
            <v>0</v>
          </cell>
          <cell r="U121">
            <v>0</v>
          </cell>
          <cell r="V121">
            <v>0</v>
          </cell>
          <cell r="W121">
            <v>0.32071</v>
          </cell>
        </row>
        <row r="122">
          <cell r="D122" t="str">
            <v>KCLM-67030C 1811</v>
          </cell>
          <cell r="E122" t="str">
            <v>KCLM67030</v>
          </cell>
          <cell r="F122" t="str">
            <v>KCLM67030</v>
          </cell>
          <cell r="G122">
            <v>1281.4000000000001</v>
          </cell>
          <cell r="H122">
            <v>0</v>
          </cell>
          <cell r="I122">
            <v>0.20069666666666666</v>
          </cell>
          <cell r="J122">
            <v>0.4089483333333333</v>
          </cell>
          <cell r="K122">
            <v>0.10896</v>
          </cell>
          <cell r="L122">
            <v>0.4889283333333333</v>
          </cell>
          <cell r="M122">
            <v>1.0414749999999999</v>
          </cell>
          <cell r="N122">
            <v>9.4050000000000002E-3</v>
          </cell>
          <cell r="O122">
            <v>0.10151</v>
          </cell>
          <cell r="P122">
            <v>5.3591666666666669E-2</v>
          </cell>
          <cell r="Q122">
            <v>7.2448333333333323E-2</v>
          </cell>
          <cell r="R122">
            <v>0.71860499999999994</v>
          </cell>
          <cell r="S122">
            <v>1.7673583333333331</v>
          </cell>
          <cell r="T122">
            <v>0</v>
          </cell>
          <cell r="U122">
            <v>0</v>
          </cell>
          <cell r="V122">
            <v>0</v>
          </cell>
          <cell r="W122">
            <v>2.4859633333333333</v>
          </cell>
        </row>
        <row r="123">
          <cell r="D123" t="str">
            <v>KCLM-67120A 0511</v>
          </cell>
          <cell r="E123" t="str">
            <v>KCLM67120</v>
          </cell>
          <cell r="F123" t="str">
            <v>KCLM67120</v>
          </cell>
          <cell r="G123">
            <v>48.7</v>
          </cell>
          <cell r="H123">
            <v>0</v>
          </cell>
          <cell r="I123">
            <v>1.3583333333333333E-2</v>
          </cell>
          <cell r="J123">
            <v>1.1195E-2</v>
          </cell>
          <cell r="K123">
            <v>0</v>
          </cell>
          <cell r="L123">
            <v>2.7445000000000001E-2</v>
          </cell>
          <cell r="M123">
            <v>0.26471499999999998</v>
          </cell>
          <cell r="N123">
            <v>1.0450000000000001E-3</v>
          </cell>
          <cell r="O123">
            <v>2.2786666666666667E-2</v>
          </cell>
          <cell r="P123">
            <v>1.3300000000000001E-2</v>
          </cell>
          <cell r="Q123">
            <v>6.8516666666666674E-3</v>
          </cell>
          <cell r="R123">
            <v>2.4778333333333333E-2</v>
          </cell>
          <cell r="S123">
            <v>0.33614333333333329</v>
          </cell>
          <cell r="T123">
            <v>0</v>
          </cell>
          <cell r="U123">
            <v>0</v>
          </cell>
          <cell r="V123">
            <v>0</v>
          </cell>
          <cell r="W123">
            <v>0.36092166666666664</v>
          </cell>
        </row>
        <row r="124">
          <cell r="D124" t="str">
            <v>KCLM-67240A 1121</v>
          </cell>
          <cell r="E124" t="str">
            <v>KCLM67240</v>
          </cell>
          <cell r="F124" t="str">
            <v>KCLM67240</v>
          </cell>
          <cell r="G124">
            <v>74.900000000000006</v>
          </cell>
          <cell r="H124">
            <v>0</v>
          </cell>
          <cell r="I124">
            <v>1.7276666666666666E-2</v>
          </cell>
          <cell r="J124">
            <v>0</v>
          </cell>
          <cell r="K124">
            <v>0</v>
          </cell>
          <cell r="L124">
            <v>4.4274999999999995E-2</v>
          </cell>
          <cell r="M124">
            <v>0.18477333333333332</v>
          </cell>
          <cell r="N124">
            <v>2.0900000000000003E-3</v>
          </cell>
          <cell r="O124">
            <v>2.5608333333333334E-2</v>
          </cell>
          <cell r="P124">
            <v>1.4413333333333334E-2</v>
          </cell>
          <cell r="Q124">
            <v>5.8433333333333341E-3</v>
          </cell>
          <cell r="R124">
            <v>1.7276666666666666E-2</v>
          </cell>
          <cell r="S124">
            <v>0.27700333333333327</v>
          </cell>
          <cell r="T124">
            <v>0</v>
          </cell>
          <cell r="U124">
            <v>0</v>
          </cell>
          <cell r="V124">
            <v>0</v>
          </cell>
          <cell r="W124">
            <v>0.29427999999999993</v>
          </cell>
        </row>
        <row r="125">
          <cell r="D125" t="str">
            <v>KCLM-67SJ0A 0801</v>
          </cell>
          <cell r="E125" t="str">
            <v>KCLM67SJ0</v>
          </cell>
          <cell r="F125" t="str">
            <v>KCLM67SJ0</v>
          </cell>
          <cell r="G125">
            <v>86.2</v>
          </cell>
          <cell r="H125">
            <v>0</v>
          </cell>
          <cell r="I125">
            <v>1.7653333333333333E-2</v>
          </cell>
          <cell r="J125">
            <v>0.12042</v>
          </cell>
          <cell r="K125">
            <v>2.246666666666667E-2</v>
          </cell>
          <cell r="L125">
            <v>6.9835000000000008E-2</v>
          </cell>
          <cell r="M125">
            <v>6.5981666666666661E-2</v>
          </cell>
          <cell r="N125">
            <v>0</v>
          </cell>
          <cell r="O125">
            <v>1.8275E-2</v>
          </cell>
          <cell r="P125">
            <v>8.8500000000000002E-3</v>
          </cell>
          <cell r="Q125">
            <v>3.6650000000000003E-3</v>
          </cell>
          <cell r="R125">
            <v>0.16053999999999999</v>
          </cell>
          <cell r="S125">
            <v>0.16660666666666668</v>
          </cell>
          <cell r="T125">
            <v>0</v>
          </cell>
          <cell r="U125">
            <v>0</v>
          </cell>
          <cell r="V125">
            <v>0</v>
          </cell>
          <cell r="W125">
            <v>0.3271466666666667</v>
          </cell>
        </row>
        <row r="126">
          <cell r="D126" t="str">
            <v>KCLN-67120A 0511</v>
          </cell>
          <cell r="E126" t="str">
            <v>KCLN67120</v>
          </cell>
          <cell r="F126" t="str">
            <v>KCLN67120</v>
          </cell>
          <cell r="G126">
            <v>75.400000000000006</v>
          </cell>
          <cell r="H126">
            <v>0</v>
          </cell>
          <cell r="I126">
            <v>2.0071666666666665E-2</v>
          </cell>
          <cell r="J126">
            <v>2.3141666666666668E-2</v>
          </cell>
          <cell r="K126">
            <v>0</v>
          </cell>
          <cell r="L126">
            <v>4.1928333333333331E-2</v>
          </cell>
          <cell r="M126">
            <v>0.33599000000000001</v>
          </cell>
          <cell r="N126">
            <v>1.0450000000000001E-3</v>
          </cell>
          <cell r="O126">
            <v>2.6528333333333331E-2</v>
          </cell>
          <cell r="P126">
            <v>1.5405E-2</v>
          </cell>
          <cell r="Q126">
            <v>8.1966666666666663E-3</v>
          </cell>
          <cell r="R126">
            <v>4.3213333333333333E-2</v>
          </cell>
          <cell r="S126">
            <v>0.42909333333333338</v>
          </cell>
          <cell r="T126">
            <v>0</v>
          </cell>
          <cell r="U126">
            <v>0</v>
          </cell>
          <cell r="V126">
            <v>0</v>
          </cell>
          <cell r="W126">
            <v>0.47230666666666671</v>
          </cell>
        </row>
        <row r="127">
          <cell r="D127" t="str">
            <v>KCLN-67240A 1111</v>
          </cell>
          <cell r="E127" t="str">
            <v>KCLN67240</v>
          </cell>
          <cell r="F127" t="str">
            <v>KCLN67240</v>
          </cell>
          <cell r="G127">
            <v>64.8</v>
          </cell>
          <cell r="H127">
            <v>0</v>
          </cell>
          <cell r="I127">
            <v>1.423E-2</v>
          </cell>
          <cell r="J127">
            <v>0</v>
          </cell>
          <cell r="K127">
            <v>0</v>
          </cell>
          <cell r="L127">
            <v>3.5108333333333332E-2</v>
          </cell>
          <cell r="M127">
            <v>0.17157166666666665</v>
          </cell>
          <cell r="N127">
            <v>2.0900000000000003E-3</v>
          </cell>
          <cell r="O127">
            <v>2.3885E-2</v>
          </cell>
          <cell r="P127">
            <v>1.3608333333333333E-2</v>
          </cell>
          <cell r="Q127">
            <v>5.2933333333333331E-3</v>
          </cell>
          <cell r="R127">
            <v>1.423E-2</v>
          </cell>
          <cell r="S127">
            <v>0.25155666666666665</v>
          </cell>
          <cell r="T127">
            <v>0</v>
          </cell>
          <cell r="U127">
            <v>0</v>
          </cell>
          <cell r="V127">
            <v>0</v>
          </cell>
          <cell r="W127">
            <v>0.26578666666666667</v>
          </cell>
        </row>
        <row r="128">
          <cell r="D128" t="str">
            <v>KCLP-67120A 0511</v>
          </cell>
          <cell r="E128" t="str">
            <v>KCLP67120</v>
          </cell>
          <cell r="F128" t="str">
            <v>KCLP67120</v>
          </cell>
          <cell r="G128">
            <v>35</v>
          </cell>
          <cell r="H128">
            <v>0</v>
          </cell>
          <cell r="I128">
            <v>1.1658333333333333E-2</v>
          </cell>
          <cell r="J128">
            <v>5.933333333333333E-3</v>
          </cell>
          <cell r="K128">
            <v>0</v>
          </cell>
          <cell r="L128">
            <v>2.1761666666666669E-2</v>
          </cell>
          <cell r="M128">
            <v>0.26070833333333332</v>
          </cell>
          <cell r="N128">
            <v>1.0450000000000001E-3</v>
          </cell>
          <cell r="O128">
            <v>2.2619999999999998E-2</v>
          </cell>
          <cell r="P128">
            <v>1.3123333333333332E-2</v>
          </cell>
          <cell r="Q128">
            <v>6.7299999999999999E-3</v>
          </cell>
          <cell r="R128">
            <v>1.7591666666666665E-2</v>
          </cell>
          <cell r="S128">
            <v>0.32598833333333332</v>
          </cell>
          <cell r="T128">
            <v>0</v>
          </cell>
          <cell r="U128">
            <v>0</v>
          </cell>
          <cell r="V128">
            <v>0</v>
          </cell>
          <cell r="W128">
            <v>0.34358</v>
          </cell>
        </row>
        <row r="129">
          <cell r="D129" t="str">
            <v>KCLP-67240A 1121</v>
          </cell>
          <cell r="E129" t="str">
            <v>KCLP67240</v>
          </cell>
          <cell r="F129" t="str">
            <v>KCLP67240</v>
          </cell>
          <cell r="G129">
            <v>67.338520000000003</v>
          </cell>
          <cell r="H129">
            <v>0</v>
          </cell>
          <cell r="I129">
            <v>1.4628333333333333E-2</v>
          </cell>
          <cell r="J129">
            <v>0</v>
          </cell>
          <cell r="K129">
            <v>0</v>
          </cell>
          <cell r="L129">
            <v>3.7033333333333335E-2</v>
          </cell>
          <cell r="M129">
            <v>0.17205499999999999</v>
          </cell>
          <cell r="N129">
            <v>2.0900000000000003E-3</v>
          </cell>
          <cell r="O129">
            <v>2.402E-2</v>
          </cell>
          <cell r="P129">
            <v>1.3678333333333332E-2</v>
          </cell>
          <cell r="Q129">
            <v>5.4316666666666671E-3</v>
          </cell>
          <cell r="R129">
            <v>1.4628333333333333E-2</v>
          </cell>
          <cell r="S129">
            <v>0.2543083333333333</v>
          </cell>
          <cell r="T129">
            <v>0</v>
          </cell>
          <cell r="U129">
            <v>0</v>
          </cell>
          <cell r="V129">
            <v>0</v>
          </cell>
          <cell r="W129">
            <v>0.26893666666666666</v>
          </cell>
        </row>
        <row r="130">
          <cell r="D130" t="str">
            <v>KCLR-67240A 1121</v>
          </cell>
          <cell r="E130" t="str">
            <v>KCLR67240</v>
          </cell>
          <cell r="F130" t="str">
            <v>KCLR67240</v>
          </cell>
          <cell r="G130">
            <v>78.290019999999998</v>
          </cell>
          <cell r="H130">
            <v>0</v>
          </cell>
          <cell r="I130">
            <v>1.687E-2</v>
          </cell>
          <cell r="J130">
            <v>0</v>
          </cell>
          <cell r="K130">
            <v>0</v>
          </cell>
          <cell r="L130">
            <v>4.2258333333333328E-2</v>
          </cell>
          <cell r="M130">
            <v>0.18767333333333333</v>
          </cell>
          <cell r="N130">
            <v>2.0900000000000003E-3</v>
          </cell>
          <cell r="O130">
            <v>2.5528333333333333E-2</v>
          </cell>
          <cell r="P130">
            <v>1.4383333333333333E-2</v>
          </cell>
          <cell r="Q130">
            <v>5.8216666666666668E-3</v>
          </cell>
          <cell r="R130">
            <v>1.687E-2</v>
          </cell>
          <cell r="S130">
            <v>0.27775500000000003</v>
          </cell>
          <cell r="T130">
            <v>0</v>
          </cell>
          <cell r="U130">
            <v>0</v>
          </cell>
          <cell r="V130">
            <v>0</v>
          </cell>
          <cell r="W130">
            <v>0.29462500000000003</v>
          </cell>
        </row>
        <row r="131">
          <cell r="D131" t="str">
            <v>KCLS-67030C 1811</v>
          </cell>
          <cell r="E131" t="str">
            <v>KCLS67030</v>
          </cell>
          <cell r="F131" t="str">
            <v>KCLS67030</v>
          </cell>
          <cell r="G131">
            <v>1336.4</v>
          </cell>
          <cell r="H131">
            <v>0</v>
          </cell>
          <cell r="I131">
            <v>0.20596666666666669</v>
          </cell>
          <cell r="J131">
            <v>0.46055666666666667</v>
          </cell>
          <cell r="K131">
            <v>0.11542666666666666</v>
          </cell>
          <cell r="L131">
            <v>0.4979116666666667</v>
          </cell>
          <cell r="M131">
            <v>1.0535016666666666</v>
          </cell>
          <cell r="N131">
            <v>9.4050000000000002E-3</v>
          </cell>
          <cell r="O131">
            <v>0.10233166666666667</v>
          </cell>
          <cell r="P131">
            <v>5.4054999999999999E-2</v>
          </cell>
          <cell r="Q131">
            <v>7.2719999999999993E-2</v>
          </cell>
          <cell r="R131">
            <v>0.78195000000000003</v>
          </cell>
          <cell r="S131">
            <v>1.789925</v>
          </cell>
          <cell r="T131">
            <v>0</v>
          </cell>
          <cell r="U131">
            <v>0</v>
          </cell>
          <cell r="V131">
            <v>0</v>
          </cell>
          <cell r="W131">
            <v>2.5718749999999999</v>
          </cell>
        </row>
        <row r="132">
          <cell r="D132" t="str">
            <v>KCLS-67120A 0511</v>
          </cell>
          <cell r="E132" t="str">
            <v>KCLS67120</v>
          </cell>
          <cell r="F132" t="str">
            <v>KCLS67120</v>
          </cell>
          <cell r="G132">
            <v>53.1</v>
          </cell>
          <cell r="H132">
            <v>0</v>
          </cell>
          <cell r="I132">
            <v>1.5028333333333333E-2</v>
          </cell>
          <cell r="J132">
            <v>1.1195E-2</v>
          </cell>
          <cell r="K132">
            <v>0</v>
          </cell>
          <cell r="L132">
            <v>3.0928333333333332E-2</v>
          </cell>
          <cell r="M132">
            <v>0.28380666666666671</v>
          </cell>
          <cell r="N132">
            <v>1.0450000000000001E-3</v>
          </cell>
          <cell r="O132">
            <v>2.4218333333333335E-2</v>
          </cell>
          <cell r="P132">
            <v>1.4084999999999999E-2</v>
          </cell>
          <cell r="Q132">
            <v>7.2966666666666674E-3</v>
          </cell>
          <cell r="R132">
            <v>2.6223333333333335E-2</v>
          </cell>
          <cell r="S132">
            <v>0.36138000000000009</v>
          </cell>
          <cell r="T132">
            <v>0</v>
          </cell>
          <cell r="U132">
            <v>0</v>
          </cell>
          <cell r="V132">
            <v>0</v>
          </cell>
          <cell r="W132">
            <v>0.38760333333333341</v>
          </cell>
        </row>
        <row r="133">
          <cell r="D133" t="str">
            <v>KCLS-67240A 1121</v>
          </cell>
          <cell r="E133" t="str">
            <v>KCLS67240</v>
          </cell>
          <cell r="F133" t="str">
            <v>KCLS67240</v>
          </cell>
          <cell r="G133">
            <v>71.5</v>
          </cell>
          <cell r="H133">
            <v>0</v>
          </cell>
          <cell r="I133">
            <v>1.5405E-2</v>
          </cell>
          <cell r="J133">
            <v>0</v>
          </cell>
          <cell r="K133">
            <v>0</v>
          </cell>
          <cell r="L133">
            <v>3.8774999999999997E-2</v>
          </cell>
          <cell r="M133">
            <v>0.17318</v>
          </cell>
          <cell r="N133">
            <v>2.0900000000000003E-3</v>
          </cell>
          <cell r="O133">
            <v>2.4709999999999999E-2</v>
          </cell>
          <cell r="P133">
            <v>1.4071666666666668E-2</v>
          </cell>
          <cell r="Q133">
            <v>5.6100000000000004E-3</v>
          </cell>
          <cell r="R133">
            <v>1.5405E-2</v>
          </cell>
          <cell r="S133">
            <v>0.2584366666666667</v>
          </cell>
          <cell r="T133">
            <v>0</v>
          </cell>
          <cell r="U133">
            <v>0</v>
          </cell>
          <cell r="V133">
            <v>0</v>
          </cell>
          <cell r="W133">
            <v>0.27384166666666671</v>
          </cell>
        </row>
        <row r="134">
          <cell r="D134" t="str">
            <v>KCLT-67030C 1811</v>
          </cell>
          <cell r="E134" t="str">
            <v>KCLT67030</v>
          </cell>
          <cell r="F134" t="str">
            <v>KCLT67030</v>
          </cell>
          <cell r="G134">
            <v>1336.4</v>
          </cell>
          <cell r="H134">
            <v>0</v>
          </cell>
          <cell r="I134">
            <v>0.20666666666666667</v>
          </cell>
          <cell r="J134">
            <v>0.46055666666666667</v>
          </cell>
          <cell r="K134">
            <v>0.11542666666666666</v>
          </cell>
          <cell r="L134">
            <v>0.4979116666666667</v>
          </cell>
          <cell r="M134">
            <v>1.0837600000000001</v>
          </cell>
          <cell r="N134">
            <v>9.4050000000000002E-3</v>
          </cell>
          <cell r="O134">
            <v>0.10305833333333334</v>
          </cell>
          <cell r="P134">
            <v>5.4856666666666665E-2</v>
          </cell>
          <cell r="Q134">
            <v>7.5286666666666668E-2</v>
          </cell>
          <cell r="R134">
            <v>0.78264999999999996</v>
          </cell>
          <cell r="S134">
            <v>1.8242783333333337</v>
          </cell>
          <cell r="T134">
            <v>0</v>
          </cell>
          <cell r="U134">
            <v>0</v>
          </cell>
          <cell r="V134">
            <v>0</v>
          </cell>
          <cell r="W134">
            <v>2.6069283333333337</v>
          </cell>
        </row>
        <row r="135">
          <cell r="D135" t="str">
            <v>KCLT-67240A 1121</v>
          </cell>
          <cell r="E135" t="str">
            <v>KCLT67240</v>
          </cell>
          <cell r="F135" t="str">
            <v>KCLT67240</v>
          </cell>
          <cell r="G135">
            <v>70.508970000000005</v>
          </cell>
          <cell r="H135">
            <v>0</v>
          </cell>
          <cell r="I135">
            <v>1.5650000000000001E-2</v>
          </cell>
          <cell r="J135">
            <v>0</v>
          </cell>
          <cell r="K135">
            <v>0</v>
          </cell>
          <cell r="L135">
            <v>3.8774999999999997E-2</v>
          </cell>
          <cell r="M135">
            <v>0.17541500000000002</v>
          </cell>
          <cell r="N135">
            <v>2.0900000000000003E-3</v>
          </cell>
          <cell r="O135">
            <v>2.4704999999999998E-2</v>
          </cell>
          <cell r="P135">
            <v>1.3958333333333333E-2</v>
          </cell>
          <cell r="Q135">
            <v>5.5316666666666665E-3</v>
          </cell>
          <cell r="R135">
            <v>1.5650000000000001E-2</v>
          </cell>
          <cell r="S135">
            <v>0.26047500000000001</v>
          </cell>
          <cell r="T135">
            <v>0</v>
          </cell>
          <cell r="U135">
            <v>0</v>
          </cell>
          <cell r="V135">
            <v>0</v>
          </cell>
          <cell r="W135">
            <v>0.27612500000000001</v>
          </cell>
        </row>
        <row r="136">
          <cell r="D136" t="str">
            <v>KCLV-67240 1121</v>
          </cell>
          <cell r="E136" t="str">
            <v>KCLV67240</v>
          </cell>
          <cell r="F136" t="str">
            <v>KCLV67240</v>
          </cell>
          <cell r="G136">
            <v>62.961440000000003</v>
          </cell>
          <cell r="H136">
            <v>0</v>
          </cell>
          <cell r="I136">
            <v>1.5061666666666666E-2</v>
          </cell>
          <cell r="J136">
            <v>0</v>
          </cell>
          <cell r="K136">
            <v>0</v>
          </cell>
          <cell r="L136">
            <v>3.9050000000000001E-2</v>
          </cell>
          <cell r="M136">
            <v>0.16933333333333334</v>
          </cell>
          <cell r="N136">
            <v>2.0900000000000003E-3</v>
          </cell>
          <cell r="O136">
            <v>2.4094999999999998E-2</v>
          </cell>
          <cell r="P136">
            <v>1.3541666666666667E-2</v>
          </cell>
          <cell r="Q136">
            <v>5.338333333333333E-3</v>
          </cell>
          <cell r="R136">
            <v>1.5061666666666666E-2</v>
          </cell>
          <cell r="S136">
            <v>0.25344833333333333</v>
          </cell>
          <cell r="T136">
            <v>0</v>
          </cell>
          <cell r="U136">
            <v>0</v>
          </cell>
          <cell r="V136">
            <v>0</v>
          </cell>
          <cell r="W136">
            <v>0.26850999999999997</v>
          </cell>
        </row>
        <row r="137">
          <cell r="D137" t="str">
            <v>KCLW-67030C 1811</v>
          </cell>
          <cell r="E137" t="str">
            <v>KCLW67030</v>
          </cell>
          <cell r="F137" t="str">
            <v>KCLW67030</v>
          </cell>
          <cell r="G137">
            <v>1263.5999999999999</v>
          </cell>
          <cell r="H137">
            <v>0</v>
          </cell>
          <cell r="I137">
            <v>0.20169499999999999</v>
          </cell>
          <cell r="J137">
            <v>0.41971000000000003</v>
          </cell>
          <cell r="K137">
            <v>0.10896</v>
          </cell>
          <cell r="L137">
            <v>0.49076166666666665</v>
          </cell>
          <cell r="M137">
            <v>1.0565599999999999</v>
          </cell>
          <cell r="N137">
            <v>9.4050000000000002E-3</v>
          </cell>
          <cell r="O137">
            <v>0.10149666666666667</v>
          </cell>
          <cell r="P137">
            <v>5.3995000000000001E-2</v>
          </cell>
          <cell r="Q137">
            <v>7.2770000000000001E-2</v>
          </cell>
          <cell r="R137">
            <v>0.73036499999999993</v>
          </cell>
          <cell r="S137">
            <v>1.7849883333333332</v>
          </cell>
          <cell r="T137">
            <v>0</v>
          </cell>
          <cell r="U137">
            <v>0</v>
          </cell>
          <cell r="V137">
            <v>0</v>
          </cell>
          <cell r="W137">
            <v>2.5153533333333331</v>
          </cell>
        </row>
        <row r="138">
          <cell r="D138" t="str">
            <v>KCMA-67030C 1811</v>
          </cell>
          <cell r="E138" t="str">
            <v>KCMA67030</v>
          </cell>
          <cell r="F138" t="str">
            <v>KCMA67030</v>
          </cell>
          <cell r="G138">
            <v>1302.5999999999999</v>
          </cell>
          <cell r="H138">
            <v>0</v>
          </cell>
          <cell r="I138">
            <v>0.20441833333333334</v>
          </cell>
          <cell r="J138">
            <v>0.42552166666666669</v>
          </cell>
          <cell r="K138">
            <v>0.10896</v>
          </cell>
          <cell r="L138">
            <v>0.49992833333333331</v>
          </cell>
          <cell r="M138">
            <v>1.0443783333333334</v>
          </cell>
          <cell r="N138">
            <v>9.4050000000000002E-3</v>
          </cell>
          <cell r="O138">
            <v>0.10175000000000001</v>
          </cell>
          <cell r="P138">
            <v>5.3591666666666669E-2</v>
          </cell>
          <cell r="Q138">
            <v>7.2448333333333323E-2</v>
          </cell>
          <cell r="R138">
            <v>0.73890000000000011</v>
          </cell>
          <cell r="S138">
            <v>1.7815016666666668</v>
          </cell>
          <cell r="T138">
            <v>0</v>
          </cell>
          <cell r="U138">
            <v>0</v>
          </cell>
          <cell r="V138">
            <v>0</v>
          </cell>
          <cell r="W138">
            <v>2.5204016666666669</v>
          </cell>
        </row>
        <row r="139">
          <cell r="D139" t="str">
            <v>KCMC-67120A 0511</v>
          </cell>
          <cell r="E139" t="str">
            <v>KCMC67120</v>
          </cell>
          <cell r="F139" t="str">
            <v>KCMC67120</v>
          </cell>
          <cell r="G139">
            <v>47</v>
          </cell>
          <cell r="H139">
            <v>0</v>
          </cell>
          <cell r="I139">
            <v>1.4088333333333335E-2</v>
          </cell>
          <cell r="J139">
            <v>5.933333333333333E-3</v>
          </cell>
          <cell r="K139">
            <v>0</v>
          </cell>
          <cell r="L139">
            <v>2.7078333333333333E-2</v>
          </cell>
          <cell r="M139">
            <v>0.28712833333333332</v>
          </cell>
          <cell r="N139">
            <v>2.0900000000000003E-3</v>
          </cell>
          <cell r="O139">
            <v>2.6591666666666666E-2</v>
          </cell>
          <cell r="P139">
            <v>1.7103333333333335E-2</v>
          </cell>
          <cell r="Q139">
            <v>7.5016666666666669E-3</v>
          </cell>
          <cell r="R139">
            <v>2.0021666666666667E-2</v>
          </cell>
          <cell r="S139">
            <v>0.36749333333333334</v>
          </cell>
          <cell r="T139">
            <v>0</v>
          </cell>
          <cell r="U139">
            <v>0</v>
          </cell>
          <cell r="V139">
            <v>0</v>
          </cell>
          <cell r="W139">
            <v>0.387515</v>
          </cell>
        </row>
        <row r="140">
          <cell r="D140" t="str">
            <v>KCMD-67030C 1811</v>
          </cell>
          <cell r="E140" t="str">
            <v>KCMD67030</v>
          </cell>
          <cell r="F140" t="str">
            <v>KCMD67030</v>
          </cell>
          <cell r="G140">
            <v>1318.61744</v>
          </cell>
          <cell r="H140">
            <v>0</v>
          </cell>
          <cell r="I140">
            <v>0.20696666666666666</v>
          </cell>
          <cell r="J140">
            <v>0.47131833333333334</v>
          </cell>
          <cell r="K140">
            <v>0.11542666666666666</v>
          </cell>
          <cell r="L140">
            <v>0.49974499999999999</v>
          </cell>
          <cell r="M140">
            <v>1.0716483333333333</v>
          </cell>
          <cell r="N140">
            <v>9.4050000000000002E-3</v>
          </cell>
          <cell r="O140">
            <v>0.10231833333333333</v>
          </cell>
          <cell r="P140">
            <v>5.4458333333333338E-2</v>
          </cell>
          <cell r="Q140">
            <v>7.3043333333333335E-2</v>
          </cell>
          <cell r="R140">
            <v>0.7937116666666667</v>
          </cell>
          <cell r="S140">
            <v>1.8106183333333334</v>
          </cell>
          <cell r="T140">
            <v>0</v>
          </cell>
          <cell r="U140">
            <v>0</v>
          </cell>
          <cell r="V140">
            <v>0</v>
          </cell>
          <cell r="W140">
            <v>2.60433</v>
          </cell>
        </row>
        <row r="141">
          <cell r="D141" t="str">
            <v>KCMD-67120A 0511</v>
          </cell>
          <cell r="E141" t="str">
            <v>KCMD67120</v>
          </cell>
          <cell r="F141" t="str">
            <v>KCMD67120</v>
          </cell>
          <cell r="G141">
            <v>73.7</v>
          </cell>
          <cell r="H141">
            <v>0</v>
          </cell>
          <cell r="I141">
            <v>2.0579999999999998E-2</v>
          </cell>
          <cell r="J141">
            <v>1.788E-2</v>
          </cell>
          <cell r="K141">
            <v>0</v>
          </cell>
          <cell r="L141">
            <v>4.156166666666667E-2</v>
          </cell>
          <cell r="M141">
            <v>0.35985333333333336</v>
          </cell>
          <cell r="N141">
            <v>2.0900000000000003E-3</v>
          </cell>
          <cell r="O141">
            <v>3.0333333333333334E-2</v>
          </cell>
          <cell r="P141">
            <v>1.9208333333333334E-2</v>
          </cell>
          <cell r="Q141">
            <v>8.8466666666666676E-3</v>
          </cell>
          <cell r="R141">
            <v>3.8459999999999994E-2</v>
          </cell>
          <cell r="S141">
            <v>0.46189333333333332</v>
          </cell>
          <cell r="T141">
            <v>0</v>
          </cell>
          <cell r="U141">
            <v>0</v>
          </cell>
          <cell r="V141">
            <v>0</v>
          </cell>
          <cell r="W141">
            <v>0.50035333333333332</v>
          </cell>
        </row>
        <row r="142">
          <cell r="D142" t="str">
            <v>KCME-67030C 1811</v>
          </cell>
          <cell r="E142" t="str">
            <v>KCME67030</v>
          </cell>
          <cell r="F142" t="str">
            <v>KCME67030</v>
          </cell>
          <cell r="G142">
            <v>1357.6</v>
          </cell>
          <cell r="H142">
            <v>0</v>
          </cell>
          <cell r="I142">
            <v>0.20968833333333334</v>
          </cell>
          <cell r="J142">
            <v>0.47713</v>
          </cell>
          <cell r="K142">
            <v>0.11542666666666666</v>
          </cell>
          <cell r="L142">
            <v>0.50891166666666665</v>
          </cell>
          <cell r="M142">
            <v>1.056405</v>
          </cell>
          <cell r="N142">
            <v>9.4050000000000002E-3</v>
          </cell>
          <cell r="O142">
            <v>0.10257166666666667</v>
          </cell>
          <cell r="P142">
            <v>5.4054999999999999E-2</v>
          </cell>
          <cell r="Q142">
            <v>7.2719999999999993E-2</v>
          </cell>
          <cell r="R142">
            <v>0.80224499999999999</v>
          </cell>
          <cell r="S142">
            <v>1.8040683333333334</v>
          </cell>
          <cell r="T142">
            <v>0</v>
          </cell>
          <cell r="U142">
            <v>0</v>
          </cell>
          <cell r="V142">
            <v>0</v>
          </cell>
          <cell r="W142">
            <v>2.6063133333333335</v>
          </cell>
        </row>
        <row r="143">
          <cell r="D143" t="str">
            <v>KCME-67120A 0511</v>
          </cell>
          <cell r="E143" t="str">
            <v>KCME67120</v>
          </cell>
          <cell r="F143" t="str">
            <v>KCME67120</v>
          </cell>
          <cell r="G143">
            <v>65.099999999999994</v>
          </cell>
          <cell r="H143">
            <v>0</v>
          </cell>
          <cell r="I143">
            <v>1.7458333333333336E-2</v>
          </cell>
          <cell r="J143">
            <v>1.1195E-2</v>
          </cell>
          <cell r="K143">
            <v>0</v>
          </cell>
          <cell r="L143">
            <v>3.6244999999999999E-2</v>
          </cell>
          <cell r="M143">
            <v>0.31022666666666671</v>
          </cell>
          <cell r="N143">
            <v>2.0900000000000003E-3</v>
          </cell>
          <cell r="O143">
            <v>2.8188333333333333E-2</v>
          </cell>
          <cell r="P143">
            <v>1.8065000000000001E-2</v>
          </cell>
          <cell r="Q143">
            <v>8.0683333333333336E-3</v>
          </cell>
          <cell r="R143">
            <v>2.8653333333333336E-2</v>
          </cell>
          <cell r="S143">
            <v>0.40288333333333337</v>
          </cell>
          <cell r="T143">
            <v>0</v>
          </cell>
          <cell r="U143">
            <v>0</v>
          </cell>
          <cell r="V143">
            <v>0</v>
          </cell>
          <cell r="W143">
            <v>0.43153666666666668</v>
          </cell>
        </row>
        <row r="144">
          <cell r="D144" t="str">
            <v>KCMF-67030C 1811</v>
          </cell>
          <cell r="E144" t="str">
            <v>KCMF67030</v>
          </cell>
          <cell r="F144" t="str">
            <v>KCMF67030</v>
          </cell>
          <cell r="G144">
            <v>1357.6</v>
          </cell>
          <cell r="H144">
            <v>0</v>
          </cell>
          <cell r="I144">
            <v>0.21038833333333334</v>
          </cell>
          <cell r="J144">
            <v>0.47713</v>
          </cell>
          <cell r="K144">
            <v>0.11542666666666666</v>
          </cell>
          <cell r="L144">
            <v>0.50891166666666665</v>
          </cell>
          <cell r="M144">
            <v>1.0866633333333333</v>
          </cell>
          <cell r="N144">
            <v>9.4050000000000002E-3</v>
          </cell>
          <cell r="O144">
            <v>0.10329833333333333</v>
          </cell>
          <cell r="P144">
            <v>5.4856666666666665E-2</v>
          </cell>
          <cell r="Q144">
            <v>7.5286666666666668E-2</v>
          </cell>
          <cell r="R144">
            <v>0.80294500000000002</v>
          </cell>
          <cell r="S144">
            <v>1.8384216666666668</v>
          </cell>
          <cell r="T144">
            <v>0</v>
          </cell>
          <cell r="U144">
            <v>0</v>
          </cell>
          <cell r="V144">
            <v>0</v>
          </cell>
          <cell r="W144">
            <v>2.6413666666666669</v>
          </cell>
        </row>
        <row r="145">
          <cell r="D145" t="str">
            <v>KCMF-67120A 0511</v>
          </cell>
          <cell r="E145" t="str">
            <v>KCMF67120</v>
          </cell>
          <cell r="F145" t="str">
            <v>KCMF67120</v>
          </cell>
          <cell r="G145">
            <v>91.7</v>
          </cell>
          <cell r="H145">
            <v>0</v>
          </cell>
          <cell r="I145">
            <v>2.3950000000000003E-2</v>
          </cell>
          <cell r="J145">
            <v>2.3141666666666668E-2</v>
          </cell>
          <cell r="K145">
            <v>0</v>
          </cell>
          <cell r="L145">
            <v>5.0728333333333334E-2</v>
          </cell>
          <cell r="M145">
            <v>0.38117000000000001</v>
          </cell>
          <cell r="N145">
            <v>2.0900000000000003E-3</v>
          </cell>
          <cell r="O145">
            <v>3.193E-2</v>
          </cell>
          <cell r="P145">
            <v>2.017E-2</v>
          </cell>
          <cell r="Q145">
            <v>9.4133333333333326E-3</v>
          </cell>
          <cell r="R145">
            <v>4.7091666666666671E-2</v>
          </cell>
          <cell r="S145">
            <v>0.49550166666666667</v>
          </cell>
          <cell r="T145">
            <v>0</v>
          </cell>
          <cell r="U145">
            <v>0</v>
          </cell>
          <cell r="V145">
            <v>0</v>
          </cell>
          <cell r="W145">
            <v>0.54259333333333337</v>
          </cell>
        </row>
        <row r="146">
          <cell r="D146" t="str">
            <v>KCMG-67030B 0731</v>
          </cell>
          <cell r="E146" t="str">
            <v>KCMG67030</v>
          </cell>
          <cell r="F146" t="str">
            <v>KCMG67030</v>
          </cell>
          <cell r="G146">
            <v>1137</v>
          </cell>
          <cell r="H146">
            <v>0</v>
          </cell>
          <cell r="I146">
            <v>0.18081166666666665</v>
          </cell>
          <cell r="J146">
            <v>0.28481499999999998</v>
          </cell>
          <cell r="K146">
            <v>7.2929999999999995E-2</v>
          </cell>
          <cell r="L146">
            <v>0.45230833333333337</v>
          </cell>
          <cell r="M146">
            <v>1.0153283333333334</v>
          </cell>
          <cell r="N146">
            <v>9.4050000000000002E-3</v>
          </cell>
          <cell r="O146">
            <v>9.9341666666666661E-2</v>
          </cell>
          <cell r="P146">
            <v>5.1984999999999996E-2</v>
          </cell>
          <cell r="Q146">
            <v>6.5259999999999999E-2</v>
          </cell>
          <cell r="R146">
            <v>0.53855666666666657</v>
          </cell>
          <cell r="S146">
            <v>1.6936283333333335</v>
          </cell>
          <cell r="T146">
            <v>0</v>
          </cell>
          <cell r="U146">
            <v>0</v>
          </cell>
          <cell r="V146">
            <v>0</v>
          </cell>
          <cell r="W146">
            <v>2.2321850000000003</v>
          </cell>
        </row>
        <row r="147">
          <cell r="D147" t="str">
            <v>KCMJ-67030B 0731</v>
          </cell>
          <cell r="E147" t="str">
            <v>KCMJ67030</v>
          </cell>
          <cell r="F147" t="str">
            <v>KCMJ67030</v>
          </cell>
          <cell r="G147">
            <v>1191.3</v>
          </cell>
          <cell r="H147">
            <v>0</v>
          </cell>
          <cell r="I147">
            <v>0.18618833333333334</v>
          </cell>
          <cell r="J147">
            <v>0.33651833333333331</v>
          </cell>
          <cell r="K147">
            <v>7.9396666666666657E-2</v>
          </cell>
          <cell r="L147">
            <v>0.46129166666666666</v>
          </cell>
          <cell r="M147">
            <v>1.0422549999999999</v>
          </cell>
          <cell r="N147">
            <v>9.4050000000000002E-3</v>
          </cell>
          <cell r="O147">
            <v>0.10077</v>
          </cell>
          <cell r="P147">
            <v>5.2814999999999994E-2</v>
          </cell>
          <cell r="Q147">
            <v>6.5686666666666657E-2</v>
          </cell>
          <cell r="R147">
            <v>0.60210333333333332</v>
          </cell>
          <cell r="S147">
            <v>1.7322233333333334</v>
          </cell>
          <cell r="T147">
            <v>0</v>
          </cell>
          <cell r="U147">
            <v>0</v>
          </cell>
          <cell r="V147">
            <v>0</v>
          </cell>
          <cell r="W147">
            <v>2.3343266666666667</v>
          </cell>
        </row>
        <row r="148">
          <cell r="D148" t="str">
            <v>KCMJ-67120A 0511</v>
          </cell>
          <cell r="E148" t="str">
            <v>KCMJ67120</v>
          </cell>
          <cell r="F148" t="str">
            <v>KCMJ67120</v>
          </cell>
          <cell r="G148">
            <v>48.7</v>
          </cell>
          <cell r="H148">
            <v>0</v>
          </cell>
          <cell r="I148">
            <v>1.3583333333333333E-2</v>
          </cell>
          <cell r="J148">
            <v>1.1195E-2</v>
          </cell>
          <cell r="K148">
            <v>0</v>
          </cell>
          <cell r="L148">
            <v>2.7445000000000001E-2</v>
          </cell>
          <cell r="M148">
            <v>0.26066833333333334</v>
          </cell>
          <cell r="N148">
            <v>1.0450000000000001E-3</v>
          </cell>
          <cell r="O148">
            <v>2.2786666666666667E-2</v>
          </cell>
          <cell r="P148">
            <v>1.3300000000000001E-2</v>
          </cell>
          <cell r="Q148">
            <v>6.8516666666666674E-3</v>
          </cell>
          <cell r="R148">
            <v>2.4778333333333333E-2</v>
          </cell>
          <cell r="S148">
            <v>0.33209666666666665</v>
          </cell>
          <cell r="T148">
            <v>0</v>
          </cell>
          <cell r="U148">
            <v>0</v>
          </cell>
          <cell r="V148">
            <v>0</v>
          </cell>
          <cell r="W148">
            <v>0.356875</v>
          </cell>
        </row>
        <row r="149">
          <cell r="D149" t="str">
            <v>KCMK-67030B 0731</v>
          </cell>
          <cell r="E149" t="str">
            <v>KCMK67030</v>
          </cell>
          <cell r="F149" t="str">
            <v>KCMK67030</v>
          </cell>
          <cell r="G149">
            <v>1109.0999999999999</v>
          </cell>
          <cell r="H149">
            <v>0</v>
          </cell>
          <cell r="I149">
            <v>0.18078833333333336</v>
          </cell>
          <cell r="J149">
            <v>0.29418499999999997</v>
          </cell>
          <cell r="K149">
            <v>7.2929999999999995E-2</v>
          </cell>
          <cell r="L149">
            <v>0.45414166666666667</v>
          </cell>
          <cell r="M149">
            <v>1.0009749999999999</v>
          </cell>
          <cell r="N149">
            <v>9.4050000000000002E-3</v>
          </cell>
          <cell r="O149">
            <v>9.8596666666666666E-2</v>
          </cell>
          <cell r="P149">
            <v>5.1468333333333331E-2</v>
          </cell>
          <cell r="Q149">
            <v>6.2936666666666669E-2</v>
          </cell>
          <cell r="R149">
            <v>0.54790333333333341</v>
          </cell>
          <cell r="S149">
            <v>1.6775233333333333</v>
          </cell>
          <cell r="T149">
            <v>0</v>
          </cell>
          <cell r="U149">
            <v>0</v>
          </cell>
          <cell r="V149">
            <v>0</v>
          </cell>
          <cell r="W149">
            <v>2.2254266666666664</v>
          </cell>
        </row>
        <row r="150">
          <cell r="D150" t="str">
            <v>KCMN-67030B 0731</v>
          </cell>
          <cell r="E150" t="str">
            <v>KCMN67030</v>
          </cell>
          <cell r="F150" t="str">
            <v>KCMN67030</v>
          </cell>
          <cell r="G150">
            <v>1206.7</v>
          </cell>
          <cell r="H150">
            <v>0</v>
          </cell>
          <cell r="I150">
            <v>0.18975166666666665</v>
          </cell>
          <cell r="J150">
            <v>0.35179500000000002</v>
          </cell>
          <cell r="K150">
            <v>7.9396666666666657E-2</v>
          </cell>
          <cell r="L150">
            <v>0.47229166666666667</v>
          </cell>
          <cell r="M150">
            <v>1.0446216666666668</v>
          </cell>
          <cell r="N150">
            <v>9.4050000000000002E-3</v>
          </cell>
          <cell r="O150">
            <v>0.10101</v>
          </cell>
          <cell r="P150">
            <v>5.2814999999999994E-2</v>
          </cell>
          <cell r="Q150">
            <v>6.5686666666666657E-2</v>
          </cell>
          <cell r="R150">
            <v>0.62094333333333329</v>
          </cell>
          <cell r="S150">
            <v>1.7458300000000004</v>
          </cell>
          <cell r="T150">
            <v>0</v>
          </cell>
          <cell r="U150">
            <v>0</v>
          </cell>
          <cell r="V150">
            <v>0</v>
          </cell>
          <cell r="W150">
            <v>2.3667733333333336</v>
          </cell>
        </row>
        <row r="151">
          <cell r="D151" t="str">
            <v>KCMN-67120A 0511</v>
          </cell>
          <cell r="E151" t="str">
            <v>KCMN67120</v>
          </cell>
          <cell r="F151" t="str">
            <v>KCMN67120</v>
          </cell>
          <cell r="G151">
            <v>53.1</v>
          </cell>
          <cell r="H151">
            <v>0</v>
          </cell>
          <cell r="I151">
            <v>1.5028333333333333E-2</v>
          </cell>
          <cell r="J151">
            <v>1.1195E-2</v>
          </cell>
          <cell r="K151">
            <v>0</v>
          </cell>
          <cell r="L151">
            <v>3.0928333333333332E-2</v>
          </cell>
          <cell r="M151">
            <v>0.27975999999999995</v>
          </cell>
          <cell r="N151">
            <v>1.0450000000000001E-3</v>
          </cell>
          <cell r="O151">
            <v>2.4218333333333335E-2</v>
          </cell>
          <cell r="P151">
            <v>1.4084999999999999E-2</v>
          </cell>
          <cell r="Q151">
            <v>7.2966666666666674E-3</v>
          </cell>
          <cell r="R151">
            <v>2.6223333333333335E-2</v>
          </cell>
          <cell r="S151">
            <v>0.35733333333333334</v>
          </cell>
          <cell r="T151">
            <v>0</v>
          </cell>
          <cell r="U151">
            <v>0</v>
          </cell>
          <cell r="V151">
            <v>0</v>
          </cell>
          <cell r="W151">
            <v>0.38355666666666666</v>
          </cell>
        </row>
        <row r="152">
          <cell r="D152" t="str">
            <v>KCMP-67030B 0811</v>
          </cell>
          <cell r="E152" t="str">
            <v>KCMP67030</v>
          </cell>
          <cell r="F152" t="str">
            <v>KCMP67030</v>
          </cell>
          <cell r="G152">
            <v>1250.3</v>
          </cell>
          <cell r="H152">
            <v>0</v>
          </cell>
          <cell r="I152">
            <v>0.20074166666666665</v>
          </cell>
          <cell r="J152">
            <v>0.41797499999999999</v>
          </cell>
          <cell r="K152">
            <v>9.7753333333333331E-2</v>
          </cell>
          <cell r="L152">
            <v>0.49080833333333335</v>
          </cell>
          <cell r="M152">
            <v>1.0760966666666667</v>
          </cell>
          <cell r="N152">
            <v>9.4050000000000002E-3</v>
          </cell>
          <cell r="O152">
            <v>0.10274</v>
          </cell>
          <cell r="P152">
            <v>5.417333333333333E-2</v>
          </cell>
          <cell r="Q152">
            <v>7.2764999999999996E-2</v>
          </cell>
          <cell r="R152">
            <v>0.71646999999999994</v>
          </cell>
          <cell r="S152">
            <v>1.8059883333333335</v>
          </cell>
          <cell r="T152">
            <v>0</v>
          </cell>
          <cell r="U152">
            <v>0</v>
          </cell>
          <cell r="V152">
            <v>0</v>
          </cell>
          <cell r="W152">
            <v>2.5224583333333337</v>
          </cell>
        </row>
        <row r="153">
          <cell r="D153" t="str">
            <v>KCMP-67120A 0511</v>
          </cell>
          <cell r="E153" t="str">
            <v>KCMP67120</v>
          </cell>
          <cell r="F153" t="str">
            <v>KCMP67120</v>
          </cell>
          <cell r="G153">
            <v>79.8</v>
          </cell>
          <cell r="H153">
            <v>0</v>
          </cell>
          <cell r="I153">
            <v>2.1516666666666667E-2</v>
          </cell>
          <cell r="J153">
            <v>2.3141666666666668E-2</v>
          </cell>
          <cell r="K153">
            <v>0</v>
          </cell>
          <cell r="L153">
            <v>4.5411666666666663E-2</v>
          </cell>
          <cell r="M153">
            <v>0.35070000000000001</v>
          </cell>
          <cell r="N153">
            <v>1.0450000000000001E-3</v>
          </cell>
          <cell r="O153">
            <v>2.7959999999999999E-2</v>
          </cell>
          <cell r="P153">
            <v>1.619E-2</v>
          </cell>
          <cell r="Q153">
            <v>8.6400000000000001E-3</v>
          </cell>
          <cell r="R153">
            <v>4.4658333333333335E-2</v>
          </cell>
          <cell r="S153">
            <v>0.44994666666666666</v>
          </cell>
          <cell r="T153">
            <v>0</v>
          </cell>
          <cell r="U153">
            <v>0</v>
          </cell>
          <cell r="V153">
            <v>0</v>
          </cell>
          <cell r="W153">
            <v>0.49460500000000002</v>
          </cell>
        </row>
        <row r="154">
          <cell r="D154" t="str">
            <v>KCMR-67030B 0811</v>
          </cell>
          <cell r="E154" t="str">
            <v>KCMR67030</v>
          </cell>
          <cell r="F154" t="str">
            <v>KCMR67030</v>
          </cell>
          <cell r="G154">
            <v>1261.5</v>
          </cell>
          <cell r="H154">
            <v>0</v>
          </cell>
          <cell r="I154">
            <v>0.20252999999999999</v>
          </cell>
          <cell r="J154">
            <v>0.46377000000000002</v>
          </cell>
          <cell r="K154">
            <v>0.10421999999999999</v>
          </cell>
          <cell r="L154">
            <v>0.49062499999999998</v>
          </cell>
          <cell r="M154">
            <v>1.0871250000000001</v>
          </cell>
          <cell r="N154">
            <v>9.4050000000000002E-3</v>
          </cell>
          <cell r="O154">
            <v>0.103185</v>
          </cell>
          <cell r="P154">
            <v>5.4491666666666667E-2</v>
          </cell>
          <cell r="Q154">
            <v>7.0871666666666666E-2</v>
          </cell>
          <cell r="R154">
            <v>0.77051999999999998</v>
          </cell>
          <cell r="S154">
            <v>1.8157033333333334</v>
          </cell>
          <cell r="T154">
            <v>0</v>
          </cell>
          <cell r="U154">
            <v>0</v>
          </cell>
          <cell r="V154">
            <v>0</v>
          </cell>
          <cell r="W154">
            <v>2.5862233333333333</v>
          </cell>
        </row>
        <row r="155">
          <cell r="D155" t="str">
            <v>KCMS-67030B 0811</v>
          </cell>
          <cell r="E155" t="str">
            <v>KCMS67030</v>
          </cell>
          <cell r="F155" t="str">
            <v>KCMS67030</v>
          </cell>
          <cell r="G155">
            <v>1304.7</v>
          </cell>
          <cell r="H155">
            <v>0</v>
          </cell>
          <cell r="I155">
            <v>0.20611833333333335</v>
          </cell>
          <cell r="J155">
            <v>0.46967833333333336</v>
          </cell>
          <cell r="K155">
            <v>0.10421999999999999</v>
          </cell>
          <cell r="L155">
            <v>0.49979166666666669</v>
          </cell>
          <cell r="M155">
            <v>1.1038483333333333</v>
          </cell>
          <cell r="N155">
            <v>9.4050000000000002E-3</v>
          </cell>
          <cell r="O155">
            <v>0.10417000000000001</v>
          </cell>
          <cell r="P155">
            <v>5.5008333333333333E-2</v>
          </cell>
          <cell r="Q155">
            <v>7.3193333333333346E-2</v>
          </cell>
          <cell r="R155">
            <v>0.78001666666666669</v>
          </cell>
          <cell r="S155">
            <v>1.8454166666666669</v>
          </cell>
          <cell r="T155">
            <v>0</v>
          </cell>
          <cell r="U155">
            <v>0</v>
          </cell>
          <cell r="V155">
            <v>0</v>
          </cell>
          <cell r="W155">
            <v>2.6254333333333335</v>
          </cell>
        </row>
        <row r="156">
          <cell r="D156" t="str">
            <v>KCMT-67030B 0811</v>
          </cell>
          <cell r="E156" t="str">
            <v>KCMT67030</v>
          </cell>
          <cell r="F156" t="str">
            <v>KCMT67030</v>
          </cell>
          <cell r="G156">
            <v>1222.5</v>
          </cell>
          <cell r="H156">
            <v>0</v>
          </cell>
          <cell r="I156">
            <v>0.20071833333333336</v>
          </cell>
          <cell r="J156">
            <v>0.4273433333333333</v>
          </cell>
          <cell r="K156">
            <v>9.7753333333333331E-2</v>
          </cell>
          <cell r="L156">
            <v>0.49264166666666664</v>
          </cell>
          <cell r="M156">
            <v>1.0617416666666668</v>
          </cell>
          <cell r="N156">
            <v>9.4050000000000002E-3</v>
          </cell>
          <cell r="O156">
            <v>0.10199666666666667</v>
          </cell>
          <cell r="P156">
            <v>5.366166666666667E-2</v>
          </cell>
          <cell r="Q156">
            <v>7.0443333333333344E-2</v>
          </cell>
          <cell r="R156">
            <v>0.72581499999999999</v>
          </cell>
          <cell r="S156">
            <v>1.7898900000000004</v>
          </cell>
          <cell r="T156">
            <v>0</v>
          </cell>
          <cell r="U156">
            <v>0</v>
          </cell>
          <cell r="V156">
            <v>0</v>
          </cell>
          <cell r="W156">
            <v>2.5157050000000005</v>
          </cell>
        </row>
        <row r="157">
          <cell r="D157" t="str">
            <v>KCMV-67030B 0811</v>
          </cell>
          <cell r="E157" t="str">
            <v>KCMV67030</v>
          </cell>
          <cell r="F157" t="str">
            <v>KCMV67030</v>
          </cell>
          <cell r="G157">
            <v>1265.5999999999999</v>
          </cell>
          <cell r="H157">
            <v>0</v>
          </cell>
          <cell r="I157">
            <v>0.20430500000000001</v>
          </cell>
          <cell r="J157">
            <v>0.43325000000000002</v>
          </cell>
          <cell r="K157">
            <v>9.7753333333333331E-2</v>
          </cell>
          <cell r="L157">
            <v>0.5018083333333333</v>
          </cell>
          <cell r="M157">
            <v>1.0784633333333333</v>
          </cell>
          <cell r="N157">
            <v>9.4050000000000002E-3</v>
          </cell>
          <cell r="O157">
            <v>0.10298</v>
          </cell>
          <cell r="P157">
            <v>5.417333333333333E-2</v>
          </cell>
          <cell r="Q157">
            <v>7.2764999999999996E-2</v>
          </cell>
          <cell r="R157">
            <v>0.73530833333333345</v>
          </cell>
          <cell r="S157">
            <v>1.8195950000000001</v>
          </cell>
          <cell r="T157">
            <v>0</v>
          </cell>
          <cell r="U157">
            <v>0</v>
          </cell>
          <cell r="V157">
            <v>0</v>
          </cell>
          <cell r="W157">
            <v>2.5549033333333337</v>
          </cell>
        </row>
        <row r="158">
          <cell r="D158" t="str">
            <v>KCMW-67030B 0811</v>
          </cell>
          <cell r="E158" t="str">
            <v>KCMW67030</v>
          </cell>
          <cell r="F158" t="str">
            <v>KCMW67030</v>
          </cell>
          <cell r="G158">
            <v>1276.9000000000001</v>
          </cell>
          <cell r="H158">
            <v>0</v>
          </cell>
          <cell r="I158">
            <v>0.20609333333333335</v>
          </cell>
          <cell r="J158">
            <v>0.47904666666666668</v>
          </cell>
          <cell r="K158">
            <v>0.10421999999999999</v>
          </cell>
          <cell r="L158">
            <v>0.50162499999999999</v>
          </cell>
          <cell r="M158">
            <v>1.0894916666666667</v>
          </cell>
          <cell r="N158">
            <v>9.4050000000000002E-3</v>
          </cell>
          <cell r="O158">
            <v>0.103425</v>
          </cell>
          <cell r="P158">
            <v>5.4491666666666667E-2</v>
          </cell>
          <cell r="Q158">
            <v>7.0871666666666666E-2</v>
          </cell>
          <cell r="R158">
            <v>0.78936000000000006</v>
          </cell>
          <cell r="S158">
            <v>1.8293100000000002</v>
          </cell>
          <cell r="T158">
            <v>0</v>
          </cell>
          <cell r="U158">
            <v>0</v>
          </cell>
          <cell r="V158">
            <v>0</v>
          </cell>
          <cell r="W158">
            <v>2.6186700000000003</v>
          </cell>
        </row>
        <row r="159">
          <cell r="D159" t="str">
            <v>KCMW-67120A 0511</v>
          </cell>
          <cell r="E159" t="str">
            <v>KCMW67120</v>
          </cell>
          <cell r="F159" t="str">
            <v>KCMW67120</v>
          </cell>
          <cell r="G159">
            <v>47</v>
          </cell>
          <cell r="H159">
            <v>0</v>
          </cell>
          <cell r="I159">
            <v>1.4088333333333335E-2</v>
          </cell>
          <cell r="J159">
            <v>5.933333333333333E-3</v>
          </cell>
          <cell r="K159">
            <v>0</v>
          </cell>
          <cell r="L159">
            <v>2.7078333333333333E-2</v>
          </cell>
          <cell r="M159">
            <v>0.28308166666666668</v>
          </cell>
          <cell r="N159">
            <v>2.0900000000000003E-3</v>
          </cell>
          <cell r="O159">
            <v>2.6591666666666666E-2</v>
          </cell>
          <cell r="P159">
            <v>1.7103333333333335E-2</v>
          </cell>
          <cell r="Q159">
            <v>7.5016666666666669E-3</v>
          </cell>
          <cell r="R159">
            <v>2.0021666666666667E-2</v>
          </cell>
          <cell r="S159">
            <v>0.3634466666666667</v>
          </cell>
          <cell r="T159">
            <v>0</v>
          </cell>
          <cell r="U159">
            <v>0</v>
          </cell>
          <cell r="V159">
            <v>0</v>
          </cell>
          <cell r="W159">
            <v>0.38346833333333336</v>
          </cell>
        </row>
        <row r="160">
          <cell r="D160" t="str">
            <v>KCNA-67030B 0811</v>
          </cell>
          <cell r="E160" t="str">
            <v>KCNA67030</v>
          </cell>
          <cell r="F160" t="str">
            <v>KCNA67030</v>
          </cell>
          <cell r="G160">
            <v>1320</v>
          </cell>
          <cell r="H160">
            <v>0</v>
          </cell>
          <cell r="I160">
            <v>0.20968166666666666</v>
          </cell>
          <cell r="J160">
            <v>0.48495333333333335</v>
          </cell>
          <cell r="K160">
            <v>0.10421999999999999</v>
          </cell>
          <cell r="L160">
            <v>0.51079166666666664</v>
          </cell>
          <cell r="M160">
            <v>1.1062149999999999</v>
          </cell>
          <cell r="N160">
            <v>9.4050000000000002E-3</v>
          </cell>
          <cell r="O160">
            <v>0.10440999999999999</v>
          </cell>
          <cell r="P160">
            <v>5.5008333333333333E-2</v>
          </cell>
          <cell r="Q160">
            <v>7.3193333333333346E-2</v>
          </cell>
          <cell r="R160">
            <v>0.79885499999999998</v>
          </cell>
          <cell r="S160">
            <v>1.8590233333333335</v>
          </cell>
          <cell r="T160">
            <v>0</v>
          </cell>
          <cell r="U160">
            <v>0</v>
          </cell>
          <cell r="V160">
            <v>0</v>
          </cell>
          <cell r="W160">
            <v>2.6578783333333336</v>
          </cell>
        </row>
        <row r="161">
          <cell r="D161" t="str">
            <v>KCNB-67030A 1261</v>
          </cell>
          <cell r="E161" t="str">
            <v>KCNB67030</v>
          </cell>
          <cell r="F161" t="str">
            <v>KCNB67030</v>
          </cell>
          <cell r="G161">
            <v>1173.8</v>
          </cell>
          <cell r="H161">
            <v>0</v>
          </cell>
          <cell r="I161">
            <v>0.17913666666666667</v>
          </cell>
          <cell r="J161">
            <v>0.26659166666666667</v>
          </cell>
          <cell r="K161">
            <v>8.7933333333333336E-2</v>
          </cell>
          <cell r="L161">
            <v>0.44126166666666666</v>
          </cell>
          <cell r="M161">
            <v>1.0104649999999999</v>
          </cell>
          <cell r="N161">
            <v>9.4050000000000002E-3</v>
          </cell>
          <cell r="O161">
            <v>9.8601666666666671E-2</v>
          </cell>
          <cell r="P161">
            <v>5.2335E-2</v>
          </cell>
          <cell r="Q161">
            <v>6.7596666666666666E-2</v>
          </cell>
          <cell r="R161">
            <v>0.5336616666666667</v>
          </cell>
          <cell r="S161">
            <v>1.6796650000000002</v>
          </cell>
          <cell r="T161">
            <v>0</v>
          </cell>
          <cell r="U161">
            <v>0</v>
          </cell>
          <cell r="V161">
            <v>0</v>
          </cell>
          <cell r="W161">
            <v>2.2133266666666671</v>
          </cell>
        </row>
        <row r="162">
          <cell r="D162" t="str">
            <v>KCNB-67120A 0511</v>
          </cell>
          <cell r="E162" t="str">
            <v>KCNB67120</v>
          </cell>
          <cell r="F162" t="str">
            <v>KCNB67120</v>
          </cell>
          <cell r="G162">
            <v>65.099999999999994</v>
          </cell>
          <cell r="H162">
            <v>0</v>
          </cell>
          <cell r="I162">
            <v>1.7458333333333336E-2</v>
          </cell>
          <cell r="J162">
            <v>1.1195E-2</v>
          </cell>
          <cell r="K162">
            <v>0</v>
          </cell>
          <cell r="L162">
            <v>3.6244999999999999E-2</v>
          </cell>
          <cell r="M162">
            <v>0.30618000000000001</v>
          </cell>
          <cell r="N162">
            <v>2.0900000000000003E-3</v>
          </cell>
          <cell r="O162">
            <v>2.8188333333333333E-2</v>
          </cell>
          <cell r="P162">
            <v>1.8065000000000001E-2</v>
          </cell>
          <cell r="Q162">
            <v>8.0683333333333336E-3</v>
          </cell>
          <cell r="R162">
            <v>2.8653333333333336E-2</v>
          </cell>
          <cell r="S162">
            <v>0.39883666666666662</v>
          </cell>
          <cell r="T162">
            <v>0</v>
          </cell>
          <cell r="U162">
            <v>0</v>
          </cell>
          <cell r="V162">
            <v>0</v>
          </cell>
          <cell r="W162">
            <v>0.42748999999999993</v>
          </cell>
        </row>
        <row r="163">
          <cell r="D163" t="str">
            <v>KCNC-67120A 0511</v>
          </cell>
          <cell r="E163" t="str">
            <v>KCNC67120</v>
          </cell>
          <cell r="F163" t="str">
            <v>KCNC67120</v>
          </cell>
          <cell r="G163">
            <v>91.7</v>
          </cell>
          <cell r="H163">
            <v>0</v>
          </cell>
          <cell r="I163">
            <v>2.3950000000000003E-2</v>
          </cell>
          <cell r="J163">
            <v>2.3141666666666668E-2</v>
          </cell>
          <cell r="K163">
            <v>0</v>
          </cell>
          <cell r="L163">
            <v>5.0728333333333334E-2</v>
          </cell>
          <cell r="M163">
            <v>0.37712333333333337</v>
          </cell>
          <cell r="N163">
            <v>2.0900000000000003E-3</v>
          </cell>
          <cell r="O163">
            <v>3.193E-2</v>
          </cell>
          <cell r="P163">
            <v>2.017E-2</v>
          </cell>
          <cell r="Q163">
            <v>9.4133333333333326E-3</v>
          </cell>
          <cell r="R163">
            <v>4.7091666666666671E-2</v>
          </cell>
          <cell r="S163">
            <v>0.49145500000000003</v>
          </cell>
          <cell r="T163">
            <v>0</v>
          </cell>
          <cell r="U163">
            <v>0</v>
          </cell>
          <cell r="V163">
            <v>0</v>
          </cell>
          <cell r="W163">
            <v>0.53854666666666673</v>
          </cell>
        </row>
        <row r="164">
          <cell r="D164" t="str">
            <v>KCND-67030A 1261</v>
          </cell>
          <cell r="E164" t="str">
            <v>KCND67030</v>
          </cell>
          <cell r="F164" t="str">
            <v>KCND67030</v>
          </cell>
          <cell r="G164">
            <v>1228.8</v>
          </cell>
          <cell r="H164">
            <v>0</v>
          </cell>
          <cell r="I164">
            <v>0.18440833333333334</v>
          </cell>
          <cell r="J164">
            <v>0.31819999999999998</v>
          </cell>
          <cell r="K164">
            <v>9.4399999999999998E-2</v>
          </cell>
          <cell r="L164">
            <v>0.45024500000000001</v>
          </cell>
          <cell r="M164">
            <v>1.0224916666666666</v>
          </cell>
          <cell r="N164">
            <v>9.4050000000000002E-3</v>
          </cell>
          <cell r="O164">
            <v>9.9423333333333336E-2</v>
          </cell>
          <cell r="P164">
            <v>5.2798333333333329E-2</v>
          </cell>
          <cell r="Q164">
            <v>6.787E-2</v>
          </cell>
          <cell r="R164">
            <v>0.59700833333333336</v>
          </cell>
          <cell r="S164">
            <v>1.7022333333333335</v>
          </cell>
          <cell r="T164">
            <v>0</v>
          </cell>
          <cell r="U164">
            <v>0</v>
          </cell>
          <cell r="V164">
            <v>0</v>
          </cell>
          <cell r="W164">
            <v>2.2992416666666671</v>
          </cell>
        </row>
        <row r="165">
          <cell r="D165" t="str">
            <v>KCNE-67030A 1261</v>
          </cell>
          <cell r="E165" t="str">
            <v>KCNE67030</v>
          </cell>
          <cell r="F165" t="str">
            <v>KCNE67030</v>
          </cell>
          <cell r="G165">
            <v>1147.3</v>
          </cell>
          <cell r="H165">
            <v>0</v>
          </cell>
          <cell r="I165">
            <v>0.17917833333333333</v>
          </cell>
          <cell r="J165">
            <v>0.27058166666666666</v>
          </cell>
          <cell r="K165">
            <v>8.7933333333333336E-2</v>
          </cell>
          <cell r="L165">
            <v>0.44309499999999996</v>
          </cell>
          <cell r="M165">
            <v>0.99807666666666661</v>
          </cell>
          <cell r="N165">
            <v>9.4050000000000002E-3</v>
          </cell>
          <cell r="O165">
            <v>9.7943333333333327E-2</v>
          </cell>
          <cell r="P165">
            <v>5.1941666666666664E-2</v>
          </cell>
          <cell r="Q165">
            <v>6.5353333333333333E-2</v>
          </cell>
          <cell r="R165">
            <v>0.53769333333333336</v>
          </cell>
          <cell r="S165">
            <v>1.6658149999999998</v>
          </cell>
          <cell r="T165">
            <v>0</v>
          </cell>
          <cell r="U165">
            <v>0</v>
          </cell>
          <cell r="V165">
            <v>0</v>
          </cell>
          <cell r="W165">
            <v>2.2035083333333332</v>
          </cell>
        </row>
        <row r="166">
          <cell r="D166" t="str">
            <v>KCNF-67030A 1261</v>
          </cell>
          <cell r="E166" t="str">
            <v>KCNF67030</v>
          </cell>
          <cell r="F166" t="str">
            <v>KCNF67030</v>
          </cell>
          <cell r="G166">
            <v>1186.2</v>
          </cell>
          <cell r="H166">
            <v>0</v>
          </cell>
          <cell r="I166">
            <v>0.18259999999999998</v>
          </cell>
          <cell r="J166">
            <v>0.27639333333333332</v>
          </cell>
          <cell r="K166">
            <v>8.7933333333333336E-2</v>
          </cell>
          <cell r="L166">
            <v>0.45226166666666667</v>
          </cell>
          <cell r="M166">
            <v>1.01309</v>
          </cell>
          <cell r="N166">
            <v>9.4050000000000002E-3</v>
          </cell>
          <cell r="O166">
            <v>9.8921666666666658E-2</v>
          </cell>
          <cell r="P166">
            <v>5.2335E-2</v>
          </cell>
          <cell r="Q166">
            <v>6.7596666666666666E-2</v>
          </cell>
          <cell r="R166">
            <v>0.54692666666666667</v>
          </cell>
          <cell r="S166">
            <v>1.6936100000000003</v>
          </cell>
          <cell r="T166">
            <v>0</v>
          </cell>
          <cell r="U166">
            <v>0</v>
          </cell>
          <cell r="V166">
            <v>0</v>
          </cell>
          <cell r="W166">
            <v>2.2405366666666668</v>
          </cell>
        </row>
        <row r="167">
          <cell r="D167" t="str">
            <v>KCNH-67030A 1261</v>
          </cell>
          <cell r="E167" t="str">
            <v>KCNH67030</v>
          </cell>
          <cell r="F167" t="str">
            <v>KCNH67030</v>
          </cell>
          <cell r="G167">
            <v>1241.2</v>
          </cell>
          <cell r="H167">
            <v>0</v>
          </cell>
          <cell r="I167">
            <v>0.18787166666666666</v>
          </cell>
          <cell r="J167">
            <v>0.32800166666666664</v>
          </cell>
          <cell r="K167">
            <v>9.4399999999999998E-2</v>
          </cell>
          <cell r="L167">
            <v>0.46124500000000002</v>
          </cell>
          <cell r="M167">
            <v>1.0251166666666667</v>
          </cell>
          <cell r="N167">
            <v>9.4050000000000002E-3</v>
          </cell>
          <cell r="O167">
            <v>9.9743333333333337E-2</v>
          </cell>
          <cell r="P167">
            <v>5.2798333333333329E-2</v>
          </cell>
          <cell r="Q167">
            <v>6.787E-2</v>
          </cell>
          <cell r="R167">
            <v>0.61027333333333333</v>
          </cell>
          <cell r="S167">
            <v>1.7161783333333336</v>
          </cell>
          <cell r="T167">
            <v>0</v>
          </cell>
          <cell r="U167">
            <v>0</v>
          </cell>
          <cell r="V167">
            <v>0</v>
          </cell>
          <cell r="W167">
            <v>2.3264516666666668</v>
          </cell>
        </row>
        <row r="168">
          <cell r="D168" t="str">
            <v>KCNM-67030A 1261</v>
          </cell>
          <cell r="E168" t="str">
            <v>KCNM67030</v>
          </cell>
          <cell r="F168" t="str">
            <v>KCNM67030</v>
          </cell>
          <cell r="G168">
            <v>1262.4000000000001</v>
          </cell>
          <cell r="H168">
            <v>0</v>
          </cell>
          <cell r="I168">
            <v>0.19159333333333334</v>
          </cell>
          <cell r="J168">
            <v>0.3445766666666667</v>
          </cell>
          <cell r="K168">
            <v>9.4399999999999998E-2</v>
          </cell>
          <cell r="L168">
            <v>0.47224500000000003</v>
          </cell>
          <cell r="M168">
            <v>1.0280199999999999</v>
          </cell>
          <cell r="N168">
            <v>9.4050000000000002E-3</v>
          </cell>
          <cell r="O168">
            <v>9.9983333333333327E-2</v>
          </cell>
          <cell r="P168">
            <v>5.2798333333333329E-2</v>
          </cell>
          <cell r="Q168">
            <v>6.787E-2</v>
          </cell>
          <cell r="R168">
            <v>0.63057000000000007</v>
          </cell>
          <cell r="S168">
            <v>1.7303216666666668</v>
          </cell>
          <cell r="T168">
            <v>0</v>
          </cell>
          <cell r="U168">
            <v>0</v>
          </cell>
          <cell r="V168">
            <v>0</v>
          </cell>
          <cell r="W168">
            <v>2.3608916666666668</v>
          </cell>
        </row>
        <row r="169">
          <cell r="D169" t="str">
            <v>KCNW-67120A 0511</v>
          </cell>
          <cell r="E169" t="str">
            <v>KCNW67120</v>
          </cell>
          <cell r="F169" t="str">
            <v>KCNW67120</v>
          </cell>
          <cell r="G169">
            <v>211.6</v>
          </cell>
          <cell r="H169">
            <v>0</v>
          </cell>
          <cell r="I169">
            <v>4.02E-2</v>
          </cell>
          <cell r="J169">
            <v>2.3141666666666668E-2</v>
          </cell>
          <cell r="K169">
            <v>0</v>
          </cell>
          <cell r="L169">
            <v>9.3208333333333337E-2</v>
          </cell>
          <cell r="M169">
            <v>0.50441000000000003</v>
          </cell>
          <cell r="N169">
            <v>2.0900000000000003E-3</v>
          </cell>
          <cell r="O169">
            <v>3.9891666666666666E-2</v>
          </cell>
          <cell r="P169">
            <v>2.360333333333333E-2</v>
          </cell>
          <cell r="Q169">
            <v>1.6743333333333332E-2</v>
          </cell>
          <cell r="R169">
            <v>6.3341666666666671E-2</v>
          </cell>
          <cell r="S169">
            <v>0.6799466666666667</v>
          </cell>
          <cell r="T169">
            <v>0</v>
          </cell>
          <cell r="U169">
            <v>0</v>
          </cell>
          <cell r="V169">
            <v>0</v>
          </cell>
          <cell r="W169">
            <v>0.74328833333333333</v>
          </cell>
        </row>
        <row r="170">
          <cell r="D170" t="str">
            <v>KCPH-67120A 0511</v>
          </cell>
          <cell r="E170" t="str">
            <v>KCPH67120</v>
          </cell>
          <cell r="F170" t="str">
            <v>KCPH67120</v>
          </cell>
          <cell r="G170">
            <v>201.9</v>
          </cell>
          <cell r="H170">
            <v>0</v>
          </cell>
          <cell r="I170">
            <v>3.8335000000000001E-2</v>
          </cell>
          <cell r="J170">
            <v>2.3141666666666668E-2</v>
          </cell>
          <cell r="K170">
            <v>0</v>
          </cell>
          <cell r="L170">
            <v>8.9724999999999999E-2</v>
          </cell>
          <cell r="M170">
            <v>0.47985666666666665</v>
          </cell>
          <cell r="N170">
            <v>2.0900000000000003E-3</v>
          </cell>
          <cell r="O170">
            <v>3.7853333333333329E-2</v>
          </cell>
          <cell r="P170">
            <v>2.0171666666666664E-2</v>
          </cell>
          <cell r="Q170">
            <v>1.6160000000000001E-2</v>
          </cell>
          <cell r="R170">
            <v>6.1476666666666666E-2</v>
          </cell>
          <cell r="S170">
            <v>0.64585666666666663</v>
          </cell>
          <cell r="T170">
            <v>0</v>
          </cell>
          <cell r="U170">
            <v>0</v>
          </cell>
          <cell r="V170">
            <v>0</v>
          </cell>
          <cell r="W170">
            <v>0.70733333333333326</v>
          </cell>
        </row>
        <row r="171">
          <cell r="D171" t="str">
            <v>KCPM-67120A 0511</v>
          </cell>
          <cell r="E171" t="str">
            <v>KCPM67120</v>
          </cell>
          <cell r="F171" t="str">
            <v>KCPM67120</v>
          </cell>
          <cell r="G171">
            <v>207.21870000000001</v>
          </cell>
          <cell r="H171">
            <v>0</v>
          </cell>
          <cell r="I171">
            <v>3.8756666666666668E-2</v>
          </cell>
          <cell r="J171">
            <v>2.3141666666666668E-2</v>
          </cell>
          <cell r="K171">
            <v>0</v>
          </cell>
          <cell r="L171">
            <v>8.9724999999999999E-2</v>
          </cell>
          <cell r="M171">
            <v>0.48160500000000001</v>
          </cell>
          <cell r="N171">
            <v>2.0900000000000003E-3</v>
          </cell>
          <cell r="O171">
            <v>3.8460000000000001E-2</v>
          </cell>
          <cell r="P171">
            <v>2.2818333333333333E-2</v>
          </cell>
          <cell r="Q171">
            <v>1.6298333333333335E-2</v>
          </cell>
          <cell r="R171">
            <v>6.1898333333333333E-2</v>
          </cell>
          <cell r="S171">
            <v>0.65099666666666678</v>
          </cell>
          <cell r="T171">
            <v>0</v>
          </cell>
          <cell r="U171">
            <v>0</v>
          </cell>
          <cell r="V171">
            <v>0</v>
          </cell>
          <cell r="W171">
            <v>0.71289500000000006</v>
          </cell>
        </row>
        <row r="172">
          <cell r="D172" t="str">
            <v>KCPS-67120A 0511</v>
          </cell>
          <cell r="E172" t="str">
            <v>KCPS67120</v>
          </cell>
          <cell r="F172" t="str">
            <v>KCPS67120</v>
          </cell>
          <cell r="G172">
            <v>211.6</v>
          </cell>
          <cell r="H172">
            <v>0</v>
          </cell>
          <cell r="I172">
            <v>4.02E-2</v>
          </cell>
          <cell r="J172">
            <v>2.3141666666666668E-2</v>
          </cell>
          <cell r="K172">
            <v>0</v>
          </cell>
          <cell r="L172">
            <v>9.3208333333333337E-2</v>
          </cell>
          <cell r="M172">
            <v>0.50036333333333327</v>
          </cell>
          <cell r="N172">
            <v>2.0900000000000003E-3</v>
          </cell>
          <cell r="O172">
            <v>3.9891666666666666E-2</v>
          </cell>
          <cell r="P172">
            <v>2.360333333333333E-2</v>
          </cell>
          <cell r="Q172">
            <v>1.6743333333333332E-2</v>
          </cell>
          <cell r="R172">
            <v>6.3341666666666671E-2</v>
          </cell>
          <cell r="S172">
            <v>0.67589999999999995</v>
          </cell>
          <cell r="T172">
            <v>0</v>
          </cell>
          <cell r="U172">
            <v>0</v>
          </cell>
          <cell r="V172">
            <v>0</v>
          </cell>
          <cell r="W172">
            <v>0.73924166666666657</v>
          </cell>
        </row>
        <row r="173">
          <cell r="D173" t="str">
            <v>KCPT-67030B 0731</v>
          </cell>
          <cell r="E173" t="str">
            <v>KCPT67030</v>
          </cell>
          <cell r="F173" t="str">
            <v>KCPT67030</v>
          </cell>
          <cell r="G173">
            <v>1082.9000000000001</v>
          </cell>
          <cell r="H173">
            <v>0</v>
          </cell>
          <cell r="I173">
            <v>0.17432333333333333</v>
          </cell>
          <cell r="J173">
            <v>0.26907000000000003</v>
          </cell>
          <cell r="K173">
            <v>7.2929999999999995E-2</v>
          </cell>
          <cell r="L173">
            <v>0.433975</v>
          </cell>
          <cell r="M173">
            <v>0.99657666666666667</v>
          </cell>
          <cell r="N173">
            <v>9.4050000000000002E-3</v>
          </cell>
          <cell r="O173">
            <v>9.8116666666666658E-2</v>
          </cell>
          <cell r="P173">
            <v>5.1468333333333331E-2</v>
          </cell>
          <cell r="Q173">
            <v>6.2936666666666669E-2</v>
          </cell>
          <cell r="R173">
            <v>0.51632333333333336</v>
          </cell>
          <cell r="S173">
            <v>1.6524783333333333</v>
          </cell>
          <cell r="T173">
            <v>0</v>
          </cell>
          <cell r="U173">
            <v>0</v>
          </cell>
          <cell r="V173">
            <v>0</v>
          </cell>
          <cell r="W173">
            <v>2.1688016666666665</v>
          </cell>
        </row>
        <row r="174">
          <cell r="D174" t="str">
            <v>KCPT-67120A 0511</v>
          </cell>
          <cell r="E174" t="str">
            <v>KCPT67120</v>
          </cell>
          <cell r="F174" t="str">
            <v>KCPT67120</v>
          </cell>
          <cell r="G174">
            <v>30.6</v>
          </cell>
          <cell r="H174">
            <v>0</v>
          </cell>
          <cell r="I174">
            <v>9.0366666666666668E-3</v>
          </cell>
          <cell r="J174">
            <v>5.933333333333333E-3</v>
          </cell>
          <cell r="K174">
            <v>0</v>
          </cell>
          <cell r="L174">
            <v>1.6500000000000001E-2</v>
          </cell>
          <cell r="M174">
            <v>0.18338499999999999</v>
          </cell>
          <cell r="N174">
            <v>1.0450000000000001E-3</v>
          </cell>
          <cell r="O174">
            <v>1.7979999999999999E-2</v>
          </cell>
          <cell r="P174">
            <v>1.0215E-2</v>
          </cell>
          <cell r="Q174">
            <v>5.0200000000000002E-3</v>
          </cell>
          <cell r="R174">
            <v>1.4970000000000001E-2</v>
          </cell>
          <cell r="S174">
            <v>0.23414499999999996</v>
          </cell>
          <cell r="T174">
            <v>0</v>
          </cell>
          <cell r="U174">
            <v>0</v>
          </cell>
          <cell r="V174">
            <v>0</v>
          </cell>
          <cell r="W174">
            <v>0.24911499999999998</v>
          </cell>
        </row>
        <row r="175">
          <cell r="D175" t="str">
            <v>KCPV-67030B 0731</v>
          </cell>
          <cell r="E175" t="str">
            <v>KCPV67030</v>
          </cell>
          <cell r="F175" t="str">
            <v>KCPV67030</v>
          </cell>
          <cell r="G175">
            <v>1126.0999999999999</v>
          </cell>
          <cell r="H175">
            <v>0</v>
          </cell>
          <cell r="I175">
            <v>0.17791166666666666</v>
          </cell>
          <cell r="J175">
            <v>0.27497833333333332</v>
          </cell>
          <cell r="K175">
            <v>7.2929999999999995E-2</v>
          </cell>
          <cell r="L175">
            <v>0.44314166666666666</v>
          </cell>
          <cell r="M175">
            <v>1.0132950000000001</v>
          </cell>
          <cell r="N175">
            <v>9.4050000000000002E-3</v>
          </cell>
          <cell r="O175">
            <v>9.9101666666666671E-2</v>
          </cell>
          <cell r="P175">
            <v>5.1984999999999996E-2</v>
          </cell>
          <cell r="Q175">
            <v>6.5259999999999999E-2</v>
          </cell>
          <cell r="R175">
            <v>0.52581999999999995</v>
          </cell>
          <cell r="S175">
            <v>1.6821883333333336</v>
          </cell>
          <cell r="T175">
            <v>0</v>
          </cell>
          <cell r="U175">
            <v>0</v>
          </cell>
          <cell r="V175">
            <v>0</v>
          </cell>
          <cell r="W175">
            <v>2.2080083333333338</v>
          </cell>
        </row>
        <row r="176">
          <cell r="D176" t="str">
            <v>KCRA-67030B 0731</v>
          </cell>
          <cell r="E176" t="str">
            <v>KCRA67030</v>
          </cell>
          <cell r="F176" t="str">
            <v>KCRA67030</v>
          </cell>
          <cell r="G176">
            <v>1180.4000000000001</v>
          </cell>
          <cell r="H176">
            <v>0</v>
          </cell>
          <cell r="I176">
            <v>0.18328833333333333</v>
          </cell>
          <cell r="J176">
            <v>0.32668166666666665</v>
          </cell>
          <cell r="K176">
            <v>7.9396666666666657E-2</v>
          </cell>
          <cell r="L176">
            <v>0.452125</v>
          </cell>
          <cell r="M176">
            <v>1.0402216666666666</v>
          </cell>
          <cell r="N176">
            <v>9.4050000000000002E-3</v>
          </cell>
          <cell r="O176">
            <v>0.10052999999999999</v>
          </cell>
          <cell r="P176">
            <v>5.2814999999999994E-2</v>
          </cell>
          <cell r="Q176">
            <v>6.5686666666666657E-2</v>
          </cell>
          <cell r="R176">
            <v>0.58936666666666671</v>
          </cell>
          <cell r="S176">
            <v>1.7207833333333336</v>
          </cell>
          <cell r="T176">
            <v>0</v>
          </cell>
          <cell r="U176">
            <v>0</v>
          </cell>
          <cell r="V176">
            <v>0</v>
          </cell>
          <cell r="W176">
            <v>2.3101500000000001</v>
          </cell>
        </row>
        <row r="177">
          <cell r="D177" t="str">
            <v>KCSP-67030 1221</v>
          </cell>
          <cell r="E177" t="str">
            <v>KCSP67030</v>
          </cell>
          <cell r="F177" t="str">
            <v>KCSP67030</v>
          </cell>
          <cell r="G177">
            <v>1209.8</v>
          </cell>
          <cell r="H177">
            <v>0</v>
          </cell>
          <cell r="I177">
            <v>0.18393499999999999</v>
          </cell>
          <cell r="J177">
            <v>0.29550999999999999</v>
          </cell>
          <cell r="K177">
            <v>8.7933333333333336E-2</v>
          </cell>
          <cell r="L177">
            <v>0.45736666666666664</v>
          </cell>
          <cell r="M177">
            <v>1.004645</v>
          </cell>
          <cell r="N177">
            <v>9.4050000000000002E-3</v>
          </cell>
          <cell r="O177">
            <v>9.8923333333333321E-2</v>
          </cell>
          <cell r="P177">
            <v>5.2488333333333338E-2</v>
          </cell>
          <cell r="Q177">
            <v>6.5591666666666673E-2</v>
          </cell>
          <cell r="R177">
            <v>0.56737833333333332</v>
          </cell>
          <cell r="S177">
            <v>1.68842</v>
          </cell>
          <cell r="T177">
            <v>0</v>
          </cell>
          <cell r="U177">
            <v>0</v>
          </cell>
          <cell r="V177">
            <v>0</v>
          </cell>
          <cell r="W177">
            <v>2.2557983333333333</v>
          </cell>
        </row>
        <row r="178">
          <cell r="D178" t="str">
            <v>KCSR-67030 1811</v>
          </cell>
          <cell r="E178" t="str">
            <v>KCSR67030</v>
          </cell>
          <cell r="F178" t="str">
            <v>KCSR67030</v>
          </cell>
          <cell r="G178">
            <v>1241.0999999999999</v>
          </cell>
          <cell r="H178">
            <v>0</v>
          </cell>
          <cell r="I178">
            <v>0.19008833333333333</v>
          </cell>
          <cell r="J178">
            <v>0.29459999999999997</v>
          </cell>
          <cell r="K178">
            <v>9.6205000000000013E-2</v>
          </cell>
          <cell r="L178">
            <v>0.46928333333333333</v>
          </cell>
          <cell r="M178">
            <v>1.0541399999999999</v>
          </cell>
          <cell r="N178">
            <v>9.4050000000000002E-3</v>
          </cell>
          <cell r="O178">
            <v>0.10167666666666667</v>
          </cell>
          <cell r="P178">
            <v>5.4543333333333339E-2</v>
          </cell>
          <cell r="Q178">
            <v>7.3010000000000005E-2</v>
          </cell>
          <cell r="R178">
            <v>0.58089333333333326</v>
          </cell>
          <cell r="S178">
            <v>1.7620583333333333</v>
          </cell>
          <cell r="T178">
            <v>0</v>
          </cell>
          <cell r="U178">
            <v>0</v>
          </cell>
          <cell r="V178">
            <v>0</v>
          </cell>
          <cell r="W178">
            <v>2.3429516666666665</v>
          </cell>
        </row>
        <row r="179">
          <cell r="D179" t="str">
            <v>KDVE-67030 0921</v>
          </cell>
          <cell r="E179" t="str">
            <v>KDVE67030</v>
          </cell>
          <cell r="F179" t="str">
            <v>KDVE67030</v>
          </cell>
          <cell r="G179">
            <v>1556.7</v>
          </cell>
          <cell r="H179">
            <v>36.132599999999996</v>
          </cell>
          <cell r="I179">
            <v>0.21000500000000002</v>
          </cell>
          <cell r="J179">
            <v>0.41001166666666666</v>
          </cell>
          <cell r="K179">
            <v>8.3908333333333335E-2</v>
          </cell>
          <cell r="L179">
            <v>0.53912499999999997</v>
          </cell>
          <cell r="M179">
            <v>1.1097233333333334</v>
          </cell>
          <cell r="N179">
            <v>1.3585000000000002E-2</v>
          </cell>
          <cell r="O179">
            <v>0.11447166666666667</v>
          </cell>
          <cell r="P179">
            <v>8.0670000000000006E-2</v>
          </cell>
          <cell r="Q179">
            <v>8.493666666666666E-2</v>
          </cell>
          <cell r="R179">
            <v>0.70392500000000002</v>
          </cell>
          <cell r="S179">
            <v>1.9425116666666669</v>
          </cell>
          <cell r="T179">
            <v>2.6813333333333328E-2</v>
          </cell>
          <cell r="U179">
            <v>0</v>
          </cell>
          <cell r="V179">
            <v>0</v>
          </cell>
          <cell r="W179">
            <v>2.6732499999999999</v>
          </cell>
        </row>
        <row r="180">
          <cell r="D180" t="str">
            <v>KDVN-67030 0921</v>
          </cell>
          <cell r="E180" t="str">
            <v>KDVN67030</v>
          </cell>
          <cell r="F180" t="str">
            <v>KDVN67030</v>
          </cell>
          <cell r="G180">
            <v>1706</v>
          </cell>
          <cell r="H180">
            <v>36.132599999999996</v>
          </cell>
          <cell r="I180">
            <v>0.22769333333333333</v>
          </cell>
          <cell r="J180">
            <v>0.55314000000000008</v>
          </cell>
          <cell r="K180">
            <v>8.3908333333333335E-2</v>
          </cell>
          <cell r="L180">
            <v>0.58890166666666666</v>
          </cell>
          <cell r="M180">
            <v>1.141095</v>
          </cell>
          <cell r="N180">
            <v>1.4630000000000001E-2</v>
          </cell>
          <cell r="O180">
            <v>0.11847500000000001</v>
          </cell>
          <cell r="P180">
            <v>8.2405000000000006E-2</v>
          </cell>
          <cell r="Q180">
            <v>8.7966666666666665E-2</v>
          </cell>
          <cell r="R180">
            <v>0.86474166666666674</v>
          </cell>
          <cell r="S180">
            <v>2.0334733333333332</v>
          </cell>
          <cell r="T180">
            <v>2.6813333333333328E-2</v>
          </cell>
          <cell r="U180">
            <v>0</v>
          </cell>
          <cell r="V180">
            <v>0</v>
          </cell>
          <cell r="W180">
            <v>2.9250283333333331</v>
          </cell>
        </row>
        <row r="181">
          <cell r="D181" t="str">
            <v>KDWB-67030 0921</v>
          </cell>
          <cell r="E181" t="str">
            <v>KDWB67030</v>
          </cell>
          <cell r="F181" t="str">
            <v>KDWB67030</v>
          </cell>
          <cell r="G181">
            <v>1866.1</v>
          </cell>
          <cell r="H181">
            <v>36.132599999999996</v>
          </cell>
          <cell r="I181">
            <v>0.23242833333333335</v>
          </cell>
          <cell r="J181">
            <v>0.58732166666666663</v>
          </cell>
          <cell r="K181">
            <v>0.11945166666666666</v>
          </cell>
          <cell r="L181">
            <v>0.59413166666666661</v>
          </cell>
          <cell r="M181">
            <v>1.1858816666666667</v>
          </cell>
          <cell r="N181">
            <v>1.4630000000000001E-2</v>
          </cell>
          <cell r="O181">
            <v>0.124155</v>
          </cell>
          <cell r="P181">
            <v>8.7815000000000004E-2</v>
          </cell>
          <cell r="Q181">
            <v>9.1593333333333332E-2</v>
          </cell>
          <cell r="R181">
            <v>0.9392016666666666</v>
          </cell>
          <cell r="S181">
            <v>2.0982066666666666</v>
          </cell>
          <cell r="T181">
            <v>2.6813333333333328E-2</v>
          </cell>
          <cell r="U181">
            <v>0</v>
          </cell>
          <cell r="V181">
            <v>0</v>
          </cell>
          <cell r="W181">
            <v>3.0642216666666662</v>
          </cell>
        </row>
        <row r="182">
          <cell r="D182" t="str">
            <v>KDWD-67030 0921</v>
          </cell>
          <cell r="E182" t="str">
            <v>KDWD67030</v>
          </cell>
          <cell r="F182" t="str">
            <v>KDWD67030</v>
          </cell>
          <cell r="G182">
            <v>1898.4</v>
          </cell>
          <cell r="H182">
            <v>36.132599999999996</v>
          </cell>
          <cell r="I182">
            <v>0.23552999999999999</v>
          </cell>
          <cell r="J182">
            <v>0.58973833333333336</v>
          </cell>
          <cell r="K182">
            <v>0.13117499999999999</v>
          </cell>
          <cell r="L182">
            <v>0.59917333333333334</v>
          </cell>
          <cell r="M182">
            <v>1.2126633333333332</v>
          </cell>
          <cell r="N182">
            <v>1.4630000000000001E-2</v>
          </cell>
          <cell r="O182">
            <v>0.12648166666666666</v>
          </cell>
          <cell r="P182">
            <v>8.8986666666666672E-2</v>
          </cell>
          <cell r="Q182">
            <v>9.6244999999999997E-2</v>
          </cell>
          <cell r="R182">
            <v>0.95644333333333331</v>
          </cell>
          <cell r="S182">
            <v>2.1381799999999997</v>
          </cell>
          <cell r="T182">
            <v>2.6813333333333328E-2</v>
          </cell>
          <cell r="U182">
            <v>0</v>
          </cell>
          <cell r="V182">
            <v>0</v>
          </cell>
          <cell r="W182">
            <v>3.121436666666666</v>
          </cell>
        </row>
        <row r="183">
          <cell r="D183" t="str">
            <v>KDWJ-67030 0921</v>
          </cell>
          <cell r="E183" t="str">
            <v>KDWJ67030</v>
          </cell>
          <cell r="F183" t="str">
            <v>KDWJ67030</v>
          </cell>
          <cell r="G183">
            <v>1796.9</v>
          </cell>
          <cell r="H183">
            <v>36.132599999999996</v>
          </cell>
          <cell r="I183">
            <v>0.22627666666666665</v>
          </cell>
          <cell r="J183">
            <v>0.57786166666666672</v>
          </cell>
          <cell r="K183">
            <v>0.10230833333333332</v>
          </cell>
          <cell r="L183">
            <v>0.58368166666666665</v>
          </cell>
          <cell r="M183">
            <v>1.1620566666666667</v>
          </cell>
          <cell r="N183">
            <v>1.4630000000000001E-2</v>
          </cell>
          <cell r="O183">
            <v>0.12094333333333333</v>
          </cell>
          <cell r="P183">
            <v>8.4291666666666668E-2</v>
          </cell>
          <cell r="Q183">
            <v>8.8965000000000002E-2</v>
          </cell>
          <cell r="R183">
            <v>0.90644666666666673</v>
          </cell>
          <cell r="S183">
            <v>2.0545683333333336</v>
          </cell>
          <cell r="T183">
            <v>2.6813333333333328E-2</v>
          </cell>
          <cell r="U183">
            <v>0</v>
          </cell>
          <cell r="V183">
            <v>0</v>
          </cell>
          <cell r="W183">
            <v>2.9878283333333333</v>
          </cell>
        </row>
        <row r="184">
          <cell r="D184" t="str">
            <v>KEFW-67030 1221</v>
          </cell>
          <cell r="E184" t="str">
            <v>KEFW67030</v>
          </cell>
          <cell r="F184" t="str">
            <v>KEFW67030</v>
          </cell>
          <cell r="G184">
            <v>1248.7</v>
          </cell>
          <cell r="H184">
            <v>0</v>
          </cell>
          <cell r="I184">
            <v>0.18735833333333335</v>
          </cell>
          <cell r="J184">
            <v>0.30132166666666665</v>
          </cell>
          <cell r="K184">
            <v>8.7933333333333336E-2</v>
          </cell>
          <cell r="L184">
            <v>0.46653333333333336</v>
          </cell>
          <cell r="M184">
            <v>1.01966</v>
          </cell>
          <cell r="N184">
            <v>9.4050000000000002E-3</v>
          </cell>
          <cell r="O184">
            <v>9.990166666666668E-2</v>
          </cell>
          <cell r="P184">
            <v>5.2883333333333331E-2</v>
          </cell>
          <cell r="Q184">
            <v>6.783666666666667E-2</v>
          </cell>
          <cell r="R184">
            <v>0.57661333333333331</v>
          </cell>
          <cell r="S184">
            <v>1.7162200000000005</v>
          </cell>
          <cell r="T184">
            <v>0</v>
          </cell>
          <cell r="U184">
            <v>0</v>
          </cell>
          <cell r="V184">
            <v>0</v>
          </cell>
          <cell r="W184">
            <v>2.2928333333333337</v>
          </cell>
        </row>
        <row r="185">
          <cell r="D185" t="str">
            <v>KEGA-67030 1811</v>
          </cell>
          <cell r="E185" t="str">
            <v>KEGA67030</v>
          </cell>
          <cell r="F185" t="str">
            <v>KEGA67030</v>
          </cell>
          <cell r="G185">
            <v>1280</v>
          </cell>
          <cell r="H185">
            <v>0</v>
          </cell>
          <cell r="I185">
            <v>0.19350833333333334</v>
          </cell>
          <cell r="J185">
            <v>0.30041166666666663</v>
          </cell>
          <cell r="K185">
            <v>9.6205000000000013E-2</v>
          </cell>
          <cell r="L185">
            <v>0.47844999999999999</v>
          </cell>
          <cell r="M185">
            <v>1.0691533333333332</v>
          </cell>
          <cell r="N185">
            <v>9.4050000000000002E-3</v>
          </cell>
          <cell r="O185">
            <v>0.102655</v>
          </cell>
          <cell r="P185">
            <v>5.4938333333333332E-2</v>
          </cell>
          <cell r="Q185">
            <v>7.5255000000000002E-2</v>
          </cell>
          <cell r="R185">
            <v>0.59012500000000001</v>
          </cell>
          <cell r="S185">
            <v>1.7898566666666667</v>
          </cell>
          <cell r="T185">
            <v>0</v>
          </cell>
          <cell r="U185">
            <v>0</v>
          </cell>
          <cell r="V185">
            <v>0</v>
          </cell>
          <cell r="W185">
            <v>2.3799816666666667</v>
          </cell>
        </row>
        <row r="186">
          <cell r="D186" t="str">
            <v>KEGD-67030 1221</v>
          </cell>
          <cell r="E186" t="str">
            <v>KEGD67030</v>
          </cell>
          <cell r="F186" t="str">
            <v>KEGD67030</v>
          </cell>
          <cell r="G186">
            <v>1303.7</v>
          </cell>
          <cell r="H186">
            <v>0</v>
          </cell>
          <cell r="I186">
            <v>0.19262833333333335</v>
          </cell>
          <cell r="J186">
            <v>0.35292999999999997</v>
          </cell>
          <cell r="K186">
            <v>9.4399999999999998E-2</v>
          </cell>
          <cell r="L186">
            <v>0.47551666666666664</v>
          </cell>
          <cell r="M186">
            <v>1.0316866666666666</v>
          </cell>
          <cell r="N186">
            <v>9.4050000000000002E-3</v>
          </cell>
          <cell r="O186">
            <v>0.10072333333333333</v>
          </cell>
          <cell r="P186">
            <v>5.3344999999999997E-2</v>
          </cell>
          <cell r="Q186">
            <v>6.810833333333334E-2</v>
          </cell>
          <cell r="R186">
            <v>0.63995833333333341</v>
          </cell>
          <cell r="S186">
            <v>1.738785</v>
          </cell>
          <cell r="T186">
            <v>0</v>
          </cell>
          <cell r="U186">
            <v>0</v>
          </cell>
          <cell r="V186">
            <v>0</v>
          </cell>
          <cell r="W186">
            <v>2.3787433333333334</v>
          </cell>
        </row>
        <row r="187">
          <cell r="D187" t="str">
            <v>KEGE-67030 1811</v>
          </cell>
          <cell r="E187" t="str">
            <v>KEGE67030</v>
          </cell>
          <cell r="F187" t="str">
            <v>KEGE67030</v>
          </cell>
          <cell r="G187">
            <v>1335</v>
          </cell>
          <cell r="H187">
            <v>0</v>
          </cell>
          <cell r="I187">
            <v>0.19878166666666666</v>
          </cell>
          <cell r="J187">
            <v>0.35202000000000006</v>
          </cell>
          <cell r="K187">
            <v>0.10267166666666667</v>
          </cell>
          <cell r="L187">
            <v>0.48743333333333333</v>
          </cell>
          <cell r="M187">
            <v>1.0842416666666668</v>
          </cell>
          <cell r="N187">
            <v>9.4050000000000002E-3</v>
          </cell>
          <cell r="O187">
            <v>0.10347833333333334</v>
          </cell>
          <cell r="P187">
            <v>5.5403333333333332E-2</v>
          </cell>
          <cell r="Q187">
            <v>7.5526666666666673E-2</v>
          </cell>
          <cell r="R187">
            <v>0.65347333333333346</v>
          </cell>
          <cell r="S187">
            <v>1.8154883333333336</v>
          </cell>
          <cell r="T187">
            <v>0</v>
          </cell>
          <cell r="U187">
            <v>0</v>
          </cell>
          <cell r="V187">
            <v>0</v>
          </cell>
          <cell r="W187">
            <v>2.4689616666666669</v>
          </cell>
        </row>
        <row r="188">
          <cell r="D188" t="str">
            <v>KEGK-67120 0441</v>
          </cell>
          <cell r="E188" t="str">
            <v>KEGK67120</v>
          </cell>
          <cell r="F188" t="str">
            <v>KEGK67120</v>
          </cell>
          <cell r="G188">
            <v>29.8</v>
          </cell>
          <cell r="H188">
            <v>0</v>
          </cell>
          <cell r="I188">
            <v>9.5516666666666684E-3</v>
          </cell>
          <cell r="J188">
            <v>5.2800000000000008E-3</v>
          </cell>
          <cell r="K188">
            <v>0</v>
          </cell>
          <cell r="L188">
            <v>1.6500000000000001E-2</v>
          </cell>
          <cell r="M188">
            <v>0.21309666666666666</v>
          </cell>
          <cell r="N188">
            <v>1.0450000000000001E-3</v>
          </cell>
          <cell r="O188">
            <v>1.8710000000000001E-2</v>
          </cell>
          <cell r="P188">
            <v>1.0985E-2</v>
          </cell>
          <cell r="Q188">
            <v>5.6366666666666666E-3</v>
          </cell>
          <cell r="R188">
            <v>1.483166666666667E-2</v>
          </cell>
          <cell r="S188">
            <v>0.26597333333333334</v>
          </cell>
          <cell r="T188">
            <v>0</v>
          </cell>
          <cell r="U188">
            <v>0</v>
          </cell>
          <cell r="V188">
            <v>0</v>
          </cell>
          <cell r="W188">
            <v>0.28080500000000003</v>
          </cell>
        </row>
        <row r="189">
          <cell r="D189" t="str">
            <v>KEGP-67120 0441</v>
          </cell>
          <cell r="E189" t="str">
            <v>KEGP67120</v>
          </cell>
          <cell r="F189" t="str">
            <v>KEGP67120</v>
          </cell>
          <cell r="G189">
            <v>34.1</v>
          </cell>
          <cell r="H189">
            <v>0</v>
          </cell>
          <cell r="I189">
            <v>1.1011666666666666E-2</v>
          </cell>
          <cell r="J189">
            <v>5.2800000000000008E-3</v>
          </cell>
          <cell r="K189">
            <v>0</v>
          </cell>
          <cell r="L189">
            <v>2.1761666666666669E-2</v>
          </cell>
          <cell r="M189">
            <v>0.23748666666666668</v>
          </cell>
          <cell r="N189">
            <v>1.0450000000000001E-3</v>
          </cell>
          <cell r="O189">
            <v>2.0799999999999999E-2</v>
          </cell>
          <cell r="P189">
            <v>1.2119999999999999E-2</v>
          </cell>
          <cell r="Q189">
            <v>6.3200000000000001E-3</v>
          </cell>
          <cell r="R189">
            <v>1.6291666666666666E-2</v>
          </cell>
          <cell r="S189">
            <v>0.29953333333333337</v>
          </cell>
          <cell r="T189">
            <v>0</v>
          </cell>
          <cell r="U189">
            <v>0</v>
          </cell>
          <cell r="V189">
            <v>0</v>
          </cell>
          <cell r="W189">
            <v>0.31582500000000002</v>
          </cell>
        </row>
        <row r="190">
          <cell r="D190" t="str">
            <v>KEGS-67120 0441</v>
          </cell>
          <cell r="E190" t="str">
            <v>KEGS67120</v>
          </cell>
          <cell r="F190" t="str">
            <v>KEGS67120</v>
          </cell>
          <cell r="G190">
            <v>52.1</v>
          </cell>
          <cell r="H190">
            <v>0</v>
          </cell>
          <cell r="I190">
            <v>1.4373333333333333E-2</v>
          </cell>
          <cell r="J190">
            <v>1.0534999999999999E-2</v>
          </cell>
          <cell r="K190">
            <v>0</v>
          </cell>
          <cell r="L190">
            <v>3.0928333333333332E-2</v>
          </cell>
          <cell r="M190">
            <v>0.25983333333333331</v>
          </cell>
          <cell r="N190">
            <v>1.0450000000000001E-3</v>
          </cell>
          <cell r="O190">
            <v>2.2398333333333336E-2</v>
          </cell>
          <cell r="P190">
            <v>1.3075E-2</v>
          </cell>
          <cell r="Q190">
            <v>6.8799999999999998E-3</v>
          </cell>
          <cell r="R190">
            <v>2.4908333333333331E-2</v>
          </cell>
          <cell r="S190">
            <v>0.33416000000000001</v>
          </cell>
          <cell r="T190">
            <v>0</v>
          </cell>
          <cell r="U190">
            <v>0</v>
          </cell>
          <cell r="V190">
            <v>0</v>
          </cell>
          <cell r="W190">
            <v>0.35906833333333332</v>
          </cell>
        </row>
        <row r="191">
          <cell r="D191" t="str">
            <v>KEHD-67030 1211</v>
          </cell>
          <cell r="E191" t="str">
            <v>KEHD67030</v>
          </cell>
          <cell r="F191" t="str">
            <v>KEHD67030</v>
          </cell>
          <cell r="G191">
            <v>1245.3</v>
          </cell>
          <cell r="H191">
            <v>0</v>
          </cell>
          <cell r="I191">
            <v>0.18611999999999998</v>
          </cell>
          <cell r="J191">
            <v>0.32363500000000001</v>
          </cell>
          <cell r="K191">
            <v>9.4399999999999998E-2</v>
          </cell>
          <cell r="L191">
            <v>0.45574500000000001</v>
          </cell>
          <cell r="M191">
            <v>1.0152983333333334</v>
          </cell>
          <cell r="N191">
            <v>9.4050000000000002E-3</v>
          </cell>
          <cell r="O191">
            <v>9.8923333333333321E-2</v>
          </cell>
          <cell r="P191">
            <v>5.006E-2</v>
          </cell>
          <cell r="Q191">
            <v>6.762E-2</v>
          </cell>
          <cell r="R191">
            <v>0.604155</v>
          </cell>
          <cell r="S191">
            <v>1.6970516666666668</v>
          </cell>
          <cell r="T191">
            <v>0</v>
          </cell>
          <cell r="U191">
            <v>0</v>
          </cell>
          <cell r="V191">
            <v>0</v>
          </cell>
          <cell r="W191">
            <v>2.3012066666666668</v>
          </cell>
        </row>
        <row r="192">
          <cell r="D192" t="str">
            <v>KEHE-67120 0441</v>
          </cell>
          <cell r="E192" t="str">
            <v>KEHE67120</v>
          </cell>
          <cell r="F192" t="str">
            <v>KEHE67120</v>
          </cell>
          <cell r="G192">
            <v>64.599999999999994</v>
          </cell>
          <cell r="H192">
            <v>0</v>
          </cell>
          <cell r="I192">
            <v>1.7065E-2</v>
          </cell>
          <cell r="J192">
            <v>1.0534999999999999E-2</v>
          </cell>
          <cell r="K192">
            <v>0</v>
          </cell>
          <cell r="L192">
            <v>3.6244999999999999E-2</v>
          </cell>
          <cell r="M192">
            <v>0.28952833333333333</v>
          </cell>
          <cell r="N192">
            <v>2.0900000000000003E-3</v>
          </cell>
          <cell r="O192">
            <v>2.6368333333333334E-2</v>
          </cell>
          <cell r="P192">
            <v>1.7031666666666667E-2</v>
          </cell>
          <cell r="Q192">
            <v>7.6366666666666666E-3</v>
          </cell>
          <cell r="R192">
            <v>2.76E-2</v>
          </cell>
          <cell r="S192">
            <v>0.37890000000000001</v>
          </cell>
          <cell r="T192">
            <v>0</v>
          </cell>
          <cell r="U192">
            <v>0</v>
          </cell>
          <cell r="V192">
            <v>0</v>
          </cell>
          <cell r="W192">
            <v>0.40650000000000003</v>
          </cell>
        </row>
        <row r="193">
          <cell r="D193" t="str">
            <v>KEHF-67120A 0541</v>
          </cell>
          <cell r="E193" t="str">
            <v>KEHF67120</v>
          </cell>
          <cell r="F193" t="str">
            <v>KEHF67120</v>
          </cell>
          <cell r="G193">
            <v>98.3</v>
          </cell>
          <cell r="H193">
            <v>0</v>
          </cell>
          <cell r="I193">
            <v>2.4431666666666668E-2</v>
          </cell>
          <cell r="J193">
            <v>3.1348333333333332E-2</v>
          </cell>
          <cell r="K193">
            <v>0</v>
          </cell>
          <cell r="L193">
            <v>5.0728333333333334E-2</v>
          </cell>
          <cell r="M193">
            <v>0.38342833333333337</v>
          </cell>
          <cell r="N193">
            <v>2.0900000000000003E-3</v>
          </cell>
          <cell r="O193">
            <v>3.1940000000000003E-2</v>
          </cell>
          <cell r="P193">
            <v>2.0396666666666667E-2</v>
          </cell>
          <cell r="Q193">
            <v>9.5683333333333349E-3</v>
          </cell>
          <cell r="R193">
            <v>5.5779999999999996E-2</v>
          </cell>
          <cell r="S193">
            <v>0.49815166666666671</v>
          </cell>
          <cell r="T193">
            <v>0</v>
          </cell>
          <cell r="U193">
            <v>0</v>
          </cell>
          <cell r="V193">
            <v>0</v>
          </cell>
          <cell r="W193">
            <v>0.55393166666666671</v>
          </cell>
        </row>
        <row r="194">
          <cell r="D194" t="str">
            <v>KEHG-67030 1221</v>
          </cell>
          <cell r="E194" t="str">
            <v>KEHG67030</v>
          </cell>
          <cell r="F194" t="str">
            <v>KEHG67030</v>
          </cell>
          <cell r="G194">
            <v>1253.9000000000001</v>
          </cell>
          <cell r="H194">
            <v>0</v>
          </cell>
          <cell r="I194">
            <v>0.19040833333333335</v>
          </cell>
          <cell r="J194">
            <v>0.30568833333333334</v>
          </cell>
          <cell r="K194">
            <v>8.7933333333333336E-2</v>
          </cell>
          <cell r="L194">
            <v>0.47570000000000001</v>
          </cell>
          <cell r="M194">
            <v>1.0318116666666668</v>
          </cell>
          <cell r="N194">
            <v>9.4050000000000002E-3</v>
          </cell>
          <cell r="O194">
            <v>0.10088333333333334</v>
          </cell>
          <cell r="P194">
            <v>5.5625000000000001E-2</v>
          </cell>
          <cell r="Q194">
            <v>6.808666666666667E-2</v>
          </cell>
          <cell r="R194">
            <v>0.58403000000000005</v>
          </cell>
          <cell r="S194">
            <v>1.741511666666667</v>
          </cell>
          <cell r="T194">
            <v>0</v>
          </cell>
          <cell r="U194">
            <v>0</v>
          </cell>
          <cell r="V194">
            <v>0</v>
          </cell>
          <cell r="W194">
            <v>2.3255416666666671</v>
          </cell>
        </row>
        <row r="195">
          <cell r="D195" t="str">
            <v>KEHH-67030 1221</v>
          </cell>
          <cell r="E195" t="str">
            <v>KEHH67030</v>
          </cell>
          <cell r="F195" t="str">
            <v>KEHH67030</v>
          </cell>
          <cell r="G195">
            <v>1308.8</v>
          </cell>
          <cell r="H195">
            <v>0</v>
          </cell>
          <cell r="I195">
            <v>0.19567999999999999</v>
          </cell>
          <cell r="J195">
            <v>0.35729666666666665</v>
          </cell>
          <cell r="K195">
            <v>9.4399999999999998E-2</v>
          </cell>
          <cell r="L195">
            <v>0.4846833333333333</v>
          </cell>
          <cell r="M195">
            <v>1.0438383333333332</v>
          </cell>
          <cell r="N195">
            <v>9.4050000000000002E-3</v>
          </cell>
          <cell r="O195">
            <v>0.10170499999999999</v>
          </cell>
          <cell r="P195">
            <v>5.608833333333333E-2</v>
          </cell>
          <cell r="Q195">
            <v>6.8360000000000004E-2</v>
          </cell>
          <cell r="R195">
            <v>0.64737666666666671</v>
          </cell>
          <cell r="S195">
            <v>1.7640799999999999</v>
          </cell>
          <cell r="T195">
            <v>0</v>
          </cell>
          <cell r="U195">
            <v>0</v>
          </cell>
          <cell r="V195">
            <v>0</v>
          </cell>
          <cell r="W195">
            <v>2.4114566666666666</v>
          </cell>
        </row>
        <row r="196">
          <cell r="D196" t="str">
            <v>KEJB-67030 1811</v>
          </cell>
          <cell r="E196" t="str">
            <v>KEJB67030</v>
          </cell>
          <cell r="F196" t="str">
            <v>KEJB67030</v>
          </cell>
          <cell r="G196">
            <v>1304.9000000000001</v>
          </cell>
          <cell r="H196">
            <v>0</v>
          </cell>
          <cell r="I196">
            <v>0.20273166666666667</v>
          </cell>
          <cell r="J196">
            <v>0.42147999999999997</v>
          </cell>
          <cell r="K196">
            <v>0.10896</v>
          </cell>
          <cell r="L196">
            <v>0.49403333333333332</v>
          </cell>
          <cell r="M196">
            <v>1.060225</v>
          </cell>
          <cell r="N196">
            <v>9.4050000000000002E-3</v>
          </cell>
          <cell r="O196">
            <v>0.10223666666666667</v>
          </cell>
          <cell r="P196">
            <v>5.4543333333333339E-2</v>
          </cell>
          <cell r="Q196">
            <v>7.3010000000000005E-2</v>
          </cell>
          <cell r="R196">
            <v>0.73317166666666655</v>
          </cell>
          <cell r="S196">
            <v>1.7934533333333336</v>
          </cell>
          <cell r="T196">
            <v>0</v>
          </cell>
          <cell r="U196">
            <v>0</v>
          </cell>
          <cell r="V196">
            <v>0</v>
          </cell>
          <cell r="W196">
            <v>2.5266250000000001</v>
          </cell>
        </row>
        <row r="197">
          <cell r="D197" t="str">
            <v>KEJD-67030 1811</v>
          </cell>
          <cell r="E197" t="str">
            <v>KEJD67030</v>
          </cell>
          <cell r="F197" t="str">
            <v>KEJD67030</v>
          </cell>
          <cell r="G197">
            <v>1343.9</v>
          </cell>
          <cell r="H197">
            <v>0</v>
          </cell>
          <cell r="I197">
            <v>0.20615166666666665</v>
          </cell>
          <cell r="J197">
            <v>0.42729166666666668</v>
          </cell>
          <cell r="K197">
            <v>0.10896</v>
          </cell>
          <cell r="L197">
            <v>0.50319999999999998</v>
          </cell>
          <cell r="M197">
            <v>1.0752383333333335</v>
          </cell>
          <cell r="N197">
            <v>9.4050000000000002E-3</v>
          </cell>
          <cell r="O197">
            <v>0.103215</v>
          </cell>
          <cell r="P197">
            <v>5.4938333333333332E-2</v>
          </cell>
          <cell r="Q197">
            <v>7.5255000000000002E-2</v>
          </cell>
          <cell r="R197">
            <v>0.7424033333333333</v>
          </cell>
          <cell r="S197">
            <v>1.8212516666666672</v>
          </cell>
          <cell r="T197">
            <v>0</v>
          </cell>
          <cell r="U197">
            <v>0</v>
          </cell>
          <cell r="V197">
            <v>0</v>
          </cell>
          <cell r="W197">
            <v>2.5636550000000007</v>
          </cell>
        </row>
        <row r="198">
          <cell r="D198" t="str">
            <v>KEJE-67030 1811</v>
          </cell>
          <cell r="E198" t="str">
            <v>KEJE67030</v>
          </cell>
          <cell r="F198" t="str">
            <v>KEJE67030</v>
          </cell>
          <cell r="G198">
            <v>1398.9</v>
          </cell>
          <cell r="H198">
            <v>0</v>
          </cell>
          <cell r="I198">
            <v>0.211425</v>
          </cell>
          <cell r="J198">
            <v>0.47890000000000005</v>
          </cell>
          <cell r="K198">
            <v>0.11542666666666666</v>
          </cell>
          <cell r="L198">
            <v>0.51218333333333332</v>
          </cell>
          <cell r="M198">
            <v>1.0903283333333333</v>
          </cell>
          <cell r="N198">
            <v>9.4050000000000002E-3</v>
          </cell>
          <cell r="O198">
            <v>0.10403833333333333</v>
          </cell>
          <cell r="P198">
            <v>5.5403333333333332E-2</v>
          </cell>
          <cell r="Q198">
            <v>7.5526666666666673E-2</v>
          </cell>
          <cell r="R198">
            <v>0.80575166666666675</v>
          </cell>
          <cell r="S198">
            <v>1.8468849999999999</v>
          </cell>
          <cell r="T198">
            <v>0</v>
          </cell>
          <cell r="U198">
            <v>0</v>
          </cell>
          <cell r="V198">
            <v>0</v>
          </cell>
          <cell r="W198">
            <v>2.6526366666666665</v>
          </cell>
        </row>
        <row r="199">
          <cell r="D199" t="str">
            <v>KEJV-67120 0441</v>
          </cell>
          <cell r="E199" t="str">
            <v>KEJV67120</v>
          </cell>
          <cell r="F199" t="str">
            <v>KEJV67120</v>
          </cell>
          <cell r="G199">
            <v>190.6</v>
          </cell>
          <cell r="H199">
            <v>0</v>
          </cell>
          <cell r="I199">
            <v>3.3383333333333334E-2</v>
          </cell>
          <cell r="J199">
            <v>1.0534999999999999E-2</v>
          </cell>
          <cell r="K199">
            <v>0</v>
          </cell>
          <cell r="L199">
            <v>7.8724999999999989E-2</v>
          </cell>
          <cell r="M199">
            <v>0.4200483333333333</v>
          </cell>
          <cell r="N199">
            <v>2.0900000000000003E-3</v>
          </cell>
          <cell r="O199">
            <v>3.4328333333333329E-2</v>
          </cell>
          <cell r="P199">
            <v>2.0479999999999998E-2</v>
          </cell>
          <cell r="Q199">
            <v>1.4976666666666666E-2</v>
          </cell>
          <cell r="R199">
            <v>4.3918333333333337E-2</v>
          </cell>
          <cell r="S199">
            <v>0.5706483333333332</v>
          </cell>
          <cell r="T199">
            <v>0</v>
          </cell>
          <cell r="U199">
            <v>0</v>
          </cell>
          <cell r="V199">
            <v>0</v>
          </cell>
          <cell r="W199">
            <v>0.61456666666666648</v>
          </cell>
        </row>
        <row r="200">
          <cell r="D200" t="str">
            <v>KEJW-67120A 0541</v>
          </cell>
          <cell r="E200" t="str">
            <v>KEJW67120</v>
          </cell>
          <cell r="F200" t="str">
            <v>KEJW67120</v>
          </cell>
          <cell r="G200">
            <v>224.8</v>
          </cell>
          <cell r="H200">
            <v>0</v>
          </cell>
          <cell r="I200">
            <v>4.0751666666666665E-2</v>
          </cell>
          <cell r="J200">
            <v>3.1348333333333332E-2</v>
          </cell>
          <cell r="K200">
            <v>0</v>
          </cell>
          <cell r="L200">
            <v>9.3208333333333337E-2</v>
          </cell>
          <cell r="M200">
            <v>0.51398333333333335</v>
          </cell>
          <cell r="N200">
            <v>2.0900000000000003E-3</v>
          </cell>
          <cell r="O200">
            <v>3.9901666666666662E-2</v>
          </cell>
          <cell r="P200">
            <v>2.3848333333333336E-2</v>
          </cell>
          <cell r="Q200">
            <v>1.6909999999999998E-2</v>
          </cell>
          <cell r="R200">
            <v>7.2099999999999997E-2</v>
          </cell>
          <cell r="S200">
            <v>0.68994166666666668</v>
          </cell>
          <cell r="T200">
            <v>0</v>
          </cell>
          <cell r="U200">
            <v>0</v>
          </cell>
          <cell r="V200">
            <v>0</v>
          </cell>
          <cell r="W200">
            <v>0.76204166666666673</v>
          </cell>
        </row>
        <row r="201">
          <cell r="D201" t="str">
            <v>KGTR-67030 0721</v>
          </cell>
          <cell r="E201" t="str">
            <v>KGTR67030</v>
          </cell>
          <cell r="F201" t="str">
            <v>KGTR67030</v>
          </cell>
          <cell r="G201">
            <v>1594.5</v>
          </cell>
          <cell r="H201">
            <v>36.2376</v>
          </cell>
          <cell r="I201">
            <v>0.20584833333333333</v>
          </cell>
          <cell r="J201">
            <v>0.37201833333333334</v>
          </cell>
          <cell r="K201">
            <v>7.2251666666666658E-2</v>
          </cell>
          <cell r="L201">
            <v>0.54710833333333342</v>
          </cell>
          <cell r="M201">
            <v>1.220305</v>
          </cell>
          <cell r="N201">
            <v>1.4630000000000001E-2</v>
          </cell>
          <cell r="O201">
            <v>0.11817166666666666</v>
          </cell>
          <cell r="P201">
            <v>7.9081666666666675E-2</v>
          </cell>
          <cell r="Q201">
            <v>9.3045000000000003E-2</v>
          </cell>
          <cell r="R201">
            <v>0.65011833333333335</v>
          </cell>
          <cell r="S201">
            <v>2.0723416666666665</v>
          </cell>
          <cell r="T201">
            <v>2.6813333333333328E-2</v>
          </cell>
          <cell r="U201">
            <v>0</v>
          </cell>
          <cell r="V201">
            <v>0</v>
          </cell>
          <cell r="W201">
            <v>2.749273333333333</v>
          </cell>
        </row>
        <row r="202">
          <cell r="D202" t="str">
            <v>KGVD-67030 0721</v>
          </cell>
          <cell r="E202" t="str">
            <v>KGVD67030</v>
          </cell>
          <cell r="F202" t="str">
            <v>KGVD67030</v>
          </cell>
          <cell r="G202">
            <v>1650.9</v>
          </cell>
          <cell r="H202">
            <v>36.2376</v>
          </cell>
          <cell r="I202">
            <v>0.21180666666666664</v>
          </cell>
          <cell r="J202">
            <v>0.42355999999999999</v>
          </cell>
          <cell r="K202">
            <v>7.8718333333333321E-2</v>
          </cell>
          <cell r="L202">
            <v>0.56071666666666664</v>
          </cell>
          <cell r="M202">
            <v>1.2289283333333332</v>
          </cell>
          <cell r="N202">
            <v>1.4630000000000001E-2</v>
          </cell>
          <cell r="O202">
            <v>0.11908833333333332</v>
          </cell>
          <cell r="P202">
            <v>7.9899999999999999E-2</v>
          </cell>
          <cell r="Q202">
            <v>9.3550000000000008E-2</v>
          </cell>
          <cell r="R202">
            <v>0.71408499999999997</v>
          </cell>
          <cell r="S202">
            <v>2.096813333333333</v>
          </cell>
          <cell r="T202">
            <v>2.6813333333333328E-2</v>
          </cell>
          <cell r="U202">
            <v>0</v>
          </cell>
          <cell r="V202">
            <v>0</v>
          </cell>
          <cell r="W202">
            <v>2.837711666666666</v>
          </cell>
        </row>
        <row r="203">
          <cell r="D203" t="str">
            <v>KGVF-67030 0721</v>
          </cell>
          <cell r="E203" t="str">
            <v>KGVF67030</v>
          </cell>
          <cell r="F203" t="str">
            <v>KGVF67030</v>
          </cell>
          <cell r="G203">
            <v>1733.2</v>
          </cell>
          <cell r="H203">
            <v>36.2376</v>
          </cell>
          <cell r="I203">
            <v>0.21761166666666665</v>
          </cell>
          <cell r="J203">
            <v>0.43698999999999999</v>
          </cell>
          <cell r="K203">
            <v>8.8888333333333333E-2</v>
          </cell>
          <cell r="L203">
            <v>0.57300000000000006</v>
          </cell>
          <cell r="M203">
            <v>1.2533283333333334</v>
          </cell>
          <cell r="N203">
            <v>1.4630000000000001E-2</v>
          </cell>
          <cell r="O203">
            <v>0.12222</v>
          </cell>
          <cell r="P203">
            <v>8.3423333333333335E-2</v>
          </cell>
          <cell r="Q203">
            <v>9.6180000000000002E-2</v>
          </cell>
          <cell r="R203">
            <v>0.74348999999999998</v>
          </cell>
          <cell r="S203">
            <v>2.1427816666666666</v>
          </cell>
          <cell r="T203">
            <v>2.6813333333333328E-2</v>
          </cell>
          <cell r="U203">
            <v>0</v>
          </cell>
          <cell r="V203">
            <v>0</v>
          </cell>
          <cell r="W203">
            <v>2.9130849999999997</v>
          </cell>
        </row>
        <row r="204">
          <cell r="D204" t="str">
            <v>KGVH-67030 0711</v>
          </cell>
          <cell r="E204" t="str">
            <v>KGVH67030</v>
          </cell>
          <cell r="F204" t="str">
            <v>KGVH67030</v>
          </cell>
          <cell r="G204">
            <v>1480.2</v>
          </cell>
          <cell r="H204">
            <v>33.282899999999998</v>
          </cell>
          <cell r="I204">
            <v>0.18592333333333333</v>
          </cell>
          <cell r="J204">
            <v>0.22868666666666665</v>
          </cell>
          <cell r="K204">
            <v>5.7833333333333334E-2</v>
          </cell>
          <cell r="L204">
            <v>0.48264833333333335</v>
          </cell>
          <cell r="M204">
            <v>1.1999866666666668</v>
          </cell>
          <cell r="N204">
            <v>1.3585000000000002E-2</v>
          </cell>
          <cell r="O204">
            <v>0.11306666666666666</v>
          </cell>
          <cell r="P204">
            <v>7.5573333333333326E-2</v>
          </cell>
          <cell r="Q204">
            <v>9.1906666666666664E-2</v>
          </cell>
          <cell r="R204">
            <v>0.47244333333333333</v>
          </cell>
          <cell r="S204">
            <v>1.9767666666666666</v>
          </cell>
          <cell r="T204">
            <v>2.6813333333333328E-2</v>
          </cell>
          <cell r="U204">
            <v>0</v>
          </cell>
          <cell r="V204">
            <v>0</v>
          </cell>
          <cell r="W204">
            <v>2.476023333333333</v>
          </cell>
        </row>
        <row r="205">
          <cell r="D205" t="str">
            <v>KGVK-67030 0711</v>
          </cell>
          <cell r="E205" t="str">
            <v>KGVK67030</v>
          </cell>
          <cell r="F205" t="str">
            <v>KGVK67030</v>
          </cell>
          <cell r="G205">
            <v>1572.4</v>
          </cell>
          <cell r="H205">
            <v>33.282899999999998</v>
          </cell>
          <cell r="I205">
            <v>0.1918</v>
          </cell>
          <cell r="J205">
            <v>0.24231</v>
          </cell>
          <cell r="K205">
            <v>7.2098333333333334E-2</v>
          </cell>
          <cell r="L205">
            <v>0.49493166666666671</v>
          </cell>
          <cell r="M205">
            <v>1.2262999999999999</v>
          </cell>
          <cell r="N205">
            <v>1.3585000000000002E-2</v>
          </cell>
          <cell r="O205">
            <v>0.11619833333333333</v>
          </cell>
          <cell r="P205">
            <v>7.9096666666666662E-2</v>
          </cell>
          <cell r="Q205">
            <v>9.4536666666666672E-2</v>
          </cell>
          <cell r="R205">
            <v>0.50620833333333337</v>
          </cell>
          <cell r="S205">
            <v>2.0246483333333334</v>
          </cell>
          <cell r="T205">
            <v>2.6813333333333328E-2</v>
          </cell>
          <cell r="U205">
            <v>0</v>
          </cell>
          <cell r="V205">
            <v>0</v>
          </cell>
          <cell r="W205">
            <v>2.5576699999999999</v>
          </cell>
        </row>
        <row r="206">
          <cell r="D206" t="str">
            <v>KGVP-67030 1011</v>
          </cell>
          <cell r="E206" t="str">
            <v>KGVP67030</v>
          </cell>
          <cell r="F206" t="str">
            <v>KGVP67030</v>
          </cell>
          <cell r="G206">
            <v>1503.7</v>
          </cell>
          <cell r="H206">
            <v>36.2376</v>
          </cell>
          <cell r="I206">
            <v>0.1951</v>
          </cell>
          <cell r="J206">
            <v>0.25100666666666666</v>
          </cell>
          <cell r="K206">
            <v>9.0896666666666667E-2</v>
          </cell>
          <cell r="L206">
            <v>0.51153999999999999</v>
          </cell>
          <cell r="M206">
            <v>1.1982649999999999</v>
          </cell>
          <cell r="N206">
            <v>1.3585000000000002E-2</v>
          </cell>
          <cell r="O206">
            <v>0.11573666666666667</v>
          </cell>
          <cell r="P206">
            <v>7.7836666666666679E-2</v>
          </cell>
          <cell r="Q206">
            <v>9.0161666666666668E-2</v>
          </cell>
          <cell r="R206">
            <v>0.53700333333333328</v>
          </cell>
          <cell r="S206">
            <v>2.0071249999999998</v>
          </cell>
          <cell r="T206">
            <v>4.5964999999999999E-2</v>
          </cell>
          <cell r="U206">
            <v>0</v>
          </cell>
          <cell r="V206">
            <v>0</v>
          </cell>
          <cell r="W206">
            <v>2.5900933333333329</v>
          </cell>
        </row>
        <row r="207">
          <cell r="D207" t="str">
            <v>KGVR-67030 1011</v>
          </cell>
          <cell r="E207" t="str">
            <v>KGVR67030</v>
          </cell>
          <cell r="F207" t="str">
            <v>KGVR67030</v>
          </cell>
          <cell r="G207">
            <v>1560.1</v>
          </cell>
          <cell r="H207">
            <v>36.2376</v>
          </cell>
          <cell r="I207">
            <v>0.20105999999999999</v>
          </cell>
          <cell r="J207">
            <v>0.30254833333333331</v>
          </cell>
          <cell r="K207">
            <v>9.736333333333333E-2</v>
          </cell>
          <cell r="L207">
            <v>0.52514666666666665</v>
          </cell>
          <cell r="M207">
            <v>1.2068916666666667</v>
          </cell>
          <cell r="N207">
            <v>1.3585000000000002E-2</v>
          </cell>
          <cell r="O207">
            <v>0.11665166666666667</v>
          </cell>
          <cell r="P207">
            <v>7.8651666666666661E-2</v>
          </cell>
          <cell r="Q207">
            <v>9.0666666666666673E-2</v>
          </cell>
          <cell r="R207">
            <v>0.60097166666666668</v>
          </cell>
          <cell r="S207">
            <v>2.0315933333333334</v>
          </cell>
          <cell r="T207">
            <v>4.5964999999999999E-2</v>
          </cell>
          <cell r="U207">
            <v>0</v>
          </cell>
          <cell r="V207">
            <v>0</v>
          </cell>
          <cell r="W207">
            <v>2.6785299999999999</v>
          </cell>
        </row>
        <row r="208">
          <cell r="D208" t="str">
            <v>KGWD-67030 1001</v>
          </cell>
          <cell r="E208" t="str">
            <v>KGWD67030</v>
          </cell>
          <cell r="F208" t="str">
            <v>KGWD67030</v>
          </cell>
          <cell r="G208">
            <v>1444.03646</v>
          </cell>
          <cell r="H208">
            <v>33.690300000000001</v>
          </cell>
          <cell r="I208">
            <v>0.16287500000000002</v>
          </cell>
          <cell r="J208">
            <v>0.25337500000000002</v>
          </cell>
          <cell r="K208">
            <v>6.5291666666666665E-2</v>
          </cell>
          <cell r="L208">
            <v>0.49382833333333331</v>
          </cell>
          <cell r="M208">
            <v>1.1796683333333333</v>
          </cell>
          <cell r="N208">
            <v>0</v>
          </cell>
          <cell r="O208">
            <v>0.12576833333333334</v>
          </cell>
          <cell r="P208">
            <v>0.11577999999999999</v>
          </cell>
          <cell r="Q208">
            <v>7.6508333333333331E-2</v>
          </cell>
          <cell r="R208">
            <v>0.48154166666666665</v>
          </cell>
          <cell r="S208">
            <v>1.9915533333333333</v>
          </cell>
          <cell r="T208">
            <v>4.629666666666666E-2</v>
          </cell>
          <cell r="U208">
            <v>0</v>
          </cell>
          <cell r="V208">
            <v>0</v>
          </cell>
          <cell r="W208">
            <v>2.5193916666666665</v>
          </cell>
        </row>
        <row r="209">
          <cell r="D209" t="str">
            <v>KHFE-67030 1011</v>
          </cell>
          <cell r="E209" t="str">
            <v>KHFE67030</v>
          </cell>
          <cell r="F209" t="str">
            <v>KHFE67030</v>
          </cell>
          <cell r="G209">
            <v>1490.2</v>
          </cell>
          <cell r="H209">
            <v>33.711300000000001</v>
          </cell>
          <cell r="I209">
            <v>0.19038666666666665</v>
          </cell>
          <cell r="J209">
            <v>0.25444</v>
          </cell>
          <cell r="K209">
            <v>8.7555000000000008E-2</v>
          </cell>
          <cell r="L209">
            <v>0.49258166666666664</v>
          </cell>
          <cell r="M209">
            <v>1.2061750000000002</v>
          </cell>
          <cell r="N209">
            <v>1.4630000000000001E-2</v>
          </cell>
          <cell r="O209">
            <v>0.11365333333333334</v>
          </cell>
          <cell r="P209">
            <v>7.9504999999999992E-2</v>
          </cell>
          <cell r="Q209">
            <v>9.8296666666666671E-2</v>
          </cell>
          <cell r="R209">
            <v>0.53238166666666664</v>
          </cell>
          <cell r="S209">
            <v>2.0048416666666666</v>
          </cell>
          <cell r="T209">
            <v>4.5964999999999999E-2</v>
          </cell>
          <cell r="U209">
            <v>0</v>
          </cell>
          <cell r="V209">
            <v>0</v>
          </cell>
          <cell r="W209">
            <v>2.5831883333333332</v>
          </cell>
        </row>
        <row r="210">
          <cell r="D210" t="str">
            <v>KHFG-67030 1011</v>
          </cell>
          <cell r="E210" t="str">
            <v>KHFG67030</v>
          </cell>
          <cell r="F210" t="str">
            <v>KHFG67030</v>
          </cell>
          <cell r="G210">
            <v>1549</v>
          </cell>
          <cell r="H210">
            <v>36.2376</v>
          </cell>
          <cell r="I210">
            <v>0.20136499999999999</v>
          </cell>
          <cell r="J210">
            <v>0.26311499999999999</v>
          </cell>
          <cell r="K210">
            <v>9.0896666666666667E-2</v>
          </cell>
          <cell r="L210">
            <v>0.52613333333333334</v>
          </cell>
          <cell r="M210">
            <v>1.2605533333333334</v>
          </cell>
          <cell r="N210">
            <v>1.4630000000000001E-2</v>
          </cell>
          <cell r="O210">
            <v>0.12053666666666667</v>
          </cell>
          <cell r="P210">
            <v>8.3849999999999994E-2</v>
          </cell>
          <cell r="Q210">
            <v>0.10064000000000001</v>
          </cell>
          <cell r="R210">
            <v>0.55537666666666663</v>
          </cell>
          <cell r="S210">
            <v>2.1063433333333332</v>
          </cell>
          <cell r="T210">
            <v>4.5964999999999999E-2</v>
          </cell>
          <cell r="U210">
            <v>0</v>
          </cell>
          <cell r="V210">
            <v>0</v>
          </cell>
          <cell r="W210">
            <v>2.7076849999999997</v>
          </cell>
        </row>
        <row r="211">
          <cell r="D211" t="str">
            <v>KHFH-67030 1011</v>
          </cell>
          <cell r="E211" t="str">
            <v>KHFH67030</v>
          </cell>
          <cell r="F211" t="str">
            <v>KHFH67030</v>
          </cell>
          <cell r="G211">
            <v>1605.4</v>
          </cell>
          <cell r="H211">
            <v>36.2376</v>
          </cell>
          <cell r="I211">
            <v>0.20732500000000001</v>
          </cell>
          <cell r="J211">
            <v>0.3146566666666667</v>
          </cell>
          <cell r="K211">
            <v>9.736333333333333E-2</v>
          </cell>
          <cell r="L211">
            <v>0.53974</v>
          </cell>
          <cell r="M211">
            <v>1.26918</v>
          </cell>
          <cell r="N211">
            <v>1.4630000000000001E-2</v>
          </cell>
          <cell r="O211">
            <v>0.12145166666666667</v>
          </cell>
          <cell r="P211">
            <v>8.4665000000000004E-2</v>
          </cell>
          <cell r="Q211">
            <v>0.101145</v>
          </cell>
          <cell r="R211">
            <v>0.61934500000000003</v>
          </cell>
          <cell r="S211">
            <v>2.1308116666666668</v>
          </cell>
          <cell r="T211">
            <v>4.5964999999999999E-2</v>
          </cell>
          <cell r="U211">
            <v>0</v>
          </cell>
          <cell r="V211">
            <v>0</v>
          </cell>
          <cell r="W211">
            <v>2.7961216666666666</v>
          </cell>
        </row>
        <row r="212">
          <cell r="D212" t="str">
            <v>KHFT-67030 0611</v>
          </cell>
          <cell r="E212" t="str">
            <v>KHFT67030</v>
          </cell>
          <cell r="F212" t="str">
            <v>KHFT67030</v>
          </cell>
          <cell r="G212">
            <v>1642.4</v>
          </cell>
          <cell r="H212">
            <v>36.2376</v>
          </cell>
          <cell r="I212">
            <v>0.20686499999999999</v>
          </cell>
          <cell r="J212">
            <v>0.31698500000000002</v>
          </cell>
          <cell r="K212">
            <v>0.10753333333333333</v>
          </cell>
          <cell r="L212">
            <v>0.53743000000000007</v>
          </cell>
          <cell r="M212">
            <v>1.2312966666666665</v>
          </cell>
          <cell r="N212">
            <v>1.3585000000000002E-2</v>
          </cell>
          <cell r="O212">
            <v>0.11978333333333334</v>
          </cell>
          <cell r="P212">
            <v>8.2175000000000012E-2</v>
          </cell>
          <cell r="Q212">
            <v>9.3294999999999989E-2</v>
          </cell>
          <cell r="R212">
            <v>0.63138333333333341</v>
          </cell>
          <cell r="S212">
            <v>2.0775649999999999</v>
          </cell>
          <cell r="T212">
            <v>4.5964999999999999E-2</v>
          </cell>
          <cell r="U212">
            <v>0</v>
          </cell>
          <cell r="V212">
            <v>0</v>
          </cell>
          <cell r="W212">
            <v>2.7549133333333331</v>
          </cell>
        </row>
        <row r="213">
          <cell r="D213" t="str">
            <v>KHFV-67030 0611</v>
          </cell>
          <cell r="E213" t="str">
            <v>KHFV67030</v>
          </cell>
          <cell r="F213" t="str">
            <v>KHFV67030</v>
          </cell>
          <cell r="G213">
            <v>1687.7</v>
          </cell>
          <cell r="H213">
            <v>36.2376</v>
          </cell>
          <cell r="I213">
            <v>0.21313000000000001</v>
          </cell>
          <cell r="J213">
            <v>0.32909333333333335</v>
          </cell>
          <cell r="K213">
            <v>0.10753333333333333</v>
          </cell>
          <cell r="L213">
            <v>0.55202333333333331</v>
          </cell>
          <cell r="M213">
            <v>1.293585</v>
          </cell>
          <cell r="N213">
            <v>1.4630000000000001E-2</v>
          </cell>
          <cell r="O213">
            <v>0.124585</v>
          </cell>
          <cell r="P213">
            <v>8.8191666666666668E-2</v>
          </cell>
          <cell r="Q213">
            <v>0.10377333333333333</v>
          </cell>
          <cell r="R213">
            <v>0.64975666666666676</v>
          </cell>
          <cell r="S213">
            <v>2.1767883333333331</v>
          </cell>
          <cell r="T213">
            <v>4.5964999999999999E-2</v>
          </cell>
          <cell r="U213">
            <v>0</v>
          </cell>
          <cell r="V213">
            <v>0</v>
          </cell>
          <cell r="W213">
            <v>2.8725099999999997</v>
          </cell>
        </row>
        <row r="214">
          <cell r="D214" t="str">
            <v>KHGF-67030 0611</v>
          </cell>
          <cell r="E214" t="str">
            <v>KHGF67030</v>
          </cell>
          <cell r="F214" t="str">
            <v>KHGF67030</v>
          </cell>
          <cell r="G214">
            <v>1830.7</v>
          </cell>
          <cell r="H214">
            <v>36.2376</v>
          </cell>
          <cell r="I214">
            <v>0.22877500000000001</v>
          </cell>
          <cell r="J214">
            <v>0.3789683333333333</v>
          </cell>
          <cell r="K214">
            <v>0.11925666666666666</v>
          </cell>
          <cell r="L214">
            <v>0.59481666666666666</v>
          </cell>
          <cell r="M214">
            <v>1.2921816666666668</v>
          </cell>
          <cell r="N214">
            <v>1.4630000000000001E-2</v>
          </cell>
          <cell r="O214">
            <v>0.12693166666666666</v>
          </cell>
          <cell r="P214">
            <v>8.5436666666666661E-2</v>
          </cell>
          <cell r="Q214">
            <v>0.101175</v>
          </cell>
          <cell r="R214">
            <v>0.72699999999999998</v>
          </cell>
          <cell r="S214">
            <v>2.215171666666667</v>
          </cell>
          <cell r="T214">
            <v>4.5964999999999999E-2</v>
          </cell>
          <cell r="U214">
            <v>0</v>
          </cell>
          <cell r="V214">
            <v>0</v>
          </cell>
          <cell r="W214">
            <v>2.9881366666666667</v>
          </cell>
        </row>
        <row r="215">
          <cell r="D215" t="str">
            <v>KHGG-67030 0611</v>
          </cell>
          <cell r="E215" t="str">
            <v>KHGG67030</v>
          </cell>
          <cell r="F215" t="str">
            <v>KHGG67030</v>
          </cell>
          <cell r="G215">
            <v>1876</v>
          </cell>
          <cell r="H215">
            <v>36.2376</v>
          </cell>
          <cell r="I215">
            <v>0.23504</v>
          </cell>
          <cell r="J215">
            <v>0.39107666666666668</v>
          </cell>
          <cell r="K215">
            <v>0.11925666666666666</v>
          </cell>
          <cell r="L215">
            <v>0.60941000000000001</v>
          </cell>
          <cell r="M215">
            <v>1.3544716666666665</v>
          </cell>
          <cell r="N215">
            <v>1.5675000000000001E-2</v>
          </cell>
          <cell r="O215">
            <v>0.13173166666666666</v>
          </cell>
          <cell r="P215">
            <v>9.1451666666666667E-2</v>
          </cell>
          <cell r="Q215">
            <v>0.11165333333333334</v>
          </cell>
          <cell r="R215">
            <v>0.74537333333333333</v>
          </cell>
          <cell r="S215">
            <v>2.3143933333333333</v>
          </cell>
          <cell r="T215">
            <v>4.5964999999999999E-2</v>
          </cell>
          <cell r="U215">
            <v>0</v>
          </cell>
          <cell r="V215">
            <v>0</v>
          </cell>
          <cell r="W215">
            <v>3.1057316666666663</v>
          </cell>
        </row>
        <row r="216">
          <cell r="D216" t="str">
            <v>KHJE-67030 0721</v>
          </cell>
          <cell r="E216" t="str">
            <v>KHJE67030</v>
          </cell>
          <cell r="F216" t="str">
            <v>KHJE67030</v>
          </cell>
          <cell r="G216">
            <v>1445.1</v>
          </cell>
          <cell r="H216">
            <v>36.2376</v>
          </cell>
          <cell r="I216">
            <v>0.18820000000000001</v>
          </cell>
          <cell r="J216">
            <v>0.27284333333333333</v>
          </cell>
          <cell r="K216">
            <v>7.2251666666666658E-2</v>
          </cell>
          <cell r="L216">
            <v>0.49815666666666664</v>
          </cell>
          <cell r="M216">
            <v>1.1889233333333336</v>
          </cell>
          <cell r="N216">
            <v>1.3585000000000002E-2</v>
          </cell>
          <cell r="O216">
            <v>0.11416833333333334</v>
          </cell>
          <cell r="P216">
            <v>7.7344999999999997E-2</v>
          </cell>
          <cell r="Q216">
            <v>9.0016666666666662E-2</v>
          </cell>
          <cell r="R216">
            <v>0.53329500000000007</v>
          </cell>
          <cell r="S216">
            <v>1.9821950000000002</v>
          </cell>
          <cell r="T216">
            <v>2.6813333333333328E-2</v>
          </cell>
          <cell r="U216">
            <v>0</v>
          </cell>
          <cell r="V216">
            <v>0</v>
          </cell>
          <cell r="W216">
            <v>2.5423033333333334</v>
          </cell>
        </row>
        <row r="217">
          <cell r="D217" t="str">
            <v>KHJF-67030 0721</v>
          </cell>
          <cell r="E217" t="str">
            <v>KHJF67030</v>
          </cell>
          <cell r="F217" t="str">
            <v>KHJF67030</v>
          </cell>
          <cell r="G217">
            <v>1676.7</v>
          </cell>
          <cell r="H217">
            <v>36.2376</v>
          </cell>
          <cell r="I217">
            <v>0.21165166666666665</v>
          </cell>
          <cell r="J217">
            <v>0.38544833333333334</v>
          </cell>
          <cell r="K217">
            <v>8.2421666666666657E-2</v>
          </cell>
          <cell r="L217">
            <v>0.55939166666666662</v>
          </cell>
          <cell r="M217">
            <v>1.2447016666666668</v>
          </cell>
          <cell r="N217">
            <v>1.4630000000000001E-2</v>
          </cell>
          <cell r="O217">
            <v>0.121305</v>
          </cell>
          <cell r="P217">
            <v>8.2608333333333339E-2</v>
          </cell>
          <cell r="Q217">
            <v>9.5674999999999996E-2</v>
          </cell>
          <cell r="R217">
            <v>0.67952166666666658</v>
          </cell>
          <cell r="S217">
            <v>2.1183116666666666</v>
          </cell>
          <cell r="T217">
            <v>2.6813333333333328E-2</v>
          </cell>
          <cell r="U217">
            <v>0</v>
          </cell>
          <cell r="V217">
            <v>0</v>
          </cell>
          <cell r="W217">
            <v>2.8246466666666663</v>
          </cell>
        </row>
        <row r="218">
          <cell r="D218" t="str">
            <v>KHVM-67030 0721</v>
          </cell>
          <cell r="E218" t="str">
            <v>KHVM67030</v>
          </cell>
          <cell r="F218" t="str">
            <v>KHVM67030</v>
          </cell>
          <cell r="G218">
            <v>1772</v>
          </cell>
          <cell r="H218">
            <v>36.2376</v>
          </cell>
          <cell r="I218">
            <v>0.22187333333333334</v>
          </cell>
          <cell r="J218">
            <v>0.43940666666666667</v>
          </cell>
          <cell r="K218">
            <v>0.10061166666666667</v>
          </cell>
          <cell r="L218">
            <v>0.58143333333333336</v>
          </cell>
          <cell r="M218">
            <v>1.2828316666666666</v>
          </cell>
          <cell r="N218">
            <v>1.4630000000000001E-2</v>
          </cell>
          <cell r="O218">
            <v>0.125365</v>
          </cell>
          <cell r="P218">
            <v>8.4950000000000012E-2</v>
          </cell>
          <cell r="Q218">
            <v>0.10102999999999999</v>
          </cell>
          <cell r="R218">
            <v>0.76189166666666663</v>
          </cell>
          <cell r="S218">
            <v>2.1902400000000002</v>
          </cell>
          <cell r="T218">
            <v>2.6813333333333328E-2</v>
          </cell>
          <cell r="U218">
            <v>0</v>
          </cell>
          <cell r="V218">
            <v>0</v>
          </cell>
          <cell r="W218">
            <v>2.978945</v>
          </cell>
        </row>
        <row r="219">
          <cell r="D219" t="str">
            <v>KHVP-67030 0721</v>
          </cell>
          <cell r="E219" t="str">
            <v>KHVP67030</v>
          </cell>
          <cell r="F219" t="str">
            <v>KHVP67030</v>
          </cell>
          <cell r="G219">
            <v>1527.4</v>
          </cell>
          <cell r="H219">
            <v>33.711300000000001</v>
          </cell>
          <cell r="I219">
            <v>0.19555</v>
          </cell>
          <cell r="J219">
            <v>0.37195666666666666</v>
          </cell>
          <cell r="K219">
            <v>6.8909999999999999E-2</v>
          </cell>
          <cell r="L219">
            <v>0.51483833333333329</v>
          </cell>
          <cell r="M219">
            <v>1.1825133333333333</v>
          </cell>
          <cell r="N219">
            <v>1.4630000000000001E-2</v>
          </cell>
          <cell r="O219">
            <v>0.11251499999999999</v>
          </cell>
          <cell r="P219">
            <v>7.5715000000000005E-2</v>
          </cell>
          <cell r="Q219">
            <v>8.9151666666666671E-2</v>
          </cell>
          <cell r="R219">
            <v>0.63641666666666663</v>
          </cell>
          <cell r="S219">
            <v>1.9893633333333332</v>
          </cell>
          <cell r="T219">
            <v>2.6813333333333328E-2</v>
          </cell>
          <cell r="U219">
            <v>0</v>
          </cell>
          <cell r="V219">
            <v>0</v>
          </cell>
          <cell r="W219">
            <v>2.6525933333333329</v>
          </cell>
        </row>
        <row r="220">
          <cell r="D220" t="str">
            <v>KHVS-67030 0721</v>
          </cell>
          <cell r="E220" t="str">
            <v>KHVS67030</v>
          </cell>
          <cell r="F220" t="str">
            <v>KHVS67030</v>
          </cell>
          <cell r="G220">
            <v>1574.4</v>
          </cell>
          <cell r="H220">
            <v>36.2376</v>
          </cell>
          <cell r="I220">
            <v>0.204125</v>
          </cell>
          <cell r="J220">
            <v>0.37201833333333334</v>
          </cell>
          <cell r="K220">
            <v>7.2251666666666658E-2</v>
          </cell>
          <cell r="L220">
            <v>0.54124000000000005</v>
          </cell>
          <cell r="M220">
            <v>1.2151433333333335</v>
          </cell>
          <cell r="N220">
            <v>1.4630000000000001E-2</v>
          </cell>
          <cell r="O220">
            <v>0.117345</v>
          </cell>
          <cell r="P220">
            <v>7.8493333333333332E-2</v>
          </cell>
          <cell r="Q220">
            <v>9.0673333333333342E-2</v>
          </cell>
          <cell r="R220">
            <v>0.64839500000000005</v>
          </cell>
          <cell r="S220">
            <v>2.057525</v>
          </cell>
          <cell r="T220">
            <v>2.6813333333333328E-2</v>
          </cell>
          <cell r="U220">
            <v>0</v>
          </cell>
          <cell r="V220">
            <v>0</v>
          </cell>
          <cell r="W220">
            <v>2.732733333333333</v>
          </cell>
        </row>
        <row r="221">
          <cell r="D221" t="str">
            <v>KJN8-67030B 0731</v>
          </cell>
          <cell r="E221" t="str">
            <v>KJN867030</v>
          </cell>
          <cell r="F221" t="str">
            <v>KJN867030</v>
          </cell>
          <cell r="G221">
            <v>1667.3</v>
          </cell>
          <cell r="H221">
            <v>36.2376</v>
          </cell>
          <cell r="I221">
            <v>0.20924999999999999</v>
          </cell>
          <cell r="J221">
            <v>0.39740166666666671</v>
          </cell>
          <cell r="K221">
            <v>7.2251666666666658E-2</v>
          </cell>
          <cell r="L221">
            <v>0.54773166666666673</v>
          </cell>
          <cell r="M221">
            <v>1.278165</v>
          </cell>
          <cell r="N221">
            <v>1.5675000000000001E-2</v>
          </cell>
          <cell r="O221">
            <v>0.12321333333333334</v>
          </cell>
          <cell r="P221">
            <v>8.2798333333333335E-2</v>
          </cell>
          <cell r="Q221">
            <v>0.10353</v>
          </cell>
          <cell r="R221">
            <v>0.67890333333333341</v>
          </cell>
          <cell r="S221">
            <v>2.1511133333333339</v>
          </cell>
          <cell r="T221">
            <v>2.6813333333333328E-2</v>
          </cell>
          <cell r="U221">
            <v>0</v>
          </cell>
          <cell r="V221">
            <v>0</v>
          </cell>
          <cell r="W221">
            <v>2.8568300000000004</v>
          </cell>
        </row>
        <row r="222">
          <cell r="D222" t="str">
            <v>KJT3-67030 0531</v>
          </cell>
          <cell r="E222" t="str">
            <v>KJT367030</v>
          </cell>
          <cell r="F222" t="str">
            <v>KJT367030</v>
          </cell>
          <cell r="G222">
            <v>1703.3</v>
          </cell>
          <cell r="H222">
            <v>36.132599999999996</v>
          </cell>
          <cell r="I222">
            <v>0.22783833333333331</v>
          </cell>
          <cell r="J222">
            <v>0.57619500000000001</v>
          </cell>
          <cell r="K222">
            <v>9.6841666666666673E-2</v>
          </cell>
          <cell r="L222">
            <v>0.58798499999999998</v>
          </cell>
          <cell r="M222">
            <v>1.1392983333333333</v>
          </cell>
          <cell r="N222">
            <v>1.4630000000000001E-2</v>
          </cell>
          <cell r="O222">
            <v>0.11781666666666667</v>
          </cell>
          <cell r="P222">
            <v>7.7421666666666666E-2</v>
          </cell>
          <cell r="Q222">
            <v>8.7760000000000005E-2</v>
          </cell>
          <cell r="R222">
            <v>0.90087500000000009</v>
          </cell>
          <cell r="S222">
            <v>2.0249116666666667</v>
          </cell>
          <cell r="T222">
            <v>2.6813333333333328E-2</v>
          </cell>
          <cell r="U222">
            <v>0</v>
          </cell>
          <cell r="V222">
            <v>0</v>
          </cell>
          <cell r="W222">
            <v>2.9525999999999999</v>
          </cell>
        </row>
        <row r="223">
          <cell r="D223" t="str">
            <v>KJVH-67030 0721</v>
          </cell>
          <cell r="E223" t="str">
            <v>KJVH67030</v>
          </cell>
          <cell r="F223" t="str">
            <v>KJVH67030</v>
          </cell>
          <cell r="G223">
            <v>1653.2</v>
          </cell>
          <cell r="H223">
            <v>33.282899999999998</v>
          </cell>
          <cell r="I223">
            <v>0.20755833333333334</v>
          </cell>
          <cell r="J223">
            <v>0.29389333333333334</v>
          </cell>
          <cell r="K223">
            <v>7.2098333333333334E-2</v>
          </cell>
          <cell r="L223">
            <v>0.54232333333333338</v>
          </cell>
          <cell r="M223">
            <v>1.2511066666666666</v>
          </cell>
          <cell r="N223">
            <v>1.4630000000000001E-2</v>
          </cell>
          <cell r="O223">
            <v>0.1202</v>
          </cell>
          <cell r="P223">
            <v>8.0783333333333346E-2</v>
          </cell>
          <cell r="Q223">
            <v>9.7531666666666655E-2</v>
          </cell>
          <cell r="R223">
            <v>0.57355</v>
          </cell>
          <cell r="S223">
            <v>2.1065749999999999</v>
          </cell>
          <cell r="T223">
            <v>2.6813333333333328E-2</v>
          </cell>
          <cell r="U223">
            <v>0</v>
          </cell>
          <cell r="V223">
            <v>0</v>
          </cell>
          <cell r="W223">
            <v>2.706938333333333</v>
          </cell>
        </row>
        <row r="224">
          <cell r="D224" t="str">
            <v>KJVP-67030 0721</v>
          </cell>
          <cell r="E224" t="str">
            <v>KJVP67030</v>
          </cell>
          <cell r="F224" t="str">
            <v>KJVP67030</v>
          </cell>
          <cell r="G224">
            <v>1713.9</v>
          </cell>
          <cell r="H224">
            <v>33.282899999999998</v>
          </cell>
          <cell r="I224">
            <v>0.21353166666666665</v>
          </cell>
          <cell r="J224">
            <v>0.34573666666666664</v>
          </cell>
          <cell r="K224">
            <v>7.8564999999999996E-2</v>
          </cell>
          <cell r="L224">
            <v>0.5559316666666666</v>
          </cell>
          <cell r="M224">
            <v>1.259765</v>
          </cell>
          <cell r="N224">
            <v>1.4630000000000001E-2</v>
          </cell>
          <cell r="O224">
            <v>0.12111666666666668</v>
          </cell>
          <cell r="P224">
            <v>8.1599999999999992E-2</v>
          </cell>
          <cell r="Q224">
            <v>9.8036666666666675E-2</v>
          </cell>
          <cell r="R224">
            <v>0.63783333333333325</v>
          </cell>
          <cell r="S224">
            <v>2.1310800000000003</v>
          </cell>
          <cell r="T224">
            <v>2.6813333333333328E-2</v>
          </cell>
          <cell r="U224">
            <v>0</v>
          </cell>
          <cell r="V224">
            <v>0</v>
          </cell>
          <cell r="W224">
            <v>2.7957266666666669</v>
          </cell>
        </row>
        <row r="225">
          <cell r="D225" t="str">
            <v>KJVR-67030 0721</v>
          </cell>
          <cell r="E225" t="str">
            <v>KJVR67030</v>
          </cell>
          <cell r="F225" t="str">
            <v>KJVR67030</v>
          </cell>
          <cell r="G225">
            <v>1714.4</v>
          </cell>
          <cell r="H225">
            <v>33.282899999999998</v>
          </cell>
          <cell r="I225">
            <v>0.21349666666666664</v>
          </cell>
          <cell r="J225">
            <v>0.34573666666666664</v>
          </cell>
          <cell r="K225">
            <v>7.8564999999999996E-2</v>
          </cell>
          <cell r="L225">
            <v>0.5559316666666666</v>
          </cell>
          <cell r="M225">
            <v>1.2595266666666667</v>
          </cell>
          <cell r="N225">
            <v>1.4630000000000001E-2</v>
          </cell>
          <cell r="O225">
            <v>0.12111666666666668</v>
          </cell>
          <cell r="P225">
            <v>8.1599999999999992E-2</v>
          </cell>
          <cell r="Q225">
            <v>9.8036666666666675E-2</v>
          </cell>
          <cell r="R225">
            <v>0.63779833333333324</v>
          </cell>
          <cell r="S225">
            <v>2.130841666666667</v>
          </cell>
          <cell r="T225">
            <v>2.6813333333333328E-2</v>
          </cell>
          <cell r="U225">
            <v>0</v>
          </cell>
          <cell r="V225">
            <v>0</v>
          </cell>
          <cell r="W225">
            <v>2.7954533333333336</v>
          </cell>
        </row>
        <row r="226">
          <cell r="D226" t="str">
            <v>KJVW-67030 0721</v>
          </cell>
          <cell r="E226" t="str">
            <v>KJVW67030</v>
          </cell>
          <cell r="F226" t="str">
            <v>KJVW67030</v>
          </cell>
          <cell r="G226">
            <v>1754.1</v>
          </cell>
          <cell r="H226">
            <v>33.282899999999998</v>
          </cell>
          <cell r="I226">
            <v>0.21779999999999999</v>
          </cell>
          <cell r="J226">
            <v>0.34815333333333331</v>
          </cell>
          <cell r="K226">
            <v>9.3550000000000008E-2</v>
          </cell>
          <cell r="L226">
            <v>0.56436500000000001</v>
          </cell>
          <cell r="M226">
            <v>1.28932</v>
          </cell>
          <cell r="N226">
            <v>1.4630000000000001E-2</v>
          </cell>
          <cell r="O226">
            <v>0.12426</v>
          </cell>
          <cell r="P226">
            <v>8.3123333333333341E-2</v>
          </cell>
          <cell r="Q226">
            <v>0.10288666666666665</v>
          </cell>
          <cell r="R226">
            <v>0.65950333333333333</v>
          </cell>
          <cell r="S226">
            <v>2.178585</v>
          </cell>
          <cell r="T226">
            <v>2.6813333333333328E-2</v>
          </cell>
          <cell r="U226">
            <v>0</v>
          </cell>
          <cell r="V226">
            <v>0</v>
          </cell>
          <cell r="W226">
            <v>2.8649016666666665</v>
          </cell>
        </row>
        <row r="227">
          <cell r="D227" t="str">
            <v>KJWA-67030 0721</v>
          </cell>
          <cell r="E227" t="str">
            <v>KJWA67030</v>
          </cell>
          <cell r="F227" t="str">
            <v>KJWA67030</v>
          </cell>
          <cell r="G227">
            <v>1754.6</v>
          </cell>
          <cell r="H227">
            <v>33.282899999999998</v>
          </cell>
          <cell r="I227">
            <v>0.21776499999999999</v>
          </cell>
          <cell r="J227">
            <v>0.34815333333333331</v>
          </cell>
          <cell r="K227">
            <v>9.3550000000000008E-2</v>
          </cell>
          <cell r="L227">
            <v>0.56436500000000001</v>
          </cell>
          <cell r="M227">
            <v>1.2890833333333334</v>
          </cell>
          <cell r="N227">
            <v>1.4630000000000001E-2</v>
          </cell>
          <cell r="O227">
            <v>0.12426</v>
          </cell>
          <cell r="P227">
            <v>8.3123333333333341E-2</v>
          </cell>
          <cell r="Q227">
            <v>0.10288666666666665</v>
          </cell>
          <cell r="R227">
            <v>0.65946833333333332</v>
          </cell>
          <cell r="S227">
            <v>2.1783483333333331</v>
          </cell>
          <cell r="T227">
            <v>2.6813333333333328E-2</v>
          </cell>
          <cell r="U227">
            <v>0</v>
          </cell>
          <cell r="V227">
            <v>0</v>
          </cell>
          <cell r="W227">
            <v>2.8646299999999996</v>
          </cell>
        </row>
        <row r="228">
          <cell r="D228" t="str">
            <v>KJWC-67030 0721</v>
          </cell>
          <cell r="E228" t="str">
            <v>KJWC67030</v>
          </cell>
          <cell r="F228" t="str">
            <v>KJWC67030</v>
          </cell>
          <cell r="G228">
            <v>1541.6</v>
          </cell>
          <cell r="H228">
            <v>33.282899999999998</v>
          </cell>
          <cell r="I228">
            <v>0.20027</v>
          </cell>
          <cell r="J228">
            <v>0.28026999999999996</v>
          </cell>
          <cell r="K228">
            <v>5.7833333333333334E-2</v>
          </cell>
          <cell r="L228">
            <v>0.52655666666666667</v>
          </cell>
          <cell r="M228">
            <v>1.2197216666666668</v>
          </cell>
          <cell r="N228">
            <v>1.4630000000000001E-2</v>
          </cell>
          <cell r="O228">
            <v>0.11624333333333332</v>
          </cell>
          <cell r="P228">
            <v>7.6719999999999997E-2</v>
          </cell>
          <cell r="Q228">
            <v>9.2563333333333331E-2</v>
          </cell>
          <cell r="R228">
            <v>0.53837333333333326</v>
          </cell>
          <cell r="S228">
            <v>2.0464349999999998</v>
          </cell>
          <cell r="T228">
            <v>2.6813333333333328E-2</v>
          </cell>
          <cell r="U228">
            <v>0</v>
          </cell>
          <cell r="V228">
            <v>0</v>
          </cell>
          <cell r="W228">
            <v>2.6116216666666663</v>
          </cell>
        </row>
        <row r="229">
          <cell r="D229" t="str">
            <v>KJWE-67030 0721</v>
          </cell>
          <cell r="E229" t="str">
            <v>KJWE67030</v>
          </cell>
          <cell r="F229" t="str">
            <v>KJWE67030</v>
          </cell>
          <cell r="G229">
            <v>1633.8</v>
          </cell>
          <cell r="H229">
            <v>33.282899999999998</v>
          </cell>
          <cell r="I229">
            <v>0.20614833333333332</v>
          </cell>
          <cell r="J229">
            <v>0.29389333333333334</v>
          </cell>
          <cell r="K229">
            <v>7.2098333333333334E-2</v>
          </cell>
          <cell r="L229">
            <v>0.53883999999999999</v>
          </cell>
          <cell r="M229">
            <v>1.2460366666666667</v>
          </cell>
          <cell r="N229">
            <v>1.4630000000000001E-2</v>
          </cell>
          <cell r="O229">
            <v>0.119375</v>
          </cell>
          <cell r="P229">
            <v>8.0244999999999997E-2</v>
          </cell>
          <cell r="Q229">
            <v>9.5193333333333324E-2</v>
          </cell>
          <cell r="R229">
            <v>0.57214000000000009</v>
          </cell>
          <cell r="S229">
            <v>2.0943199999999997</v>
          </cell>
          <cell r="T229">
            <v>2.6813333333333328E-2</v>
          </cell>
          <cell r="U229">
            <v>0</v>
          </cell>
          <cell r="V229">
            <v>0</v>
          </cell>
          <cell r="W229">
            <v>2.693273333333333</v>
          </cell>
        </row>
        <row r="230">
          <cell r="D230" t="str">
            <v>KKLA-67030 0811</v>
          </cell>
          <cell r="E230" t="str">
            <v>KKLA67030</v>
          </cell>
          <cell r="F230" t="str">
            <v>KKLA67030</v>
          </cell>
          <cell r="G230">
            <v>1524.1</v>
          </cell>
          <cell r="H230">
            <v>31.143000000000001</v>
          </cell>
          <cell r="I230">
            <v>0.19339000000000001</v>
          </cell>
          <cell r="J230">
            <v>0.25402666666666668</v>
          </cell>
          <cell r="K230">
            <v>9.4851666666666654E-2</v>
          </cell>
          <cell r="L230">
            <v>0.50493999999999994</v>
          </cell>
          <cell r="M230">
            <v>1.2111066666666666</v>
          </cell>
          <cell r="N230">
            <v>1.3585000000000002E-2</v>
          </cell>
          <cell r="O230">
            <v>0.11730166666666667</v>
          </cell>
          <cell r="P230">
            <v>8.0873333333333339E-2</v>
          </cell>
          <cell r="Q230">
            <v>9.2645000000000005E-2</v>
          </cell>
          <cell r="R230">
            <v>0.54226833333333335</v>
          </cell>
          <cell r="S230">
            <v>2.0204516666666663</v>
          </cell>
          <cell r="T230">
            <v>2.6813333333333328E-2</v>
          </cell>
          <cell r="U230">
            <v>0</v>
          </cell>
          <cell r="V230">
            <v>0</v>
          </cell>
          <cell r="W230">
            <v>2.5895333333333328</v>
          </cell>
        </row>
        <row r="231">
          <cell r="D231" t="str">
            <v>KKLB-67030 0811</v>
          </cell>
          <cell r="E231" t="str">
            <v>KKLB67030</v>
          </cell>
          <cell r="F231" t="str">
            <v>KKLB67030</v>
          </cell>
          <cell r="G231">
            <v>1580.5</v>
          </cell>
          <cell r="H231">
            <v>31.143000000000001</v>
          </cell>
          <cell r="I231">
            <v>0.19934833333333335</v>
          </cell>
          <cell r="J231">
            <v>0.30557000000000001</v>
          </cell>
          <cell r="K231">
            <v>0.10131833333333334</v>
          </cell>
          <cell r="L231">
            <v>0.51854666666666671</v>
          </cell>
          <cell r="M231">
            <v>1.2197316666666667</v>
          </cell>
          <cell r="N231">
            <v>1.3585000000000002E-2</v>
          </cell>
          <cell r="O231">
            <v>0.11821666666666666</v>
          </cell>
          <cell r="P231">
            <v>8.1686666666666671E-2</v>
          </cell>
          <cell r="Q231">
            <v>9.3150000000000011E-2</v>
          </cell>
          <cell r="R231">
            <v>0.60623666666666676</v>
          </cell>
          <cell r="S231">
            <v>2.0449166666666665</v>
          </cell>
          <cell r="T231">
            <v>2.6813333333333328E-2</v>
          </cell>
          <cell r="U231">
            <v>0</v>
          </cell>
          <cell r="V231">
            <v>0</v>
          </cell>
          <cell r="W231">
            <v>2.6779666666666664</v>
          </cell>
        </row>
        <row r="232">
          <cell r="D232" t="str">
            <v>KKLD-67030 0811</v>
          </cell>
          <cell r="E232" t="str">
            <v>KKLD67030</v>
          </cell>
          <cell r="F232" t="str">
            <v>KKLD67030</v>
          </cell>
          <cell r="G232">
            <v>1730</v>
          </cell>
          <cell r="H232">
            <v>31.143000000000001</v>
          </cell>
          <cell r="I232">
            <v>0.21699666666666667</v>
          </cell>
          <cell r="J232">
            <v>0.36513666666666666</v>
          </cell>
          <cell r="K232">
            <v>0.10131833333333334</v>
          </cell>
          <cell r="L232">
            <v>0.5675</v>
          </cell>
          <cell r="M232">
            <v>1.2511133333333333</v>
          </cell>
          <cell r="N232">
            <v>1.4630000000000001E-2</v>
          </cell>
          <cell r="O232">
            <v>0.12222</v>
          </cell>
          <cell r="P232">
            <v>8.3423333333333335E-2</v>
          </cell>
          <cell r="Q232">
            <v>9.6180000000000002E-2</v>
          </cell>
          <cell r="R232">
            <v>0.68345166666666679</v>
          </cell>
          <cell r="S232">
            <v>2.1350666666666664</v>
          </cell>
          <cell r="T232">
            <v>2.6813333333333328E-2</v>
          </cell>
          <cell r="U232">
            <v>0</v>
          </cell>
          <cell r="V232">
            <v>0</v>
          </cell>
          <cell r="W232">
            <v>2.8453316666666666</v>
          </cell>
        </row>
        <row r="233">
          <cell r="D233" t="str">
            <v>KLFL-67030 0921</v>
          </cell>
          <cell r="E233" t="str">
            <v>KLFL67030</v>
          </cell>
          <cell r="F233" t="str">
            <v>KLFL67030</v>
          </cell>
          <cell r="G233">
            <v>1609.3</v>
          </cell>
          <cell r="H233">
            <v>36.2376</v>
          </cell>
          <cell r="I233">
            <v>0.20774999999999999</v>
          </cell>
          <cell r="J233">
            <v>0.37201833333333334</v>
          </cell>
          <cell r="K233">
            <v>7.2251666666666658E-2</v>
          </cell>
          <cell r="L233">
            <v>0.55233333333333334</v>
          </cell>
          <cell r="M233">
            <v>1.2219799999999998</v>
          </cell>
          <cell r="N233">
            <v>1.4630000000000001E-2</v>
          </cell>
          <cell r="O233">
            <v>0.11841166666666667</v>
          </cell>
          <cell r="P233">
            <v>7.445333333333333E-2</v>
          </cell>
          <cell r="Q233">
            <v>9.3039999999999998E-2</v>
          </cell>
          <cell r="R233">
            <v>0.65202000000000004</v>
          </cell>
          <cell r="S233">
            <v>2.0748483333333327</v>
          </cell>
          <cell r="T233">
            <v>2.6813333333333328E-2</v>
          </cell>
          <cell r="U233">
            <v>0</v>
          </cell>
          <cell r="V233">
            <v>0</v>
          </cell>
          <cell r="W233">
            <v>2.7536816666666661</v>
          </cell>
        </row>
        <row r="234">
          <cell r="D234" t="str">
            <v>KLFN-67030 0921</v>
          </cell>
          <cell r="E234" t="str">
            <v>KLFN67030</v>
          </cell>
          <cell r="F234" t="str">
            <v>KLFN67030</v>
          </cell>
          <cell r="G234">
            <v>1691.5</v>
          </cell>
          <cell r="H234">
            <v>36.2376</v>
          </cell>
          <cell r="I234">
            <v>0.21355333333333335</v>
          </cell>
          <cell r="J234">
            <v>0.38544833333333334</v>
          </cell>
          <cell r="K234">
            <v>8.2421666666666657E-2</v>
          </cell>
          <cell r="L234">
            <v>0.56461666666666666</v>
          </cell>
          <cell r="M234">
            <v>1.2463783333333334</v>
          </cell>
          <cell r="N234">
            <v>1.4630000000000001E-2</v>
          </cell>
          <cell r="O234">
            <v>0.12154333333333334</v>
          </cell>
          <cell r="P234">
            <v>7.797833333333333E-2</v>
          </cell>
          <cell r="Q234">
            <v>9.5668333333333327E-2</v>
          </cell>
          <cell r="R234">
            <v>0.68142333333333327</v>
          </cell>
          <cell r="S234">
            <v>2.1208149999999999</v>
          </cell>
          <cell r="T234">
            <v>2.6813333333333328E-2</v>
          </cell>
          <cell r="U234">
            <v>0</v>
          </cell>
          <cell r="V234">
            <v>0</v>
          </cell>
          <cell r="W234">
            <v>2.8290516666666665</v>
          </cell>
        </row>
        <row r="235">
          <cell r="D235" t="str">
            <v>KLFT-67030 0921</v>
          </cell>
          <cell r="E235" t="str">
            <v>KLFT67030</v>
          </cell>
          <cell r="F235" t="str">
            <v>KLFT67030</v>
          </cell>
          <cell r="G235">
            <v>1747.9</v>
          </cell>
          <cell r="H235">
            <v>36.2376</v>
          </cell>
          <cell r="I235">
            <v>0.21951333333333334</v>
          </cell>
          <cell r="J235">
            <v>0.43698999999999999</v>
          </cell>
          <cell r="K235">
            <v>8.8888333333333333E-2</v>
          </cell>
          <cell r="L235">
            <v>0.57822499999999999</v>
          </cell>
          <cell r="M235">
            <v>1.2550049999999999</v>
          </cell>
          <cell r="N235">
            <v>1.4630000000000001E-2</v>
          </cell>
          <cell r="O235">
            <v>0.12246</v>
          </cell>
          <cell r="P235">
            <v>7.879499999999999E-2</v>
          </cell>
          <cell r="Q235">
            <v>9.6173333333333347E-2</v>
          </cell>
          <cell r="R235">
            <v>0.74539166666666667</v>
          </cell>
          <cell r="S235">
            <v>2.1452883333333332</v>
          </cell>
          <cell r="T235">
            <v>2.6813333333333328E-2</v>
          </cell>
          <cell r="U235">
            <v>0</v>
          </cell>
          <cell r="V235">
            <v>0</v>
          </cell>
          <cell r="W235">
            <v>2.9174933333333328</v>
          </cell>
        </row>
        <row r="236">
          <cell r="D236" t="str">
            <v>KLFW-67030 0921</v>
          </cell>
          <cell r="E236" t="str">
            <v>KLFW67030</v>
          </cell>
          <cell r="F236" t="str">
            <v>KLFW67030</v>
          </cell>
          <cell r="G236">
            <v>1780.2</v>
          </cell>
          <cell r="H236">
            <v>36.2376</v>
          </cell>
          <cell r="I236">
            <v>0.22261333333333333</v>
          </cell>
          <cell r="J236">
            <v>0.43940666666666667</v>
          </cell>
          <cell r="K236">
            <v>0.10061166666666667</v>
          </cell>
          <cell r="L236">
            <v>0.58326666666666671</v>
          </cell>
          <cell r="M236">
            <v>1.281785</v>
          </cell>
          <cell r="N236">
            <v>1.4630000000000001E-2</v>
          </cell>
          <cell r="O236">
            <v>0.12478666666666666</v>
          </cell>
          <cell r="P236">
            <v>7.9966666666666672E-2</v>
          </cell>
          <cell r="Q236">
            <v>0.100825</v>
          </cell>
          <cell r="R236">
            <v>0.76263166666666671</v>
          </cell>
          <cell r="S236">
            <v>2.1852599999999995</v>
          </cell>
          <cell r="T236">
            <v>2.6813333333333328E-2</v>
          </cell>
          <cell r="U236">
            <v>0</v>
          </cell>
          <cell r="V236">
            <v>0</v>
          </cell>
          <cell r="W236">
            <v>2.9747049999999993</v>
          </cell>
        </row>
        <row r="237">
          <cell r="D237" t="str">
            <v>KLJM-67030 1001</v>
          </cell>
          <cell r="E237" t="str">
            <v>KLJM67030</v>
          </cell>
          <cell r="F237" t="str">
            <v>KLJM67030</v>
          </cell>
          <cell r="G237">
            <v>1747.4</v>
          </cell>
          <cell r="H237">
            <v>36.2376</v>
          </cell>
          <cell r="I237">
            <v>0.21892666666666666</v>
          </cell>
          <cell r="J237">
            <v>0.37037000000000003</v>
          </cell>
          <cell r="K237">
            <v>8.8888333333333333E-2</v>
          </cell>
          <cell r="L237">
            <v>0.57648333333333335</v>
          </cell>
          <cell r="M237">
            <v>1.2545499999999998</v>
          </cell>
          <cell r="N237">
            <v>1.4630000000000001E-2</v>
          </cell>
          <cell r="O237">
            <v>0.12230000000000001</v>
          </cell>
          <cell r="P237">
            <v>8.3423333333333335E-2</v>
          </cell>
          <cell r="Q237">
            <v>9.6180000000000002E-2</v>
          </cell>
          <cell r="R237">
            <v>0.67818500000000004</v>
          </cell>
          <cell r="S237">
            <v>2.1475666666666662</v>
          </cell>
          <cell r="T237">
            <v>2.6813333333333328E-2</v>
          </cell>
          <cell r="U237">
            <v>0</v>
          </cell>
          <cell r="V237">
            <v>0</v>
          </cell>
          <cell r="W237">
            <v>2.8525649999999994</v>
          </cell>
        </row>
        <row r="238">
          <cell r="D238" t="str">
            <v>KLJP-67030 1001</v>
          </cell>
          <cell r="E238" t="str">
            <v>KLJP67030</v>
          </cell>
          <cell r="F238" t="str">
            <v>KLJP67030</v>
          </cell>
          <cell r="G238">
            <v>1786.3</v>
          </cell>
          <cell r="H238">
            <v>36.2376</v>
          </cell>
          <cell r="I238">
            <v>0.22318833333333332</v>
          </cell>
          <cell r="J238">
            <v>0.37278666666666666</v>
          </cell>
          <cell r="K238">
            <v>0.10061166666666667</v>
          </cell>
          <cell r="L238">
            <v>0.58491666666666664</v>
          </cell>
          <cell r="M238">
            <v>1.2840533333333333</v>
          </cell>
          <cell r="N238">
            <v>1.4630000000000001E-2</v>
          </cell>
          <cell r="O238">
            <v>0.125445</v>
          </cell>
          <cell r="P238">
            <v>8.4950000000000012E-2</v>
          </cell>
          <cell r="Q238">
            <v>0.10102999999999999</v>
          </cell>
          <cell r="R238">
            <v>0.69658666666666658</v>
          </cell>
          <cell r="S238">
            <v>2.1950250000000002</v>
          </cell>
          <cell r="T238">
            <v>2.6813333333333328E-2</v>
          </cell>
          <cell r="U238">
            <v>0</v>
          </cell>
          <cell r="V238">
            <v>0</v>
          </cell>
          <cell r="W238">
            <v>2.918425</v>
          </cell>
        </row>
        <row r="239">
          <cell r="D239" t="str">
            <v>KLM1-67030A 0591</v>
          </cell>
          <cell r="E239" t="str">
            <v>KLM167030</v>
          </cell>
          <cell r="F239" t="str">
            <v>KLM167030</v>
          </cell>
          <cell r="G239">
            <v>1665</v>
          </cell>
          <cell r="H239">
            <v>33.282899999999998</v>
          </cell>
          <cell r="I239">
            <v>0.21283666666666667</v>
          </cell>
          <cell r="J239">
            <v>0.34779166666666667</v>
          </cell>
          <cell r="K239">
            <v>6.7739999999999995E-2</v>
          </cell>
          <cell r="L239">
            <v>0.55316166666666666</v>
          </cell>
          <cell r="M239">
            <v>1.2681716666666667</v>
          </cell>
          <cell r="N239">
            <v>1.5675000000000001E-2</v>
          </cell>
          <cell r="O239">
            <v>0.12252666666666667</v>
          </cell>
          <cell r="P239">
            <v>7.8370000000000009E-2</v>
          </cell>
          <cell r="Q239">
            <v>0.101105</v>
          </cell>
          <cell r="R239">
            <v>0.62836833333333331</v>
          </cell>
          <cell r="S239">
            <v>2.1390100000000003</v>
          </cell>
          <cell r="T239">
            <v>2.6813333333333328E-2</v>
          </cell>
          <cell r="U239">
            <v>0</v>
          </cell>
          <cell r="V239">
            <v>0</v>
          </cell>
          <cell r="W239">
            <v>2.7941916666666669</v>
          </cell>
        </row>
        <row r="240">
          <cell r="D240" t="str">
            <v>KLM2-67030A 0591</v>
          </cell>
          <cell r="E240" t="str">
            <v>KLM267030</v>
          </cell>
          <cell r="F240" t="str">
            <v>KLM267030</v>
          </cell>
          <cell r="G240">
            <v>1665</v>
          </cell>
          <cell r="H240">
            <v>33.282899999999998</v>
          </cell>
          <cell r="I240">
            <v>0.21344833333333335</v>
          </cell>
          <cell r="J240">
            <v>0.34779166666666667</v>
          </cell>
          <cell r="K240">
            <v>6.7739999999999995E-2</v>
          </cell>
          <cell r="L240">
            <v>0.55316166666666666</v>
          </cell>
          <cell r="M240">
            <v>1.2873666666666668</v>
          </cell>
          <cell r="N240">
            <v>1.5675000000000001E-2</v>
          </cell>
          <cell r="O240">
            <v>0.12324500000000001</v>
          </cell>
          <cell r="P240">
            <v>7.8991666666666654E-2</v>
          </cell>
          <cell r="Q240">
            <v>0.10355500000000001</v>
          </cell>
          <cell r="R240">
            <v>0.62897999999999998</v>
          </cell>
          <cell r="S240">
            <v>2.1619950000000001</v>
          </cell>
          <cell r="T240">
            <v>2.6813333333333328E-2</v>
          </cell>
          <cell r="U240">
            <v>0</v>
          </cell>
          <cell r="V240">
            <v>0</v>
          </cell>
          <cell r="W240">
            <v>2.8177883333333331</v>
          </cell>
        </row>
        <row r="241">
          <cell r="D241" t="str">
            <v>KMF1-67030 0531</v>
          </cell>
          <cell r="E241" t="str">
            <v>KMF167030</v>
          </cell>
          <cell r="F241" t="str">
            <v>KMF167030</v>
          </cell>
          <cell r="G241">
            <v>1523</v>
          </cell>
          <cell r="H241">
            <v>36.132599999999996</v>
          </cell>
          <cell r="I241">
            <v>0.20541499999999999</v>
          </cell>
          <cell r="J241">
            <v>0.39000333333333337</v>
          </cell>
          <cell r="K241">
            <v>7.7441666666666659E-2</v>
          </cell>
          <cell r="L241">
            <v>0.53179166666666666</v>
          </cell>
          <cell r="M241">
            <v>1.1041033333333334</v>
          </cell>
          <cell r="N241">
            <v>1.3585000000000002E-2</v>
          </cell>
          <cell r="O241">
            <v>0.11357333333333333</v>
          </cell>
          <cell r="P241">
            <v>7.5686666666666666E-2</v>
          </cell>
          <cell r="Q241">
            <v>8.2715000000000011E-2</v>
          </cell>
          <cell r="R241">
            <v>0.67286000000000001</v>
          </cell>
          <cell r="S241">
            <v>1.9214550000000001</v>
          </cell>
          <cell r="T241">
            <v>2.6813333333333328E-2</v>
          </cell>
          <cell r="U241">
            <v>0</v>
          </cell>
          <cell r="V241">
            <v>0</v>
          </cell>
          <cell r="W241">
            <v>2.6211283333333331</v>
          </cell>
        </row>
        <row r="242">
          <cell r="D242" t="str">
            <v>KMF7-67030 0531</v>
          </cell>
          <cell r="E242" t="str">
            <v>KMF767030</v>
          </cell>
          <cell r="F242" t="str">
            <v>KMF767030</v>
          </cell>
          <cell r="G242">
            <v>1476</v>
          </cell>
          <cell r="H242">
            <v>33.648299999999999</v>
          </cell>
          <cell r="I242">
            <v>0.19684166666666666</v>
          </cell>
          <cell r="J242">
            <v>0.38994166666666669</v>
          </cell>
          <cell r="K242">
            <v>7.4099999999999999E-2</v>
          </cell>
          <cell r="L242">
            <v>0.50539000000000001</v>
          </cell>
          <cell r="M242">
            <v>1.0714866666666665</v>
          </cell>
          <cell r="N242">
            <v>1.3585000000000002E-2</v>
          </cell>
          <cell r="O242">
            <v>0.10874333333333334</v>
          </cell>
          <cell r="P242">
            <v>7.2908333333333339E-2</v>
          </cell>
          <cell r="Q242">
            <v>8.1193333333333326E-2</v>
          </cell>
          <cell r="R242">
            <v>0.66088333333333327</v>
          </cell>
          <cell r="S242">
            <v>1.8533066666666664</v>
          </cell>
          <cell r="T242">
            <v>2.6813333333333328E-2</v>
          </cell>
          <cell r="U242">
            <v>0</v>
          </cell>
          <cell r="V242">
            <v>0</v>
          </cell>
          <cell r="W242">
            <v>2.5410033333333328</v>
          </cell>
        </row>
        <row r="243">
          <cell r="D243" t="str">
            <v>KMV6-67240 1121</v>
          </cell>
          <cell r="E243" t="str">
            <v>KMV667240</v>
          </cell>
          <cell r="F243" t="str">
            <v>KMV667240</v>
          </cell>
          <cell r="G243">
            <v>59.557470000000002</v>
          </cell>
          <cell r="H243">
            <v>0</v>
          </cell>
          <cell r="I243">
            <v>1.3408333333333333E-2</v>
          </cell>
          <cell r="J243">
            <v>0</v>
          </cell>
          <cell r="K243">
            <v>0</v>
          </cell>
          <cell r="L243">
            <v>3.3549999999999996E-2</v>
          </cell>
          <cell r="M243">
            <v>0.15979666666666667</v>
          </cell>
          <cell r="N243">
            <v>2.0900000000000003E-3</v>
          </cell>
          <cell r="O243">
            <v>2.3196666666666664E-2</v>
          </cell>
          <cell r="P243">
            <v>1.3253333333333334E-2</v>
          </cell>
          <cell r="Q243">
            <v>5.1433333333333331E-3</v>
          </cell>
          <cell r="R243">
            <v>1.3408333333333333E-2</v>
          </cell>
          <cell r="S243">
            <v>0.23703000000000002</v>
          </cell>
          <cell r="T243">
            <v>0</v>
          </cell>
          <cell r="U243">
            <v>0</v>
          </cell>
          <cell r="V243">
            <v>0</v>
          </cell>
          <cell r="W243">
            <v>0.25043833333333337</v>
          </cell>
        </row>
        <row r="244">
          <cell r="D244" t="str">
            <v>KMV6-67SJ0 0801</v>
          </cell>
          <cell r="E244" t="str">
            <v>KMV667SJ0</v>
          </cell>
          <cell r="F244" t="str">
            <v>KMV667SJ0</v>
          </cell>
          <cell r="G244">
            <v>27.8</v>
          </cell>
          <cell r="H244">
            <v>0</v>
          </cell>
          <cell r="I244">
            <v>6.8566666666666663E-3</v>
          </cell>
          <cell r="J244">
            <v>6.8999999999999999E-3</v>
          </cell>
          <cell r="K244">
            <v>0</v>
          </cell>
          <cell r="L244">
            <v>2.9501666666666666E-2</v>
          </cell>
          <cell r="M244">
            <v>5.5386666666666667E-2</v>
          </cell>
          <cell r="N244">
            <v>0</v>
          </cell>
          <cell r="O244">
            <v>1.6514999999999998E-2</v>
          </cell>
          <cell r="P244">
            <v>8.8500000000000002E-3</v>
          </cell>
          <cell r="Q244">
            <v>3.6650000000000003E-3</v>
          </cell>
          <cell r="R244">
            <v>1.3756666666666667E-2</v>
          </cell>
          <cell r="S244">
            <v>0.11391833333333333</v>
          </cell>
          <cell r="T244">
            <v>0</v>
          </cell>
          <cell r="U244">
            <v>0</v>
          </cell>
          <cell r="V244">
            <v>0</v>
          </cell>
          <cell r="W244">
            <v>0.12767499999999998</v>
          </cell>
        </row>
        <row r="245">
          <cell r="D245" t="str">
            <v>KNM2-67030 0381</v>
          </cell>
          <cell r="E245" t="str">
            <v>KNM267030</v>
          </cell>
          <cell r="F245" t="str">
            <v>KNM267030</v>
          </cell>
          <cell r="G245">
            <v>1479.3</v>
          </cell>
          <cell r="H245">
            <v>31.086300000000001</v>
          </cell>
          <cell r="I245">
            <v>0.18196833333333334</v>
          </cell>
          <cell r="J245">
            <v>0.23547999999999999</v>
          </cell>
          <cell r="K245">
            <v>6.0716666666666662E-2</v>
          </cell>
          <cell r="L245">
            <v>0.47052833333333333</v>
          </cell>
          <cell r="M245">
            <v>1.1314649999999999</v>
          </cell>
          <cell r="N245">
            <v>1.3585000000000002E-2</v>
          </cell>
          <cell r="O245">
            <v>0.10703166666666666</v>
          </cell>
          <cell r="P245">
            <v>7.1893333333333337E-2</v>
          </cell>
          <cell r="Q245">
            <v>8.6595000000000005E-2</v>
          </cell>
          <cell r="R245">
            <v>0.47816499999999995</v>
          </cell>
          <cell r="S245">
            <v>1.8810983333333331</v>
          </cell>
          <cell r="T245">
            <v>2.6813333333333328E-2</v>
          </cell>
          <cell r="U245">
            <v>0</v>
          </cell>
          <cell r="V245">
            <v>0</v>
          </cell>
          <cell r="W245">
            <v>2.386076666666666</v>
          </cell>
        </row>
        <row r="246">
          <cell r="D246" t="str">
            <v>KNM3-67030 0391</v>
          </cell>
          <cell r="E246" t="str">
            <v>KNM367030</v>
          </cell>
          <cell r="F246" t="str">
            <v>KNM367030</v>
          </cell>
          <cell r="G246">
            <v>1619</v>
          </cell>
          <cell r="H246">
            <v>33.282899999999998</v>
          </cell>
          <cell r="I246">
            <v>0.207785</v>
          </cell>
          <cell r="J246">
            <v>0.34148333333333336</v>
          </cell>
          <cell r="K246">
            <v>6.7739999999999995E-2</v>
          </cell>
          <cell r="L246">
            <v>0.54526000000000008</v>
          </cell>
          <cell r="M246">
            <v>1.2345466666666667</v>
          </cell>
          <cell r="N246">
            <v>1.4630000000000001E-2</v>
          </cell>
          <cell r="O246">
            <v>0.11844666666666666</v>
          </cell>
          <cell r="P246">
            <v>7.7623333333333336E-2</v>
          </cell>
          <cell r="Q246">
            <v>9.5108333333333336E-2</v>
          </cell>
          <cell r="R246">
            <v>0.61700833333333338</v>
          </cell>
          <cell r="S246">
            <v>2.0856149999999998</v>
          </cell>
          <cell r="T246">
            <v>2.6813333333333328E-2</v>
          </cell>
          <cell r="U246">
            <v>0</v>
          </cell>
          <cell r="V246">
            <v>0</v>
          </cell>
          <cell r="W246">
            <v>2.7294366666666665</v>
          </cell>
        </row>
        <row r="247">
          <cell r="D247" t="str">
            <v>KNM4-67030 0391</v>
          </cell>
          <cell r="E247" t="str">
            <v>KNM467030</v>
          </cell>
          <cell r="F247" t="str">
            <v>KNM467030</v>
          </cell>
          <cell r="G247">
            <v>1679.6</v>
          </cell>
          <cell r="H247">
            <v>33.282899999999998</v>
          </cell>
          <cell r="I247">
            <v>0.21375666666666668</v>
          </cell>
          <cell r="J247">
            <v>0.39332833333333334</v>
          </cell>
          <cell r="K247">
            <v>7.4206666666666671E-2</v>
          </cell>
          <cell r="L247">
            <v>0.5588683333333333</v>
          </cell>
          <cell r="M247">
            <v>1.2432033333333334</v>
          </cell>
          <cell r="N247">
            <v>1.4630000000000001E-2</v>
          </cell>
          <cell r="O247">
            <v>0.11936166666666666</v>
          </cell>
          <cell r="P247">
            <v>7.8436666666666668E-2</v>
          </cell>
          <cell r="Q247">
            <v>9.5613333333333328E-2</v>
          </cell>
          <cell r="R247">
            <v>0.68129166666666663</v>
          </cell>
          <cell r="S247">
            <v>2.1101133333333335</v>
          </cell>
          <cell r="T247">
            <v>2.6813333333333328E-2</v>
          </cell>
          <cell r="U247">
            <v>0</v>
          </cell>
          <cell r="V247">
            <v>0</v>
          </cell>
          <cell r="W247">
            <v>2.8182183333333333</v>
          </cell>
        </row>
        <row r="248">
          <cell r="D248" t="str">
            <v>KNM7-67030 0391</v>
          </cell>
          <cell r="E248" t="str">
            <v>KNM767030</v>
          </cell>
          <cell r="F248" t="str">
            <v>KNM767030</v>
          </cell>
          <cell r="G248">
            <v>1545.3</v>
          </cell>
          <cell r="H248">
            <v>31.086300000000001</v>
          </cell>
          <cell r="I248">
            <v>0.19749</v>
          </cell>
          <cell r="J248">
            <v>0.34142833333333333</v>
          </cell>
          <cell r="K248">
            <v>6.0716666666666662E-2</v>
          </cell>
          <cell r="L248">
            <v>0.51810333333333336</v>
          </cell>
          <cell r="M248">
            <v>1.1526850000000002</v>
          </cell>
          <cell r="N248">
            <v>1.4630000000000001E-2</v>
          </cell>
          <cell r="O248">
            <v>0.11036833333333333</v>
          </cell>
          <cell r="P248">
            <v>7.3041666666666671E-2</v>
          </cell>
          <cell r="Q248">
            <v>8.7251666666666672E-2</v>
          </cell>
          <cell r="R248">
            <v>0.59963500000000003</v>
          </cell>
          <cell r="S248">
            <v>1.9560800000000003</v>
          </cell>
          <cell r="T248">
            <v>2.6813333333333328E-2</v>
          </cell>
          <cell r="U248">
            <v>0</v>
          </cell>
          <cell r="V248">
            <v>0</v>
          </cell>
          <cell r="W248">
            <v>2.5825283333333333</v>
          </cell>
        </row>
        <row r="249">
          <cell r="D249" t="str">
            <v>KNM8-67030 0391</v>
          </cell>
          <cell r="E249" t="str">
            <v>KNM867030</v>
          </cell>
          <cell r="F249" t="str">
            <v>KNM867030</v>
          </cell>
          <cell r="G249">
            <v>1599.5</v>
          </cell>
          <cell r="H249">
            <v>33.282899999999998</v>
          </cell>
          <cell r="I249">
            <v>0.206375</v>
          </cell>
          <cell r="J249">
            <v>0.34148333333333336</v>
          </cell>
          <cell r="K249">
            <v>6.7739999999999995E-2</v>
          </cell>
          <cell r="L249">
            <v>0.54177666666666668</v>
          </cell>
          <cell r="M249">
            <v>1.2294766666666668</v>
          </cell>
          <cell r="N249">
            <v>1.4630000000000001E-2</v>
          </cell>
          <cell r="O249">
            <v>0.11762166666666667</v>
          </cell>
          <cell r="P249">
            <v>7.7083333333333337E-2</v>
          </cell>
          <cell r="Q249">
            <v>9.2770000000000005E-2</v>
          </cell>
          <cell r="R249">
            <v>0.61559833333333336</v>
          </cell>
          <cell r="S249">
            <v>2.0733583333333336</v>
          </cell>
          <cell r="T249">
            <v>2.6813333333333328E-2</v>
          </cell>
          <cell r="U249">
            <v>0</v>
          </cell>
          <cell r="V249">
            <v>0</v>
          </cell>
          <cell r="W249">
            <v>2.71577</v>
          </cell>
        </row>
        <row r="250">
          <cell r="D250" t="str">
            <v>KR9P-67030C 1811</v>
          </cell>
          <cell r="E250" t="str">
            <v>KR9P67030</v>
          </cell>
          <cell r="F250" t="str">
            <v>KR9P67030</v>
          </cell>
          <cell r="G250">
            <v>1242.4000000000001</v>
          </cell>
          <cell r="H250">
            <v>0</v>
          </cell>
          <cell r="I250">
            <v>0.19727333333333333</v>
          </cell>
          <cell r="J250">
            <v>0.40313666666666664</v>
          </cell>
          <cell r="K250">
            <v>0.10896</v>
          </cell>
          <cell r="L250">
            <v>0.47976166666666664</v>
          </cell>
          <cell r="M250">
            <v>1.0264599999999999</v>
          </cell>
          <cell r="N250">
            <v>9.4050000000000002E-3</v>
          </cell>
          <cell r="O250">
            <v>0.10052999999999999</v>
          </cell>
          <cell r="P250">
            <v>5.3193333333333336E-2</v>
          </cell>
          <cell r="Q250">
            <v>7.020333333333334E-2</v>
          </cell>
          <cell r="R250">
            <v>0.70937000000000006</v>
          </cell>
          <cell r="S250">
            <v>1.7395533333333335</v>
          </cell>
          <cell r="T250">
            <v>0</v>
          </cell>
          <cell r="U250">
            <v>0</v>
          </cell>
          <cell r="V250">
            <v>0</v>
          </cell>
          <cell r="W250">
            <v>2.4489233333333336</v>
          </cell>
        </row>
        <row r="251">
          <cell r="D251" t="str">
            <v>KR9P-67120A 0511</v>
          </cell>
          <cell r="E251" t="str">
            <v>KR9P67120</v>
          </cell>
          <cell r="F251" t="str">
            <v>KR9P67120</v>
          </cell>
          <cell r="G251">
            <v>30.6</v>
          </cell>
          <cell r="H251">
            <v>0</v>
          </cell>
          <cell r="I251">
            <v>9.9600000000000001E-3</v>
          </cell>
          <cell r="J251">
            <v>5.933333333333333E-3</v>
          </cell>
          <cell r="K251">
            <v>0</v>
          </cell>
          <cell r="L251">
            <v>1.6500000000000001E-2</v>
          </cell>
          <cell r="M251">
            <v>0.21427500000000002</v>
          </cell>
          <cell r="N251">
            <v>1.0450000000000001E-3</v>
          </cell>
          <cell r="O251">
            <v>1.8705000000000003E-2</v>
          </cell>
          <cell r="P251">
            <v>1.0863333333333334E-2</v>
          </cell>
          <cell r="Q251">
            <v>5.5533333333333329E-3</v>
          </cell>
          <cell r="R251">
            <v>1.5893333333333332E-2</v>
          </cell>
          <cell r="S251">
            <v>0.26694166666666669</v>
          </cell>
          <cell r="T251">
            <v>0</v>
          </cell>
          <cell r="U251">
            <v>0</v>
          </cell>
          <cell r="V251">
            <v>0</v>
          </cell>
          <cell r="W251">
            <v>0.282835</v>
          </cell>
        </row>
        <row r="252">
          <cell r="D252" t="str">
            <v>KR9P-67240B 1121</v>
          </cell>
          <cell r="E252" t="str">
            <v>KR9P67240</v>
          </cell>
          <cell r="F252" t="str">
            <v>KR9P67240</v>
          </cell>
          <cell r="G252">
            <v>62.961440000000003</v>
          </cell>
          <cell r="H252">
            <v>0</v>
          </cell>
          <cell r="I252">
            <v>1.5061666666666666E-2</v>
          </cell>
          <cell r="J252">
            <v>0</v>
          </cell>
          <cell r="K252">
            <v>0</v>
          </cell>
          <cell r="L252">
            <v>3.9050000000000001E-2</v>
          </cell>
          <cell r="M252">
            <v>0.16447499999999998</v>
          </cell>
          <cell r="N252">
            <v>2.0900000000000003E-3</v>
          </cell>
          <cell r="O252">
            <v>2.4094999999999998E-2</v>
          </cell>
          <cell r="P252">
            <v>1.3541666666666667E-2</v>
          </cell>
          <cell r="Q252">
            <v>5.338333333333333E-3</v>
          </cell>
          <cell r="R252">
            <v>1.5061666666666666E-2</v>
          </cell>
          <cell r="S252">
            <v>0.24859000000000001</v>
          </cell>
          <cell r="T252">
            <v>0</v>
          </cell>
          <cell r="U252">
            <v>0</v>
          </cell>
          <cell r="V252">
            <v>0</v>
          </cell>
          <cell r="W252">
            <v>0.26365166666666667</v>
          </cell>
        </row>
        <row r="253">
          <cell r="D253" t="str">
            <v>KR9P-67SJ0 0311</v>
          </cell>
          <cell r="E253" t="str">
            <v>KR9P67SJ0</v>
          </cell>
          <cell r="F253" t="str">
            <v>KR9P67SJ0</v>
          </cell>
          <cell r="G253">
            <v>2.8</v>
          </cell>
          <cell r="H253">
            <v>0</v>
          </cell>
          <cell r="I253">
            <v>2.8699999999999997E-3</v>
          </cell>
          <cell r="J253">
            <v>0</v>
          </cell>
          <cell r="K253">
            <v>0</v>
          </cell>
          <cell r="L253">
            <v>9.1666666666666667E-3</v>
          </cell>
          <cell r="M253">
            <v>2.8178333333333336E-2</v>
          </cell>
          <cell r="N253">
            <v>0</v>
          </cell>
          <cell r="O253">
            <v>1.0254999999999998E-2</v>
          </cell>
          <cell r="P253">
            <v>2.5100000000000001E-3</v>
          </cell>
          <cell r="Q253">
            <v>2.0950000000000001E-3</v>
          </cell>
          <cell r="R253">
            <v>2.8699999999999997E-3</v>
          </cell>
          <cell r="S253">
            <v>5.2205000000000001E-2</v>
          </cell>
          <cell r="T253">
            <v>0</v>
          </cell>
          <cell r="U253">
            <v>0</v>
          </cell>
          <cell r="V253">
            <v>0</v>
          </cell>
          <cell r="W253">
            <v>5.5074999999999999E-2</v>
          </cell>
        </row>
        <row r="254">
          <cell r="D254" t="str">
            <v>KRH6-67030A 0731</v>
          </cell>
          <cell r="E254" t="str">
            <v>KRH667030</v>
          </cell>
          <cell r="F254" t="str">
            <v>KRH667030</v>
          </cell>
          <cell r="G254">
            <v>1780.2</v>
          </cell>
          <cell r="H254">
            <v>36.132599999999996</v>
          </cell>
          <cell r="I254">
            <v>0.23399833333333334</v>
          </cell>
          <cell r="J254">
            <v>0.56905833333333333</v>
          </cell>
          <cell r="K254">
            <v>0.10105166666666668</v>
          </cell>
          <cell r="L254">
            <v>0.59935166666666673</v>
          </cell>
          <cell r="M254">
            <v>1.163135</v>
          </cell>
          <cell r="N254">
            <v>1.4630000000000001E-2</v>
          </cell>
          <cell r="O254">
            <v>0.12102833333333333</v>
          </cell>
          <cell r="P254">
            <v>8.0946666666666667E-2</v>
          </cell>
          <cell r="Q254">
            <v>9.0388333333333334E-2</v>
          </cell>
          <cell r="R254">
            <v>0.90410833333333329</v>
          </cell>
          <cell r="S254">
            <v>2.06948</v>
          </cell>
          <cell r="T254">
            <v>2.6813333333333328E-2</v>
          </cell>
          <cell r="U254">
            <v>0</v>
          </cell>
          <cell r="V254">
            <v>0</v>
          </cell>
          <cell r="W254">
            <v>3.0004016666666664</v>
          </cell>
        </row>
        <row r="255">
          <cell r="D255" t="str">
            <v>KRL3-67030A 0731</v>
          </cell>
          <cell r="E255" t="str">
            <v>KRL367030</v>
          </cell>
          <cell r="F255" t="str">
            <v>KRL367030</v>
          </cell>
          <cell r="G255">
            <v>1871</v>
          </cell>
          <cell r="H255">
            <v>36.132599999999996</v>
          </cell>
          <cell r="I255">
            <v>0.23258333333333334</v>
          </cell>
          <cell r="J255">
            <v>0.59378000000000009</v>
          </cell>
          <cell r="K255">
            <v>0.11945166666666666</v>
          </cell>
          <cell r="L255">
            <v>0.59413166666666661</v>
          </cell>
          <cell r="M255">
            <v>1.1840949999999999</v>
          </cell>
          <cell r="N255">
            <v>1.4630000000000001E-2</v>
          </cell>
          <cell r="O255">
            <v>0.12349666666666666</v>
          </cell>
          <cell r="P255">
            <v>8.2831666666666665E-2</v>
          </cell>
          <cell r="Q255">
            <v>9.1388333333333335E-2</v>
          </cell>
          <cell r="R255">
            <v>0.94581500000000007</v>
          </cell>
          <cell r="S255">
            <v>2.090573333333333</v>
          </cell>
          <cell r="T255">
            <v>2.6813333333333328E-2</v>
          </cell>
          <cell r="U255">
            <v>0</v>
          </cell>
          <cell r="V255">
            <v>0</v>
          </cell>
          <cell r="W255">
            <v>3.0632016666666662</v>
          </cell>
        </row>
        <row r="256">
          <cell r="D256" t="str">
            <v>KRT2-67030A 0431</v>
          </cell>
          <cell r="E256" t="str">
            <v>KRT267030</v>
          </cell>
          <cell r="F256" t="str">
            <v>KRT267030</v>
          </cell>
          <cell r="G256">
            <v>1749.6</v>
          </cell>
          <cell r="H256">
            <v>36.2376</v>
          </cell>
          <cell r="I256">
            <v>0.22057833333333335</v>
          </cell>
          <cell r="J256">
            <v>0.42337333333333332</v>
          </cell>
          <cell r="K256">
            <v>8.2421666666666657E-2</v>
          </cell>
          <cell r="L256">
            <v>0.58085999999999993</v>
          </cell>
          <cell r="M256">
            <v>1.3093783333333335</v>
          </cell>
          <cell r="N256">
            <v>1.5675000000000001E-2</v>
          </cell>
          <cell r="O256">
            <v>0.12634500000000001</v>
          </cell>
          <cell r="P256">
            <v>8.3995E-2</v>
          </cell>
          <cell r="Q256">
            <v>0.10614666666666667</v>
          </cell>
          <cell r="R256">
            <v>0.72637333333333332</v>
          </cell>
          <cell r="S256">
            <v>2.2223999999999999</v>
          </cell>
          <cell r="T256">
            <v>2.6813333333333328E-2</v>
          </cell>
          <cell r="U256">
            <v>0</v>
          </cell>
          <cell r="V256">
            <v>0</v>
          </cell>
          <cell r="W256">
            <v>2.9755866666666666</v>
          </cell>
        </row>
        <row r="257">
          <cell r="D257" t="str">
            <v>KRT6-67030A 0431</v>
          </cell>
          <cell r="E257" t="str">
            <v>KRT667030</v>
          </cell>
          <cell r="F257" t="str">
            <v>KRT667030</v>
          </cell>
          <cell r="G257">
            <v>1806</v>
          </cell>
          <cell r="H257">
            <v>36.2376</v>
          </cell>
          <cell r="I257">
            <v>0.22653833333333334</v>
          </cell>
          <cell r="J257">
            <v>0.47491500000000003</v>
          </cell>
          <cell r="K257">
            <v>8.8888333333333333E-2</v>
          </cell>
          <cell r="L257">
            <v>0.59446833333333338</v>
          </cell>
          <cell r="M257">
            <v>1.3180016666666667</v>
          </cell>
          <cell r="N257">
            <v>1.5675000000000001E-2</v>
          </cell>
          <cell r="O257">
            <v>0.12726000000000001</v>
          </cell>
          <cell r="P257">
            <v>8.4808333333333333E-2</v>
          </cell>
          <cell r="Q257">
            <v>0.10665333333333334</v>
          </cell>
          <cell r="R257">
            <v>0.79034166666666672</v>
          </cell>
          <cell r="S257">
            <v>2.246866666666667</v>
          </cell>
          <cell r="T257">
            <v>2.6813333333333328E-2</v>
          </cell>
          <cell r="U257">
            <v>0</v>
          </cell>
          <cell r="V257">
            <v>0</v>
          </cell>
          <cell r="W257">
            <v>3.0640216666666671</v>
          </cell>
        </row>
        <row r="258">
          <cell r="D258" t="str">
            <v>KRT8-67030A 0431</v>
          </cell>
          <cell r="E258" t="str">
            <v>KRT867030</v>
          </cell>
          <cell r="F258" t="str">
            <v>KRT867030</v>
          </cell>
          <cell r="G258">
            <v>1838.3</v>
          </cell>
          <cell r="H258">
            <v>36.2376</v>
          </cell>
          <cell r="I258">
            <v>0.22963999999999998</v>
          </cell>
          <cell r="J258">
            <v>0.47733166666666665</v>
          </cell>
          <cell r="K258">
            <v>0.10061166666666667</v>
          </cell>
          <cell r="L258">
            <v>0.59950999999999999</v>
          </cell>
          <cell r="M258">
            <v>1.3447850000000001</v>
          </cell>
          <cell r="N258">
            <v>1.5675000000000001E-2</v>
          </cell>
          <cell r="O258">
            <v>0.12958666666666666</v>
          </cell>
          <cell r="P258">
            <v>8.5980000000000001E-2</v>
          </cell>
          <cell r="Q258">
            <v>0.11130333333333334</v>
          </cell>
          <cell r="R258">
            <v>0.80758333333333332</v>
          </cell>
          <cell r="S258">
            <v>2.2868400000000002</v>
          </cell>
          <cell r="T258">
            <v>2.6813333333333328E-2</v>
          </cell>
          <cell r="U258">
            <v>0</v>
          </cell>
          <cell r="V258">
            <v>0</v>
          </cell>
          <cell r="W258">
            <v>3.1212366666666664</v>
          </cell>
        </row>
        <row r="259">
          <cell r="D259" t="str">
            <v>KS0G-67030B 0811</v>
          </cell>
          <cell r="E259" t="str">
            <v>KS0G67030</v>
          </cell>
          <cell r="F259" t="str">
            <v>KS0G67030</v>
          </cell>
          <cell r="G259">
            <v>1207.0999999999999</v>
          </cell>
          <cell r="H259">
            <v>0</v>
          </cell>
          <cell r="I259">
            <v>0.197155</v>
          </cell>
          <cell r="J259">
            <v>0.41206666666666669</v>
          </cell>
          <cell r="K259">
            <v>9.7753333333333331E-2</v>
          </cell>
          <cell r="L259">
            <v>0.48164166666666663</v>
          </cell>
          <cell r="M259">
            <v>1.059375</v>
          </cell>
          <cell r="N259">
            <v>9.4050000000000002E-3</v>
          </cell>
          <cell r="O259">
            <v>0.10175666666666668</v>
          </cell>
          <cell r="P259">
            <v>5.366166666666667E-2</v>
          </cell>
          <cell r="Q259">
            <v>7.0443333333333344E-2</v>
          </cell>
          <cell r="R259">
            <v>0.70697500000000002</v>
          </cell>
          <cell r="S259">
            <v>1.7762833333333337</v>
          </cell>
          <cell r="T259">
            <v>0</v>
          </cell>
          <cell r="U259">
            <v>0</v>
          </cell>
          <cell r="V259">
            <v>0</v>
          </cell>
          <cell r="W259">
            <v>2.4832583333333336</v>
          </cell>
        </row>
        <row r="260">
          <cell r="D260" t="str">
            <v>KS0G-67240A 1121</v>
          </cell>
          <cell r="E260" t="str">
            <v>KS0G67240</v>
          </cell>
          <cell r="F260" t="str">
            <v>KS0G67240</v>
          </cell>
          <cell r="G260">
            <v>63.9</v>
          </cell>
          <cell r="H260">
            <v>0</v>
          </cell>
          <cell r="I260">
            <v>1.5036666666666667E-2</v>
          </cell>
          <cell r="J260">
            <v>0</v>
          </cell>
          <cell r="K260">
            <v>0</v>
          </cell>
          <cell r="L260">
            <v>3.9050000000000001E-2</v>
          </cell>
          <cell r="M260">
            <v>0.169155</v>
          </cell>
          <cell r="N260">
            <v>2.0900000000000003E-3</v>
          </cell>
          <cell r="O260">
            <v>2.4101666666666667E-2</v>
          </cell>
          <cell r="P260">
            <v>1.371E-2</v>
          </cell>
          <cell r="Q260">
            <v>5.4549999999999998E-3</v>
          </cell>
          <cell r="R260">
            <v>1.5036666666666667E-2</v>
          </cell>
          <cell r="S260">
            <v>0.25356166666666669</v>
          </cell>
          <cell r="T260">
            <v>0</v>
          </cell>
          <cell r="U260">
            <v>0</v>
          </cell>
          <cell r="V260">
            <v>0</v>
          </cell>
          <cell r="W260">
            <v>0.26859833333333333</v>
          </cell>
        </row>
        <row r="261">
          <cell r="D261" t="str">
            <v>KS1A-67120 0441</v>
          </cell>
          <cell r="E261" t="str">
            <v>KS1A67120</v>
          </cell>
          <cell r="F261" t="str">
            <v>KS1A67120</v>
          </cell>
          <cell r="G261">
            <v>29.8</v>
          </cell>
          <cell r="H261">
            <v>0</v>
          </cell>
          <cell r="I261">
            <v>8.5533333333333329E-3</v>
          </cell>
          <cell r="J261">
            <v>5.2800000000000008E-3</v>
          </cell>
          <cell r="K261">
            <v>0</v>
          </cell>
          <cell r="L261">
            <v>1.6500000000000001E-2</v>
          </cell>
          <cell r="M261">
            <v>0.18098666666666666</v>
          </cell>
          <cell r="N261">
            <v>1.0450000000000001E-3</v>
          </cell>
          <cell r="O261">
            <v>1.7981666666666667E-2</v>
          </cell>
          <cell r="P261">
            <v>1.0263333333333334E-2</v>
          </cell>
          <cell r="Q261">
            <v>5.0533333333333342E-3</v>
          </cell>
          <cell r="R261">
            <v>1.3833333333333333E-2</v>
          </cell>
          <cell r="S261">
            <v>0.23182999999999998</v>
          </cell>
          <cell r="T261">
            <v>0</v>
          </cell>
          <cell r="U261">
            <v>0</v>
          </cell>
          <cell r="V261">
            <v>0</v>
          </cell>
          <cell r="W261">
            <v>0.24566333333333332</v>
          </cell>
        </row>
        <row r="262">
          <cell r="D262" t="str">
            <v>KS1A-67240A 1121</v>
          </cell>
          <cell r="E262" t="str">
            <v>KS1A67240</v>
          </cell>
          <cell r="F262" t="str">
            <v>KS1A67240</v>
          </cell>
          <cell r="G262">
            <v>60.6</v>
          </cell>
          <cell r="H262">
            <v>0</v>
          </cell>
          <cell r="I262">
            <v>1.3166666666666667E-2</v>
          </cell>
          <cell r="J262">
            <v>0</v>
          </cell>
          <cell r="K262">
            <v>0</v>
          </cell>
          <cell r="L262">
            <v>3.3549999999999996E-2</v>
          </cell>
          <cell r="M262">
            <v>0.15756166666666666</v>
          </cell>
          <cell r="N262">
            <v>2.0900000000000003E-3</v>
          </cell>
          <cell r="O262">
            <v>2.3201666666666666E-2</v>
          </cell>
          <cell r="P262">
            <v>1.3366666666666667E-2</v>
          </cell>
          <cell r="Q262">
            <v>5.2199999999999998E-3</v>
          </cell>
          <cell r="R262">
            <v>1.3166666666666667E-2</v>
          </cell>
          <cell r="S262">
            <v>0.23499</v>
          </cell>
          <cell r="T262">
            <v>0</v>
          </cell>
          <cell r="U262">
            <v>0</v>
          </cell>
          <cell r="V262">
            <v>0</v>
          </cell>
          <cell r="W262">
            <v>0.24815666666666666</v>
          </cell>
        </row>
        <row r="263">
          <cell r="D263" t="str">
            <v>KSL2-67030 0631</v>
          </cell>
          <cell r="E263" t="str">
            <v>KSL267030</v>
          </cell>
          <cell r="F263" t="str">
            <v>KSL267030</v>
          </cell>
          <cell r="G263">
            <v>1711.2</v>
          </cell>
          <cell r="H263">
            <v>33.282899999999998</v>
          </cell>
          <cell r="I263">
            <v>0.21416333333333334</v>
          </cell>
          <cell r="J263">
            <v>0.37210333333333334</v>
          </cell>
          <cell r="K263">
            <v>8.2005000000000008E-2</v>
          </cell>
          <cell r="L263">
            <v>0.55932166666666672</v>
          </cell>
          <cell r="M263">
            <v>1.2667649999999999</v>
          </cell>
          <cell r="N263">
            <v>1.4630000000000001E-2</v>
          </cell>
          <cell r="O263">
            <v>0.12157833333333333</v>
          </cell>
          <cell r="P263">
            <v>8.1146666666666672E-2</v>
          </cell>
          <cell r="Q263">
            <v>9.7736666666666666E-2</v>
          </cell>
          <cell r="R263">
            <v>0.66827166666666671</v>
          </cell>
          <cell r="S263">
            <v>2.141178333333333</v>
          </cell>
          <cell r="T263">
            <v>2.6813333333333328E-2</v>
          </cell>
          <cell r="U263">
            <v>0</v>
          </cell>
          <cell r="V263">
            <v>0</v>
          </cell>
          <cell r="W263">
            <v>2.8362633333333327</v>
          </cell>
        </row>
        <row r="264">
          <cell r="D264" t="str">
            <v>KSL4-67030 0631</v>
          </cell>
          <cell r="E264" t="str">
            <v>KSL467030</v>
          </cell>
          <cell r="F264" t="str">
            <v>KSL467030</v>
          </cell>
          <cell r="G264">
            <v>1771.8</v>
          </cell>
          <cell r="H264">
            <v>33.282899999999998</v>
          </cell>
          <cell r="I264">
            <v>0.220135</v>
          </cell>
          <cell r="J264">
            <v>0.42394833333333337</v>
          </cell>
          <cell r="K264">
            <v>8.8471666666666671E-2</v>
          </cell>
          <cell r="L264">
            <v>0.57292999999999994</v>
          </cell>
          <cell r="M264">
            <v>1.2754216666666667</v>
          </cell>
          <cell r="N264">
            <v>1.4630000000000001E-2</v>
          </cell>
          <cell r="O264">
            <v>0.12249333333333333</v>
          </cell>
          <cell r="P264">
            <v>8.1960000000000005E-2</v>
          </cell>
          <cell r="Q264">
            <v>9.8243333333333321E-2</v>
          </cell>
          <cell r="R264">
            <v>0.73255500000000007</v>
          </cell>
          <cell r="S264">
            <v>2.1656783333333331</v>
          </cell>
          <cell r="T264">
            <v>2.6813333333333328E-2</v>
          </cell>
          <cell r="U264">
            <v>0</v>
          </cell>
          <cell r="V264">
            <v>0</v>
          </cell>
          <cell r="W264">
            <v>2.9250466666666664</v>
          </cell>
        </row>
        <row r="265">
          <cell r="D265" t="str">
            <v>KSL6-67030 0631</v>
          </cell>
          <cell r="E265" t="str">
            <v>KSL667030</v>
          </cell>
          <cell r="F265" t="str">
            <v>KSL667030</v>
          </cell>
          <cell r="G265">
            <v>1812.1</v>
          </cell>
          <cell r="H265">
            <v>33.282899999999998</v>
          </cell>
          <cell r="I265">
            <v>0.22440333333333334</v>
          </cell>
          <cell r="J265">
            <v>0.42636499999999999</v>
          </cell>
          <cell r="K265">
            <v>0.10345666666666667</v>
          </cell>
          <cell r="L265">
            <v>0.58136333333333334</v>
          </cell>
          <cell r="M265">
            <v>1.3049783333333334</v>
          </cell>
          <cell r="N265">
            <v>1.4630000000000001E-2</v>
          </cell>
          <cell r="O265">
            <v>0.12563833333333332</v>
          </cell>
          <cell r="P265">
            <v>8.3486666666666667E-2</v>
          </cell>
          <cell r="Q265">
            <v>0.10309333333333333</v>
          </cell>
          <cell r="R265">
            <v>0.75422500000000003</v>
          </cell>
          <cell r="S265">
            <v>2.2131899999999995</v>
          </cell>
          <cell r="T265">
            <v>2.6813333333333328E-2</v>
          </cell>
          <cell r="U265">
            <v>0</v>
          </cell>
          <cell r="V265">
            <v>0</v>
          </cell>
          <cell r="W265">
            <v>2.9942283333333326</v>
          </cell>
        </row>
        <row r="266">
          <cell r="D266" t="str">
            <v>KST5-67030A 1261</v>
          </cell>
          <cell r="E266" t="str">
            <v>KST567030</v>
          </cell>
          <cell r="F266" t="str">
            <v>KST567030</v>
          </cell>
          <cell r="G266">
            <v>1134.9000000000001</v>
          </cell>
          <cell r="H266">
            <v>0</v>
          </cell>
          <cell r="I266">
            <v>0.17571499999999998</v>
          </cell>
          <cell r="J266">
            <v>0.26078000000000001</v>
          </cell>
          <cell r="K266">
            <v>8.7933333333333336E-2</v>
          </cell>
          <cell r="L266">
            <v>0.43209500000000001</v>
          </cell>
          <cell r="M266">
            <v>0.99545166666666662</v>
          </cell>
          <cell r="N266">
            <v>9.4050000000000002E-3</v>
          </cell>
          <cell r="O266">
            <v>9.762333333333334E-2</v>
          </cell>
          <cell r="P266">
            <v>5.1941666666666664E-2</v>
          </cell>
          <cell r="Q266">
            <v>6.5353333333333333E-2</v>
          </cell>
          <cell r="R266">
            <v>0.52442833333333327</v>
          </cell>
          <cell r="S266">
            <v>1.6518700000000002</v>
          </cell>
          <cell r="T266">
            <v>0</v>
          </cell>
          <cell r="U266">
            <v>0</v>
          </cell>
          <cell r="V266">
            <v>0</v>
          </cell>
          <cell r="W266">
            <v>2.1762983333333334</v>
          </cell>
        </row>
        <row r="267">
          <cell r="D267" t="str">
            <v>KV0T-67030 0421</v>
          </cell>
          <cell r="E267" t="str">
            <v>KV0T67030</v>
          </cell>
          <cell r="F267" t="str">
            <v>KV0T67030</v>
          </cell>
          <cell r="G267">
            <v>1823.4</v>
          </cell>
          <cell r="H267">
            <v>35.756700000000002</v>
          </cell>
          <cell r="I267">
            <v>0.23557333333333333</v>
          </cell>
          <cell r="J267">
            <v>0.5297033333333333</v>
          </cell>
          <cell r="K267">
            <v>9.5104999999999995E-2</v>
          </cell>
          <cell r="L267">
            <v>0.61877666666666675</v>
          </cell>
          <cell r="M267">
            <v>1.2857266666666667</v>
          </cell>
          <cell r="N267">
            <v>1.3585000000000002E-2</v>
          </cell>
          <cell r="O267">
            <v>0.12791666666666665</v>
          </cell>
          <cell r="P267">
            <v>8.2083333333333328E-2</v>
          </cell>
          <cell r="Q267">
            <v>8.5320000000000007E-2</v>
          </cell>
          <cell r="R267">
            <v>0.8603816666666666</v>
          </cell>
          <cell r="S267">
            <v>2.2134083333333332</v>
          </cell>
          <cell r="T267">
            <v>2.6813333333333328E-2</v>
          </cell>
          <cell r="U267">
            <v>0</v>
          </cell>
          <cell r="V267">
            <v>0</v>
          </cell>
          <cell r="W267">
            <v>3.1006033333333329</v>
          </cell>
        </row>
        <row r="268">
          <cell r="D268" t="str">
            <v>KV1G-67030 0431</v>
          </cell>
          <cell r="E268" t="str">
            <v>KV1G67030</v>
          </cell>
          <cell r="F268" t="str">
            <v>KV1G67030</v>
          </cell>
          <cell r="G268">
            <v>1903.9</v>
          </cell>
          <cell r="H268">
            <v>35.756700000000002</v>
          </cell>
          <cell r="I268">
            <v>0.24159666666666665</v>
          </cell>
          <cell r="J268">
            <v>0.546315</v>
          </cell>
          <cell r="K268">
            <v>0.116545</v>
          </cell>
          <cell r="L268">
            <v>0.6292266666666666</v>
          </cell>
          <cell r="M268">
            <v>1.3145633333333333</v>
          </cell>
          <cell r="N268">
            <v>1.3585000000000002E-2</v>
          </cell>
          <cell r="O268">
            <v>0.13173333333333334</v>
          </cell>
          <cell r="P268">
            <v>8.5903333333333345E-2</v>
          </cell>
          <cell r="Q268">
            <v>8.8054999999999994E-2</v>
          </cell>
          <cell r="R268">
            <v>0.90445666666666669</v>
          </cell>
          <cell r="S268">
            <v>2.263066666666667</v>
          </cell>
          <cell r="T268">
            <v>2.6813333333333328E-2</v>
          </cell>
          <cell r="U268">
            <v>0</v>
          </cell>
          <cell r="V268">
            <v>0</v>
          </cell>
          <cell r="W268">
            <v>3.1943366666666666</v>
          </cell>
        </row>
        <row r="269">
          <cell r="D269" t="str">
            <v>KW0A-67030 0321</v>
          </cell>
          <cell r="E269" t="str">
            <v>KW0A67030</v>
          </cell>
          <cell r="F269" t="str">
            <v>KW0A67030</v>
          </cell>
          <cell r="G269">
            <v>1665.6</v>
          </cell>
          <cell r="H269">
            <v>36.101100000000002</v>
          </cell>
          <cell r="I269">
            <v>0.22170500000000001</v>
          </cell>
          <cell r="J269">
            <v>0.47774333333333335</v>
          </cell>
          <cell r="K269">
            <v>7.7693333333333336E-2</v>
          </cell>
          <cell r="L269">
            <v>0.58569333333333329</v>
          </cell>
          <cell r="M269">
            <v>1.1295266666666668</v>
          </cell>
          <cell r="N269">
            <v>1.4630000000000001E-2</v>
          </cell>
          <cell r="O269">
            <v>0.11643833333333334</v>
          </cell>
          <cell r="P269">
            <v>7.7066666666666658E-2</v>
          </cell>
          <cell r="Q269">
            <v>8.7559999999999999E-2</v>
          </cell>
          <cell r="R269">
            <v>0.77714166666666662</v>
          </cell>
          <cell r="S269">
            <v>2.0109149999999998</v>
          </cell>
          <cell r="T269">
            <v>2.6813333333333328E-2</v>
          </cell>
          <cell r="U269">
            <v>0</v>
          </cell>
          <cell r="V269">
            <v>0</v>
          </cell>
          <cell r="W269">
            <v>2.8148699999999995</v>
          </cell>
        </row>
        <row r="270">
          <cell r="D270" t="str">
            <v>KW0D-67030 0321</v>
          </cell>
          <cell r="E270" t="str">
            <v>KW0D67030</v>
          </cell>
          <cell r="F270" t="str">
            <v>KW0D67030</v>
          </cell>
          <cell r="G270">
            <v>1748.8</v>
          </cell>
          <cell r="H270">
            <v>36.101100000000002</v>
          </cell>
          <cell r="I270">
            <v>0.22028166666666668</v>
          </cell>
          <cell r="J270">
            <v>0.50002999999999997</v>
          </cell>
          <cell r="K270">
            <v>9.6093333333333336E-2</v>
          </cell>
          <cell r="L270">
            <v>0.57864000000000004</v>
          </cell>
          <cell r="M270">
            <v>1.1504766666666666</v>
          </cell>
          <cell r="N270">
            <v>1.4630000000000001E-2</v>
          </cell>
          <cell r="O270">
            <v>0.11890666666666667</v>
          </cell>
          <cell r="P270">
            <v>7.8953333333333334E-2</v>
          </cell>
          <cell r="Q270">
            <v>8.8558333333333336E-2</v>
          </cell>
          <cell r="R270">
            <v>0.81640500000000005</v>
          </cell>
          <cell r="S270">
            <v>2.0301650000000002</v>
          </cell>
          <cell r="T270">
            <v>2.6813333333333328E-2</v>
          </cell>
          <cell r="U270">
            <v>0</v>
          </cell>
          <cell r="V270">
            <v>0</v>
          </cell>
          <cell r="W270">
            <v>2.8733833333333334</v>
          </cell>
        </row>
        <row r="271">
          <cell r="D271" t="str">
            <v>KW0E-67030 0321</v>
          </cell>
          <cell r="E271" t="str">
            <v>KW0E67030</v>
          </cell>
          <cell r="F271" t="str">
            <v>KW0E67030</v>
          </cell>
          <cell r="G271">
            <v>1787.5</v>
          </cell>
          <cell r="H271">
            <v>36.101100000000002</v>
          </cell>
          <cell r="I271">
            <v>0.22454000000000002</v>
          </cell>
          <cell r="J271">
            <v>0.5024466666666666</v>
          </cell>
          <cell r="K271">
            <v>0.10776333333333334</v>
          </cell>
          <cell r="L271">
            <v>0.58707333333333334</v>
          </cell>
          <cell r="M271">
            <v>1.1799566666666665</v>
          </cell>
          <cell r="N271">
            <v>1.4630000000000001E-2</v>
          </cell>
          <cell r="O271">
            <v>0.12205166666666667</v>
          </cell>
          <cell r="P271">
            <v>8.048000000000001E-2</v>
          </cell>
          <cell r="Q271">
            <v>9.3409999999999993E-2</v>
          </cell>
          <cell r="R271">
            <v>0.83474999999999999</v>
          </cell>
          <cell r="S271">
            <v>2.0776016666666663</v>
          </cell>
          <cell r="T271">
            <v>2.6813333333333328E-2</v>
          </cell>
          <cell r="U271">
            <v>0</v>
          </cell>
          <cell r="V271">
            <v>0</v>
          </cell>
          <cell r="W271">
            <v>2.9391649999999996</v>
          </cell>
        </row>
        <row r="272">
          <cell r="D272" t="str">
            <v>JYUNKAN 039AP-1</v>
          </cell>
          <cell r="E272" t="str">
            <v>JYUNKAN 039AP-1</v>
          </cell>
          <cell r="F272" t="str">
            <v>JYUNKAN 039AP-1</v>
          </cell>
          <cell r="G272">
            <v>0</v>
          </cell>
          <cell r="H272">
            <v>2.1</v>
          </cell>
          <cell r="I272">
            <v>1.9233333333333333E-3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1.9233333333333333E-3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1.9233333333333333E-3</v>
          </cell>
        </row>
        <row r="273">
          <cell r="D273" t="str">
            <v>JYUNKAN 039AP-2</v>
          </cell>
          <cell r="E273" t="str">
            <v>JYUNKAN 039AP-2</v>
          </cell>
          <cell r="F273" t="str">
            <v>JYUNKAN 039AP-2</v>
          </cell>
          <cell r="G273">
            <v>0</v>
          </cell>
          <cell r="H273">
            <v>1.36</v>
          </cell>
          <cell r="I273">
            <v>1.9233333333333333E-3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1.9233333333333333E-3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1.9233333333333333E-3</v>
          </cell>
        </row>
        <row r="274">
          <cell r="D274" t="str">
            <v>JYUNKAN 039AP-3</v>
          </cell>
          <cell r="E274" t="str">
            <v>JYUNKAN 039AP-3</v>
          </cell>
          <cell r="F274" t="str">
            <v>JYUNKAN 039AP-3</v>
          </cell>
          <cell r="G274">
            <v>0</v>
          </cell>
          <cell r="H274">
            <v>2.1</v>
          </cell>
          <cell r="I274">
            <v>1.9233333333333333E-3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1.9233333333333333E-3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1.9233333333333333E-3</v>
          </cell>
        </row>
        <row r="275">
          <cell r="D275" t="str">
            <v>JYUNKAN 039AP-4</v>
          </cell>
          <cell r="E275" t="str">
            <v>JYUNKAN 039AP-4</v>
          </cell>
          <cell r="F275" t="str">
            <v>JYUNKAN 039AP-4</v>
          </cell>
          <cell r="G275">
            <v>0</v>
          </cell>
          <cell r="H275">
            <v>2.1</v>
          </cell>
          <cell r="I275">
            <v>1.9233333333333333E-3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1.9233333333333333E-3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1.9233333333333333E-3</v>
          </cell>
        </row>
        <row r="276">
          <cell r="D276" t="str">
            <v>JYUNKAN 039AP-5</v>
          </cell>
          <cell r="E276" t="str">
            <v>JYUNKAN 039AP-5</v>
          </cell>
          <cell r="F276" t="str">
            <v>JYUNKAN 039AP-5</v>
          </cell>
          <cell r="G276">
            <v>0</v>
          </cell>
          <cell r="H276">
            <v>1.36</v>
          </cell>
          <cell r="I276">
            <v>1.9233333333333333E-3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1.9233333333333333E-3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1.9233333333333333E-3</v>
          </cell>
        </row>
        <row r="277">
          <cell r="D277" t="str">
            <v>JYUNKAN 039AP-6</v>
          </cell>
          <cell r="E277" t="str">
            <v>JYUNKAN 039AP-6</v>
          </cell>
          <cell r="F277" t="str">
            <v>JYUNKAN 039AP-6</v>
          </cell>
          <cell r="G277">
            <v>0</v>
          </cell>
          <cell r="H277">
            <v>1.36</v>
          </cell>
          <cell r="I277">
            <v>1.9233333333333333E-3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1.9233333333333333E-3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1.9233333333333333E-3</v>
          </cell>
        </row>
        <row r="278">
          <cell r="D278" t="str">
            <v>7375-1479 0111</v>
          </cell>
          <cell r="E278" t="str">
            <v>73751479</v>
          </cell>
          <cell r="F278" t="str">
            <v>73751479</v>
          </cell>
          <cell r="G278">
            <v>6.3</v>
          </cell>
          <cell r="H278">
            <v>0</v>
          </cell>
          <cell r="I278">
            <v>3.1349999999999998E-3</v>
          </cell>
          <cell r="J278">
            <v>7.6053333333333334E-2</v>
          </cell>
          <cell r="K278">
            <v>0</v>
          </cell>
          <cell r="L278">
            <v>3.3E-3</v>
          </cell>
          <cell r="M278">
            <v>1.3640000000000001E-2</v>
          </cell>
          <cell r="N278">
            <v>0</v>
          </cell>
          <cell r="O278">
            <v>1.3165000000000001E-2</v>
          </cell>
          <cell r="P278">
            <v>5.6549999999999994E-3</v>
          </cell>
          <cell r="Q278">
            <v>2.6383333333333332E-3</v>
          </cell>
          <cell r="R278">
            <v>7.9188333333333333E-2</v>
          </cell>
          <cell r="S278">
            <v>3.8398333333333333E-2</v>
          </cell>
          <cell r="T278">
            <v>0</v>
          </cell>
          <cell r="U278">
            <v>0</v>
          </cell>
          <cell r="V278">
            <v>0</v>
          </cell>
          <cell r="W278">
            <v>0.11758666666666667</v>
          </cell>
        </row>
        <row r="279">
          <cell r="D279" t="str">
            <v>7375-1481 0111</v>
          </cell>
          <cell r="E279" t="str">
            <v>73751481</v>
          </cell>
          <cell r="F279" t="str">
            <v>73751481</v>
          </cell>
          <cell r="G279">
            <v>7.2</v>
          </cell>
          <cell r="H279">
            <v>0</v>
          </cell>
          <cell r="I279">
            <v>3.1849999999999999E-3</v>
          </cell>
          <cell r="J279">
            <v>7.6053333333333334E-2</v>
          </cell>
          <cell r="K279">
            <v>0</v>
          </cell>
          <cell r="L279">
            <v>3.3E-3</v>
          </cell>
          <cell r="M279">
            <v>1.6033333333333333E-2</v>
          </cell>
          <cell r="N279">
            <v>0</v>
          </cell>
          <cell r="O279">
            <v>1.3771666666666666E-2</v>
          </cell>
          <cell r="P279">
            <v>5.9733333333333331E-3</v>
          </cell>
          <cell r="Q279">
            <v>2.7633333333333334E-3</v>
          </cell>
          <cell r="R279">
            <v>7.9238333333333327E-2</v>
          </cell>
          <cell r="S279">
            <v>4.1841666666666666E-2</v>
          </cell>
          <cell r="T279">
            <v>0</v>
          </cell>
          <cell r="U279">
            <v>0</v>
          </cell>
          <cell r="V279">
            <v>0</v>
          </cell>
          <cell r="W279">
            <v>0.12107999999999999</v>
          </cell>
        </row>
        <row r="280">
          <cell r="D280" t="str">
            <v>7375-1482 0101</v>
          </cell>
          <cell r="E280" t="str">
            <v>73751482</v>
          </cell>
          <cell r="F280" t="str">
            <v>73751482</v>
          </cell>
          <cell r="G280">
            <v>10.6</v>
          </cell>
          <cell r="H280">
            <v>0</v>
          </cell>
          <cell r="I280">
            <v>1.4683333333333332E-3</v>
          </cell>
          <cell r="J280">
            <v>5.3778333333333338E-2</v>
          </cell>
          <cell r="K280">
            <v>0</v>
          </cell>
          <cell r="L280">
            <v>3.3E-3</v>
          </cell>
          <cell r="M280">
            <v>1.4765E-2</v>
          </cell>
          <cell r="N280">
            <v>0</v>
          </cell>
          <cell r="O280">
            <v>1.2674999999999999E-2</v>
          </cell>
          <cell r="P280">
            <v>3.4399999999999999E-3</v>
          </cell>
          <cell r="Q280">
            <v>3.0900000000000003E-3</v>
          </cell>
          <cell r="R280">
            <v>5.5246666666666673E-2</v>
          </cell>
          <cell r="S280">
            <v>3.7270000000000005E-2</v>
          </cell>
          <cell r="T280">
            <v>0</v>
          </cell>
          <cell r="U280">
            <v>0</v>
          </cell>
          <cell r="V280">
            <v>0</v>
          </cell>
          <cell r="W280">
            <v>9.2516666666666678E-2</v>
          </cell>
        </row>
        <row r="281">
          <cell r="D281" t="str">
            <v>7375-1945 0111</v>
          </cell>
          <cell r="E281" t="str">
            <v>73751945</v>
          </cell>
          <cell r="F281" t="str">
            <v>73751945</v>
          </cell>
          <cell r="G281">
            <v>10</v>
          </cell>
          <cell r="H281">
            <v>0</v>
          </cell>
          <cell r="I281">
            <v>3.3549999999999999E-3</v>
          </cell>
          <cell r="J281">
            <v>7.6053333333333334E-2</v>
          </cell>
          <cell r="K281">
            <v>0</v>
          </cell>
          <cell r="L281">
            <v>3.3E-3</v>
          </cell>
          <cell r="M281">
            <v>1.5545E-2</v>
          </cell>
          <cell r="N281">
            <v>0</v>
          </cell>
          <cell r="O281">
            <v>1.3198333333333334E-2</v>
          </cell>
          <cell r="P281">
            <v>6.4583333333333333E-3</v>
          </cell>
          <cell r="Q281">
            <v>3.1899999999999997E-3</v>
          </cell>
          <cell r="R281">
            <v>7.9408333333333331E-2</v>
          </cell>
          <cell r="S281">
            <v>4.1691666666666669E-2</v>
          </cell>
          <cell r="T281">
            <v>0</v>
          </cell>
          <cell r="U281">
            <v>0</v>
          </cell>
          <cell r="V281">
            <v>0</v>
          </cell>
          <cell r="W281">
            <v>0.1211</v>
          </cell>
        </row>
        <row r="282">
          <cell r="D282" t="str">
            <v>7375-1947 0111</v>
          </cell>
          <cell r="E282" t="str">
            <v>73751947</v>
          </cell>
          <cell r="F282" t="str">
            <v>73751947</v>
          </cell>
          <cell r="G282">
            <v>6.6</v>
          </cell>
          <cell r="H282">
            <v>0</v>
          </cell>
          <cell r="I282">
            <v>3.3999999999999998E-3</v>
          </cell>
          <cell r="J282">
            <v>7.6053333333333334E-2</v>
          </cell>
          <cell r="K282">
            <v>0</v>
          </cell>
          <cell r="L282">
            <v>5.4366666666666669E-3</v>
          </cell>
          <cell r="M282">
            <v>1.7689999999999997E-2</v>
          </cell>
          <cell r="N282">
            <v>0</v>
          </cell>
          <cell r="O282">
            <v>1.3168333333333334E-2</v>
          </cell>
          <cell r="P282">
            <v>5.7266666666666672E-3</v>
          </cell>
          <cell r="Q282">
            <v>2.6883333333333334E-3</v>
          </cell>
          <cell r="R282">
            <v>7.9453333333333334E-2</v>
          </cell>
          <cell r="S282">
            <v>4.4709999999999993E-2</v>
          </cell>
          <cell r="T282">
            <v>0</v>
          </cell>
          <cell r="U282">
            <v>0</v>
          </cell>
          <cell r="V282">
            <v>0</v>
          </cell>
          <cell r="W282">
            <v>0.12416333333333332</v>
          </cell>
        </row>
        <row r="283">
          <cell r="D283" t="str">
            <v>7375-1948 0111</v>
          </cell>
          <cell r="E283" t="str">
            <v>73751948</v>
          </cell>
          <cell r="F283" t="str">
            <v>73751948</v>
          </cell>
          <cell r="G283">
            <v>11.5</v>
          </cell>
          <cell r="H283">
            <v>0</v>
          </cell>
          <cell r="I283">
            <v>3.4416666666666667E-3</v>
          </cell>
          <cell r="J283">
            <v>7.6053333333333334E-2</v>
          </cell>
          <cell r="K283">
            <v>0</v>
          </cell>
          <cell r="L283">
            <v>3.3E-3</v>
          </cell>
          <cell r="M283">
            <v>1.5689999999999999E-2</v>
          </cell>
          <cell r="N283">
            <v>0</v>
          </cell>
          <cell r="O283">
            <v>1.3211666666666667E-2</v>
          </cell>
          <cell r="P283">
            <v>6.7766666666666669E-3</v>
          </cell>
          <cell r="Q283">
            <v>3.4083333333333331E-3</v>
          </cell>
          <cell r="R283">
            <v>7.9494999999999996E-2</v>
          </cell>
          <cell r="S283">
            <v>4.238666666666667E-2</v>
          </cell>
          <cell r="T283">
            <v>0</v>
          </cell>
          <cell r="U283">
            <v>0</v>
          </cell>
          <cell r="V283">
            <v>0</v>
          </cell>
          <cell r="W283">
            <v>0.12188166666666667</v>
          </cell>
        </row>
        <row r="284">
          <cell r="D284" t="str">
            <v>BC111-5DR50-1 B 0001</v>
          </cell>
          <cell r="E284" t="str">
            <v>BC111-5DR50-1</v>
          </cell>
          <cell r="F284" t="str">
            <v>BC111-5DR50-1</v>
          </cell>
          <cell r="G284">
            <v>72</v>
          </cell>
          <cell r="H284">
            <v>0</v>
          </cell>
          <cell r="I284">
            <v>8.8666666666666657E-4</v>
          </cell>
          <cell r="J284">
            <v>9.5300000000000003E-3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4.3616666666666665E-3</v>
          </cell>
          <cell r="P284">
            <v>3.1749999999999999E-3</v>
          </cell>
          <cell r="Q284">
            <v>2.4933333333333335E-3</v>
          </cell>
          <cell r="R284">
            <v>1.0416666666666666E-2</v>
          </cell>
          <cell r="S284">
            <v>1.0030000000000001E-2</v>
          </cell>
          <cell r="T284">
            <v>0</v>
          </cell>
          <cell r="U284">
            <v>0</v>
          </cell>
          <cell r="V284">
            <v>0</v>
          </cell>
          <cell r="W284">
            <v>2.0446666666666669E-2</v>
          </cell>
        </row>
        <row r="285">
          <cell r="D285" t="str">
            <v>BC111-5DR50-2 B 0001</v>
          </cell>
          <cell r="E285" t="str">
            <v>BC111-5DR50-2</v>
          </cell>
          <cell r="F285" t="str">
            <v>BC111-5DR50-2</v>
          </cell>
          <cell r="G285">
            <v>106.4</v>
          </cell>
          <cell r="H285">
            <v>0</v>
          </cell>
          <cell r="I285">
            <v>1.5316666666666666E-3</v>
          </cell>
          <cell r="J285">
            <v>9.5300000000000003E-3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4.3616666666666665E-3</v>
          </cell>
          <cell r="P285">
            <v>3.1116666666666667E-3</v>
          </cell>
          <cell r="Q285">
            <v>2.4483333333333332E-3</v>
          </cell>
          <cell r="R285">
            <v>1.1061666666666668E-2</v>
          </cell>
          <cell r="S285">
            <v>9.9216666666666672E-3</v>
          </cell>
          <cell r="T285">
            <v>0</v>
          </cell>
          <cell r="U285">
            <v>0</v>
          </cell>
          <cell r="V285">
            <v>0</v>
          </cell>
          <cell r="W285">
            <v>2.0983333333333333E-2</v>
          </cell>
        </row>
        <row r="286">
          <cell r="D286" t="str">
            <v>BC121-35G70-1 B 0001</v>
          </cell>
          <cell r="E286" t="str">
            <v>BC121-35G70-1</v>
          </cell>
          <cell r="F286" t="str">
            <v>BC121-35G70-1</v>
          </cell>
          <cell r="G286">
            <v>338.4</v>
          </cell>
          <cell r="H286">
            <v>0</v>
          </cell>
          <cell r="I286">
            <v>2.6133333333333334E-3</v>
          </cell>
          <cell r="J286">
            <v>9.5300000000000003E-3</v>
          </cell>
          <cell r="K286">
            <v>0</v>
          </cell>
          <cell r="L286">
            <v>2.463333333333333E-3</v>
          </cell>
          <cell r="M286">
            <v>0</v>
          </cell>
          <cell r="N286">
            <v>0</v>
          </cell>
          <cell r="O286">
            <v>4.3616666666666665E-3</v>
          </cell>
          <cell r="P286">
            <v>4.0483333333333335E-3</v>
          </cell>
          <cell r="Q286">
            <v>3.1199999999999999E-3</v>
          </cell>
          <cell r="R286">
            <v>1.2143333333333334E-2</v>
          </cell>
          <cell r="S286">
            <v>1.3993333333333332E-2</v>
          </cell>
          <cell r="T286">
            <v>0</v>
          </cell>
          <cell r="U286">
            <v>0</v>
          </cell>
          <cell r="V286">
            <v>0</v>
          </cell>
          <cell r="W286">
            <v>2.6136666666666666E-2</v>
          </cell>
        </row>
        <row r="287">
          <cell r="D287" t="str">
            <v>BC121-35G90-1 B 0001</v>
          </cell>
          <cell r="E287" t="str">
            <v>BC121-35G90-1</v>
          </cell>
          <cell r="F287" t="str">
            <v>BC121-35G90-1</v>
          </cell>
          <cell r="G287">
            <v>453.1</v>
          </cell>
          <cell r="H287">
            <v>0</v>
          </cell>
          <cell r="I287">
            <v>2.6199999999999999E-3</v>
          </cell>
          <cell r="J287">
            <v>9.5300000000000003E-3</v>
          </cell>
          <cell r="K287">
            <v>0</v>
          </cell>
          <cell r="L287">
            <v>2.463333333333333E-3</v>
          </cell>
          <cell r="M287">
            <v>0</v>
          </cell>
          <cell r="N287">
            <v>0</v>
          </cell>
          <cell r="O287">
            <v>4.3616666666666665E-3</v>
          </cell>
          <cell r="P287">
            <v>4.0566666666666668E-3</v>
          </cell>
          <cell r="Q287">
            <v>3.1250000000000002E-3</v>
          </cell>
          <cell r="R287">
            <v>1.2150000000000001E-2</v>
          </cell>
          <cell r="S287">
            <v>1.4006666666666667E-2</v>
          </cell>
          <cell r="T287">
            <v>0</v>
          </cell>
          <cell r="U287">
            <v>0</v>
          </cell>
          <cell r="V287">
            <v>0</v>
          </cell>
          <cell r="W287">
            <v>2.6156666666666668E-2</v>
          </cell>
        </row>
        <row r="288">
          <cell r="D288" t="str">
            <v>BC121-35K80-1 A 0001</v>
          </cell>
          <cell r="E288" t="str">
            <v>BC121-35K80-1</v>
          </cell>
          <cell r="F288" t="str">
            <v>BC121-35K80-1</v>
          </cell>
          <cell r="G288">
            <v>341.2</v>
          </cell>
          <cell r="H288">
            <v>0</v>
          </cell>
          <cell r="I288">
            <v>2.6266666666666665E-3</v>
          </cell>
          <cell r="J288">
            <v>9.5300000000000003E-3</v>
          </cell>
          <cell r="K288">
            <v>0</v>
          </cell>
          <cell r="L288">
            <v>2.463333333333333E-3</v>
          </cell>
          <cell r="M288">
            <v>0</v>
          </cell>
          <cell r="N288">
            <v>0</v>
          </cell>
          <cell r="O288">
            <v>4.3616666666666665E-3</v>
          </cell>
          <cell r="P288">
            <v>4.065E-3</v>
          </cell>
          <cell r="Q288">
            <v>3.1316666666666667E-3</v>
          </cell>
          <cell r="R288">
            <v>1.2156666666666666E-2</v>
          </cell>
          <cell r="S288">
            <v>1.4021666666666667E-2</v>
          </cell>
          <cell r="T288">
            <v>0</v>
          </cell>
          <cell r="U288">
            <v>0</v>
          </cell>
          <cell r="V288">
            <v>0</v>
          </cell>
          <cell r="W288">
            <v>2.6178333333333331E-2</v>
          </cell>
        </row>
        <row r="289">
          <cell r="D289" t="str">
            <v>BC121-6AM60-1 C 0001</v>
          </cell>
          <cell r="E289" t="str">
            <v>BC121-6AM60-1</v>
          </cell>
          <cell r="F289" t="str">
            <v>BC121-6AM60-1</v>
          </cell>
          <cell r="G289">
            <v>376</v>
          </cell>
          <cell r="H289">
            <v>0</v>
          </cell>
          <cell r="I289">
            <v>2.5583333333333335E-3</v>
          </cell>
          <cell r="J289">
            <v>1.1366666666666667E-2</v>
          </cell>
          <cell r="K289">
            <v>0</v>
          </cell>
          <cell r="L289">
            <v>2.3699999999999997E-3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1.3925E-2</v>
          </cell>
          <cell r="S289">
            <v>2.3699999999999997E-3</v>
          </cell>
          <cell r="T289">
            <v>0</v>
          </cell>
          <cell r="U289">
            <v>0</v>
          </cell>
          <cell r="V289">
            <v>0</v>
          </cell>
          <cell r="W289">
            <v>1.6295E-2</v>
          </cell>
        </row>
        <row r="290">
          <cell r="D290" t="str">
            <v>BC121-6B220-1 B 0001</v>
          </cell>
          <cell r="E290" t="str">
            <v>BC121-6B220-1</v>
          </cell>
          <cell r="F290" t="str">
            <v>BC121-6B220-1</v>
          </cell>
          <cell r="G290">
            <v>196.7</v>
          </cell>
          <cell r="H290">
            <v>0</v>
          </cell>
          <cell r="I290">
            <v>1.6566666666666667E-3</v>
          </cell>
          <cell r="J290">
            <v>8.946666666666667E-3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1.0603333333333334E-2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1.0603333333333334E-2</v>
          </cell>
        </row>
        <row r="291">
          <cell r="D291" t="str">
            <v>BC121-6B260-1 B 0001</v>
          </cell>
          <cell r="E291" t="str">
            <v>BC121-6B260-1</v>
          </cell>
          <cell r="F291" t="str">
            <v>BC121-6B260-1</v>
          </cell>
          <cell r="G291">
            <v>282</v>
          </cell>
          <cell r="H291">
            <v>0</v>
          </cell>
          <cell r="I291">
            <v>2.7099999999999997E-3</v>
          </cell>
          <cell r="J291">
            <v>1.1366666666666666E-2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1.4076666666666664E-2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1.4076666666666664E-2</v>
          </cell>
        </row>
        <row r="292">
          <cell r="D292" t="str">
            <v>BC121-6B370-1 B 0001</v>
          </cell>
          <cell r="E292" t="str">
            <v>BC121-6B370-1</v>
          </cell>
          <cell r="F292" t="str">
            <v>BC121-6B370-1</v>
          </cell>
          <cell r="G292">
            <v>196.7</v>
          </cell>
          <cell r="H292">
            <v>0</v>
          </cell>
          <cell r="I292">
            <v>2.725E-3</v>
          </cell>
          <cell r="J292">
            <v>8.9466666666666497E-3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1.167166666666665E-2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1.167166666666665E-2</v>
          </cell>
        </row>
        <row r="293">
          <cell r="D293" t="str">
            <v>BC121-6B370-2 B 0001</v>
          </cell>
          <cell r="E293" t="str">
            <v>BC121-6B370-2</v>
          </cell>
          <cell r="F293" t="str">
            <v>BC121-6B370-2</v>
          </cell>
          <cell r="G293">
            <v>196.7</v>
          </cell>
          <cell r="H293">
            <v>0</v>
          </cell>
          <cell r="I293">
            <v>2.725E-3</v>
          </cell>
          <cell r="J293">
            <v>8.9466666666666497E-3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1.167166666666665E-2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1.167166666666665E-2</v>
          </cell>
        </row>
        <row r="294">
          <cell r="D294" t="str">
            <v>JN111-62093-3 0002</v>
          </cell>
          <cell r="E294" t="str">
            <v>JN111-62093-3</v>
          </cell>
          <cell r="F294" t="str">
            <v>JN111-62093-3</v>
          </cell>
          <cell r="G294">
            <v>0</v>
          </cell>
          <cell r="H294">
            <v>59.1</v>
          </cell>
          <cell r="I294">
            <v>2.5700000000000002E-3</v>
          </cell>
          <cell r="J294">
            <v>1.1366666666666666E-2</v>
          </cell>
          <cell r="K294">
            <v>0</v>
          </cell>
          <cell r="L294">
            <v>2.3699999999999997E-3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1.3936666666666667E-2</v>
          </cell>
          <cell r="S294">
            <v>2.3699999999999997E-3</v>
          </cell>
          <cell r="T294">
            <v>0</v>
          </cell>
          <cell r="U294">
            <v>0</v>
          </cell>
          <cell r="V294">
            <v>0</v>
          </cell>
          <cell r="W294">
            <v>1.6306666666666667E-2</v>
          </cell>
        </row>
        <row r="295">
          <cell r="D295" t="str">
            <v>JN111-62093-4 0002</v>
          </cell>
          <cell r="E295" t="str">
            <v>JN111-62093-4</v>
          </cell>
          <cell r="F295" t="str">
            <v>JN111-62093-4</v>
          </cell>
          <cell r="G295">
            <v>0</v>
          </cell>
          <cell r="H295">
            <v>59.1</v>
          </cell>
          <cell r="I295">
            <v>4.45E-3</v>
          </cell>
          <cell r="J295">
            <v>1.43E-2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1.8749999999999999E-2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1.8749999999999999E-2</v>
          </cell>
        </row>
        <row r="296">
          <cell r="D296" t="str">
            <v>24012-6YZ0B 0501</v>
          </cell>
          <cell r="E296" t="str">
            <v>24012-6YZ0B</v>
          </cell>
          <cell r="F296" t="str">
            <v>24012-6YZ0B</v>
          </cell>
          <cell r="G296">
            <v>2364.1</v>
          </cell>
          <cell r="H296">
            <v>0</v>
          </cell>
          <cell r="I296">
            <v>0.14305166666666666</v>
          </cell>
          <cell r="J296">
            <v>0.30745166666666662</v>
          </cell>
          <cell r="K296">
            <v>9.6096666666666664E-2</v>
          </cell>
          <cell r="L296">
            <v>0.46244000000000002</v>
          </cell>
          <cell r="M296">
            <v>0.92434333333333329</v>
          </cell>
          <cell r="N296">
            <v>3.3479999999999996E-2</v>
          </cell>
          <cell r="O296">
            <v>0.16350666666666666</v>
          </cell>
          <cell r="P296">
            <v>0.12542333333333333</v>
          </cell>
          <cell r="Q296">
            <v>1.4449999999999999E-2</v>
          </cell>
          <cell r="R296">
            <v>0.54659999999999997</v>
          </cell>
          <cell r="S296">
            <v>1.7236433333333334</v>
          </cell>
          <cell r="T296">
            <v>0</v>
          </cell>
          <cell r="U296">
            <v>0</v>
          </cell>
          <cell r="V296">
            <v>0</v>
          </cell>
          <cell r="W296">
            <v>2.2702433333333332</v>
          </cell>
        </row>
        <row r="297">
          <cell r="D297" t="str">
            <v>24012-6YZ1B 0501</v>
          </cell>
          <cell r="E297" t="str">
            <v>24012-6YZ1B</v>
          </cell>
          <cell r="F297" t="str">
            <v>24012-6YZ1B</v>
          </cell>
          <cell r="G297">
            <v>2367.1</v>
          </cell>
          <cell r="H297">
            <v>0</v>
          </cell>
          <cell r="I297">
            <v>0.14218500000000001</v>
          </cell>
          <cell r="J297">
            <v>0.29970166666666664</v>
          </cell>
          <cell r="K297">
            <v>8.1311666666666671E-2</v>
          </cell>
          <cell r="L297">
            <v>0.45793</v>
          </cell>
          <cell r="M297">
            <v>0.92336333333333331</v>
          </cell>
          <cell r="N297">
            <v>3.3479999999999996E-2</v>
          </cell>
          <cell r="O297">
            <v>0.16439166666666666</v>
          </cell>
          <cell r="P297">
            <v>0.122365</v>
          </cell>
          <cell r="Q297">
            <v>1.4306666666666667E-2</v>
          </cell>
          <cell r="R297">
            <v>0.52319833333333332</v>
          </cell>
          <cell r="S297">
            <v>1.7158366666666667</v>
          </cell>
          <cell r="T297">
            <v>0</v>
          </cell>
          <cell r="U297">
            <v>0</v>
          </cell>
          <cell r="V297">
            <v>0</v>
          </cell>
          <cell r="W297">
            <v>2.2390349999999999</v>
          </cell>
        </row>
        <row r="298">
          <cell r="D298" t="str">
            <v>24012-6YZ2A 0501</v>
          </cell>
          <cell r="E298" t="str">
            <v>24012-6YZ2A</v>
          </cell>
          <cell r="F298" t="str">
            <v>24012-6YZ2A</v>
          </cell>
          <cell r="G298">
            <v>2319.1</v>
          </cell>
          <cell r="H298">
            <v>0</v>
          </cell>
          <cell r="I298">
            <v>0.13660333333333333</v>
          </cell>
          <cell r="J298">
            <v>0.29195166666666666</v>
          </cell>
          <cell r="K298">
            <v>8.3966666666666676E-2</v>
          </cell>
          <cell r="L298">
            <v>0.44539000000000001</v>
          </cell>
          <cell r="M298">
            <v>0.89066999999999996</v>
          </cell>
          <cell r="N298">
            <v>3.3479999999999996E-2</v>
          </cell>
          <cell r="O298">
            <v>0.15812333333333331</v>
          </cell>
          <cell r="P298">
            <v>0.12366166666666666</v>
          </cell>
          <cell r="Q298">
            <v>1.4276666666666667E-2</v>
          </cell>
          <cell r="R298">
            <v>0.51252166666666665</v>
          </cell>
          <cell r="S298">
            <v>1.6656016666666666</v>
          </cell>
          <cell r="T298">
            <v>0</v>
          </cell>
          <cell r="U298">
            <v>0</v>
          </cell>
          <cell r="V298">
            <v>0</v>
          </cell>
          <cell r="W298">
            <v>2.1781233333333332</v>
          </cell>
        </row>
        <row r="299">
          <cell r="D299" t="str">
            <v>24012-6YZ3A 0501</v>
          </cell>
          <cell r="E299" t="str">
            <v>24012-6YZ3A</v>
          </cell>
          <cell r="F299" t="str">
            <v>24012-6YZ3A</v>
          </cell>
          <cell r="G299">
            <v>2322</v>
          </cell>
          <cell r="H299">
            <v>0</v>
          </cell>
          <cell r="I299">
            <v>0.13633000000000001</v>
          </cell>
          <cell r="J299">
            <v>0.28420166666666663</v>
          </cell>
          <cell r="K299">
            <v>6.9181666666666669E-2</v>
          </cell>
          <cell r="L299">
            <v>0.44087999999999999</v>
          </cell>
          <cell r="M299">
            <v>0.91357500000000003</v>
          </cell>
          <cell r="N299">
            <v>3.3479999999999996E-2</v>
          </cell>
          <cell r="O299">
            <v>0.16186833333333334</v>
          </cell>
          <cell r="P299">
            <v>0.12227666666666666</v>
          </cell>
          <cell r="Q299">
            <v>1.4296666666666668E-2</v>
          </cell>
          <cell r="R299">
            <v>0.48971333333333333</v>
          </cell>
          <cell r="S299">
            <v>1.6863766666666664</v>
          </cell>
          <cell r="T299">
            <v>0</v>
          </cell>
          <cell r="U299">
            <v>0</v>
          </cell>
          <cell r="V299">
            <v>0</v>
          </cell>
          <cell r="W299">
            <v>2.1760899999999999</v>
          </cell>
        </row>
        <row r="300">
          <cell r="D300" t="str">
            <v>24128-5TT0C 0601</v>
          </cell>
          <cell r="E300" t="str">
            <v>241285TT0C</v>
          </cell>
          <cell r="F300" t="str">
            <v>241285TT0C</v>
          </cell>
          <cell r="G300">
            <v>171.42354</v>
          </cell>
          <cell r="H300">
            <v>0</v>
          </cell>
          <cell r="I300">
            <v>1.2766666666666667E-2</v>
          </cell>
          <cell r="J300">
            <v>2.1984999999999998E-2</v>
          </cell>
          <cell r="K300">
            <v>0</v>
          </cell>
          <cell r="L300">
            <v>4.1398333333333336E-2</v>
          </cell>
          <cell r="M300">
            <v>0.10776666666666666</v>
          </cell>
          <cell r="N300">
            <v>0</v>
          </cell>
          <cell r="O300">
            <v>1.9543333333333336E-2</v>
          </cell>
          <cell r="P300">
            <v>8.8966666666666673E-3</v>
          </cell>
          <cell r="Q300">
            <v>5.1999999999999998E-3</v>
          </cell>
          <cell r="R300">
            <v>3.4751666666666667E-2</v>
          </cell>
          <cell r="S300">
            <v>0.182805</v>
          </cell>
          <cell r="T300">
            <v>0</v>
          </cell>
          <cell r="U300">
            <v>0</v>
          </cell>
          <cell r="V300">
            <v>0</v>
          </cell>
          <cell r="W300">
            <v>0.21755666666666668</v>
          </cell>
        </row>
        <row r="301">
          <cell r="D301" t="str">
            <v>24128-7DA0A 0211</v>
          </cell>
          <cell r="E301" t="str">
            <v>241287DA0A</v>
          </cell>
          <cell r="F301" t="str">
            <v>241287DA0A</v>
          </cell>
          <cell r="G301">
            <v>97.3</v>
          </cell>
          <cell r="H301">
            <v>0</v>
          </cell>
          <cell r="I301">
            <v>9.9716666666666669E-3</v>
          </cell>
          <cell r="J301">
            <v>7.3283333333333334E-3</v>
          </cell>
          <cell r="K301">
            <v>0</v>
          </cell>
          <cell r="L301">
            <v>4.6894999999999999E-2</v>
          </cell>
          <cell r="M301">
            <v>0.115485</v>
          </cell>
          <cell r="N301">
            <v>0</v>
          </cell>
          <cell r="O301">
            <v>1.8465000000000002E-2</v>
          </cell>
          <cell r="P301">
            <v>8.8083333333333329E-3</v>
          </cell>
          <cell r="Q301">
            <v>5.0700000000000007E-3</v>
          </cell>
          <cell r="R301">
            <v>1.7299999999999999E-2</v>
          </cell>
          <cell r="S301">
            <v>0.19472333333333333</v>
          </cell>
          <cell r="T301">
            <v>0</v>
          </cell>
          <cell r="U301">
            <v>0</v>
          </cell>
          <cell r="V301">
            <v>0</v>
          </cell>
          <cell r="W301">
            <v>0.21202333333333334</v>
          </cell>
        </row>
        <row r="302">
          <cell r="D302" t="str">
            <v>24128-7DA0B 0211</v>
          </cell>
          <cell r="E302" t="str">
            <v>241287DA0B</v>
          </cell>
          <cell r="F302" t="str">
            <v>241287DA0B</v>
          </cell>
          <cell r="G302">
            <v>133</v>
          </cell>
          <cell r="H302">
            <v>0</v>
          </cell>
          <cell r="I302">
            <v>1.5051666666666666E-2</v>
          </cell>
          <cell r="J302">
            <v>1.4656666666666667E-2</v>
          </cell>
          <cell r="K302">
            <v>0</v>
          </cell>
          <cell r="L302">
            <v>5.3641666666666671E-2</v>
          </cell>
          <cell r="M302">
            <v>0.12175666666666667</v>
          </cell>
          <cell r="N302">
            <v>0</v>
          </cell>
          <cell r="O302">
            <v>1.9105E-2</v>
          </cell>
          <cell r="P302">
            <v>8.8083333333333329E-3</v>
          </cell>
          <cell r="Q302">
            <v>5.0700000000000007E-3</v>
          </cell>
          <cell r="R302">
            <v>2.9708333333333333E-2</v>
          </cell>
          <cell r="S302">
            <v>0.20838166666666666</v>
          </cell>
          <cell r="T302">
            <v>0</v>
          </cell>
          <cell r="U302">
            <v>0</v>
          </cell>
          <cell r="V302">
            <v>0</v>
          </cell>
          <cell r="W302">
            <v>0.23809</v>
          </cell>
        </row>
        <row r="303">
          <cell r="D303" t="str">
            <v>24129-5TT0C 0601</v>
          </cell>
          <cell r="E303" t="str">
            <v>241295TT0C</v>
          </cell>
          <cell r="F303" t="str">
            <v>241295TT0C</v>
          </cell>
          <cell r="G303">
            <v>172.13665</v>
          </cell>
          <cell r="H303">
            <v>0</v>
          </cell>
          <cell r="I303">
            <v>1.2926666666666666E-2</v>
          </cell>
          <cell r="J303">
            <v>2.1984999999999998E-2</v>
          </cell>
          <cell r="K303">
            <v>0</v>
          </cell>
          <cell r="L303">
            <v>4.2388333333333333E-2</v>
          </cell>
          <cell r="M303">
            <v>0.12859833333333334</v>
          </cell>
          <cell r="N303">
            <v>0</v>
          </cell>
          <cell r="O303">
            <v>2.0739999999999998E-2</v>
          </cell>
          <cell r="P303">
            <v>9.0733333333333326E-3</v>
          </cell>
          <cell r="Q303">
            <v>5.2249999999999996E-3</v>
          </cell>
          <cell r="R303">
            <v>3.491166666666666E-2</v>
          </cell>
          <cell r="S303">
            <v>0.20602500000000001</v>
          </cell>
          <cell r="T303">
            <v>0</v>
          </cell>
          <cell r="U303">
            <v>0</v>
          </cell>
          <cell r="V303">
            <v>0</v>
          </cell>
          <cell r="W303">
            <v>0.24093666666666669</v>
          </cell>
        </row>
        <row r="304">
          <cell r="D304" t="str">
            <v>24129-7DA0A 0211</v>
          </cell>
          <cell r="E304" t="str">
            <v>241297DA0A</v>
          </cell>
          <cell r="F304" t="str">
            <v>241297DA0A</v>
          </cell>
          <cell r="G304">
            <v>102</v>
          </cell>
          <cell r="H304">
            <v>0</v>
          </cell>
          <cell r="I304">
            <v>9.1783333333333335E-3</v>
          </cell>
          <cell r="J304">
            <v>7.3283333333333334E-3</v>
          </cell>
          <cell r="K304">
            <v>0</v>
          </cell>
          <cell r="L304">
            <v>4.6385000000000003E-2</v>
          </cell>
          <cell r="M304">
            <v>0.11481833333333333</v>
          </cell>
          <cell r="N304">
            <v>0</v>
          </cell>
          <cell r="O304">
            <v>1.7786666666666666E-2</v>
          </cell>
          <cell r="P304">
            <v>7.9716666666666668E-3</v>
          </cell>
          <cell r="Q304">
            <v>4.9300000000000004E-3</v>
          </cell>
          <cell r="R304">
            <v>1.6506666666666666E-2</v>
          </cell>
          <cell r="S304">
            <v>0.19189166666666665</v>
          </cell>
          <cell r="T304">
            <v>0</v>
          </cell>
          <cell r="U304">
            <v>0</v>
          </cell>
          <cell r="V304">
            <v>0</v>
          </cell>
          <cell r="W304">
            <v>0.20839833333333332</v>
          </cell>
        </row>
        <row r="305">
          <cell r="D305" t="str">
            <v>24129-7DA0B 0211</v>
          </cell>
          <cell r="E305" t="str">
            <v>241297DA0B</v>
          </cell>
          <cell r="F305" t="str">
            <v>241297DA0B</v>
          </cell>
          <cell r="G305">
            <v>136.4</v>
          </cell>
          <cell r="H305">
            <v>0</v>
          </cell>
          <cell r="I305">
            <v>1.4619999999999999E-2</v>
          </cell>
          <cell r="J305">
            <v>1.409E-2</v>
          </cell>
          <cell r="K305">
            <v>0</v>
          </cell>
          <cell r="L305">
            <v>5.4928333333333336E-2</v>
          </cell>
          <cell r="M305">
            <v>0.12148333333333333</v>
          </cell>
          <cell r="N305">
            <v>0</v>
          </cell>
          <cell r="O305">
            <v>1.9105E-2</v>
          </cell>
          <cell r="P305">
            <v>8.8083333333333329E-3</v>
          </cell>
          <cell r="Q305">
            <v>5.11E-3</v>
          </cell>
          <cell r="R305">
            <v>2.8709999999999999E-2</v>
          </cell>
          <cell r="S305">
            <v>0.20943500000000001</v>
          </cell>
          <cell r="T305">
            <v>0</v>
          </cell>
          <cell r="U305">
            <v>0</v>
          </cell>
          <cell r="V305">
            <v>0</v>
          </cell>
          <cell r="W305">
            <v>0.238145</v>
          </cell>
        </row>
        <row r="306">
          <cell r="D306" t="str">
            <v>295J1-6RA0A 0401</v>
          </cell>
          <cell r="E306" t="str">
            <v>295J16RA0A</v>
          </cell>
          <cell r="F306" t="str">
            <v>295J16RA0A</v>
          </cell>
          <cell r="G306">
            <v>148.1</v>
          </cell>
          <cell r="H306">
            <v>0</v>
          </cell>
          <cell r="I306">
            <v>5.7494999999999997E-2</v>
          </cell>
          <cell r="J306">
            <v>5.4830000000000004E-2</v>
          </cell>
          <cell r="K306">
            <v>5.156666666666667E-3</v>
          </cell>
          <cell r="L306">
            <v>0.20190166666666667</v>
          </cell>
          <cell r="M306">
            <v>0.18391166666666667</v>
          </cell>
          <cell r="N306">
            <v>0</v>
          </cell>
          <cell r="O306">
            <v>2.5995000000000001E-2</v>
          </cell>
          <cell r="P306">
            <v>1.4111666666666666E-2</v>
          </cell>
          <cell r="Q306">
            <v>4.1166666666666669E-3</v>
          </cell>
          <cell r="R306">
            <v>0.11748166666666668</v>
          </cell>
          <cell r="S306">
            <v>0.43003666666666668</v>
          </cell>
          <cell r="T306">
            <v>0</v>
          </cell>
          <cell r="U306">
            <v>0</v>
          </cell>
          <cell r="V306">
            <v>0</v>
          </cell>
          <cell r="W306">
            <v>0.54751833333333333</v>
          </cell>
        </row>
        <row r="307">
          <cell r="D307" t="str">
            <v>295J2-6RA0A 0601</v>
          </cell>
          <cell r="E307" t="str">
            <v>295J26RA0A</v>
          </cell>
          <cell r="F307" t="str">
            <v>295J26RA0A</v>
          </cell>
          <cell r="G307">
            <v>97.5</v>
          </cell>
          <cell r="H307">
            <v>0</v>
          </cell>
          <cell r="I307">
            <v>2.2015E-2</v>
          </cell>
          <cell r="J307">
            <v>6.1956666666666667E-2</v>
          </cell>
          <cell r="K307">
            <v>1.0313333333333334E-2</v>
          </cell>
          <cell r="L307">
            <v>7.6624999999999999E-2</v>
          </cell>
          <cell r="M307">
            <v>0.17425499999999999</v>
          </cell>
          <cell r="N307">
            <v>0</v>
          </cell>
          <cell r="O307">
            <v>1.9994999999999999E-2</v>
          </cell>
          <cell r="P307">
            <v>1.4111666666666666E-2</v>
          </cell>
          <cell r="Q307">
            <v>4.3083333333333333E-3</v>
          </cell>
          <cell r="R307">
            <v>9.4285000000000008E-2</v>
          </cell>
          <cell r="S307">
            <v>0.28929500000000002</v>
          </cell>
          <cell r="T307">
            <v>0</v>
          </cell>
          <cell r="U307">
            <v>0</v>
          </cell>
          <cell r="V307">
            <v>0</v>
          </cell>
          <cell r="W307">
            <v>0.38358000000000003</v>
          </cell>
        </row>
        <row r="308">
          <cell r="D308" t="str">
            <v>82111-F4L30 J 0001</v>
          </cell>
          <cell r="E308" t="str">
            <v>82111F4L30</v>
          </cell>
          <cell r="F308" t="str">
            <v>82111F4L30</v>
          </cell>
          <cell r="G308">
            <v>3727.3</v>
          </cell>
          <cell r="H308">
            <v>0</v>
          </cell>
          <cell r="I308">
            <v>0.18648166666666668</v>
          </cell>
          <cell r="J308">
            <v>0.37688833333333333</v>
          </cell>
          <cell r="K308">
            <v>0.19120833333333334</v>
          </cell>
          <cell r="L308">
            <v>0.62376833333333326</v>
          </cell>
          <cell r="M308">
            <v>1.7019200000000001</v>
          </cell>
          <cell r="N308">
            <v>4.2706666666666664E-2</v>
          </cell>
          <cell r="O308">
            <v>0.19393666666666667</v>
          </cell>
          <cell r="P308">
            <v>0.19117833333333334</v>
          </cell>
          <cell r="Q308">
            <v>5.7836666666666668E-2</v>
          </cell>
          <cell r="R308">
            <v>0.75457833333333335</v>
          </cell>
          <cell r="S308">
            <v>2.8113466666666667</v>
          </cell>
          <cell r="T308">
            <v>5.6606666666666673E-2</v>
          </cell>
          <cell r="U308">
            <v>4.3663333333333339E-2</v>
          </cell>
          <cell r="V308">
            <v>0</v>
          </cell>
          <cell r="W308">
            <v>3.6661950000000001</v>
          </cell>
        </row>
        <row r="309">
          <cell r="D309" t="str">
            <v>82111-F2131 D 0101</v>
          </cell>
          <cell r="E309" t="str">
            <v>82111-F2131</v>
          </cell>
          <cell r="F309" t="str">
            <v>82111-F2131</v>
          </cell>
          <cell r="G309">
            <v>3241.4</v>
          </cell>
          <cell r="H309">
            <v>0</v>
          </cell>
          <cell r="I309">
            <v>0.23120499999999999</v>
          </cell>
          <cell r="J309">
            <v>0.30151</v>
          </cell>
          <cell r="K309">
            <v>0.19049333333333335</v>
          </cell>
          <cell r="L309">
            <v>0.57001833333333329</v>
          </cell>
          <cell r="M309">
            <v>1.725255</v>
          </cell>
          <cell r="N309">
            <v>6.9225000000000009E-2</v>
          </cell>
          <cell r="O309">
            <v>0.17413500000000001</v>
          </cell>
          <cell r="P309">
            <v>0.14865666666666666</v>
          </cell>
          <cell r="Q309">
            <v>6.0520000000000004E-2</v>
          </cell>
          <cell r="R309">
            <v>0.72320833333333345</v>
          </cell>
          <cell r="S309">
            <v>2.7478099999999999</v>
          </cell>
          <cell r="T309">
            <v>4.2181666666666666E-2</v>
          </cell>
          <cell r="U309">
            <v>3.7756666666666668E-2</v>
          </cell>
          <cell r="V309">
            <v>0</v>
          </cell>
          <cell r="W309">
            <v>3.5509566666666665</v>
          </cell>
        </row>
        <row r="310">
          <cell r="D310" t="str">
            <v>82111-F2132 B 0001</v>
          </cell>
          <cell r="E310" t="str">
            <v>82111-F2132</v>
          </cell>
          <cell r="F310" t="str">
            <v>82111-F2132</v>
          </cell>
          <cell r="G310">
            <v>3260.8</v>
          </cell>
          <cell r="H310">
            <v>0</v>
          </cell>
          <cell r="I310">
            <v>0.23249333333333333</v>
          </cell>
          <cell r="J310">
            <v>0.29373333333333329</v>
          </cell>
          <cell r="K310">
            <v>0.20387666666666665</v>
          </cell>
          <cell r="L310">
            <v>0.57276833333333343</v>
          </cell>
          <cell r="M310">
            <v>1.7135616666666666</v>
          </cell>
          <cell r="N310">
            <v>6.9225000000000009E-2</v>
          </cell>
          <cell r="O310">
            <v>0.17521166666666668</v>
          </cell>
          <cell r="P310">
            <v>0.14879166666666668</v>
          </cell>
          <cell r="Q310">
            <v>5.5844999999999999E-2</v>
          </cell>
          <cell r="R310">
            <v>0.73010333333333333</v>
          </cell>
          <cell r="S310">
            <v>2.7354033333333336</v>
          </cell>
          <cell r="T310">
            <v>4.2181666666666666E-2</v>
          </cell>
          <cell r="U310">
            <v>3.7756666666666668E-2</v>
          </cell>
          <cell r="V310">
            <v>0</v>
          </cell>
          <cell r="W310">
            <v>3.5454450000000004</v>
          </cell>
        </row>
        <row r="311">
          <cell r="D311" t="str">
            <v>82111-F2152 A 0201</v>
          </cell>
          <cell r="E311" t="str">
            <v>82111-F2152</v>
          </cell>
          <cell r="F311" t="str">
            <v>82111-F2152</v>
          </cell>
          <cell r="G311">
            <v>3158.1</v>
          </cell>
          <cell r="H311">
            <v>0</v>
          </cell>
          <cell r="I311">
            <v>0.216695</v>
          </cell>
          <cell r="J311">
            <v>0.27327333333333331</v>
          </cell>
          <cell r="K311">
            <v>0.19734333333333334</v>
          </cell>
          <cell r="L311">
            <v>0.55987666666666658</v>
          </cell>
          <cell r="M311">
            <v>1.5765633333333333</v>
          </cell>
          <cell r="N311">
            <v>6.8699999999999997E-2</v>
          </cell>
          <cell r="O311">
            <v>0.16870833333333335</v>
          </cell>
          <cell r="P311">
            <v>0.14532500000000001</v>
          </cell>
          <cell r="Q311">
            <v>6.7964999999999998E-2</v>
          </cell>
          <cell r="R311">
            <v>0.68731166666666665</v>
          </cell>
          <cell r="S311">
            <v>2.5871383333333338</v>
          </cell>
          <cell r="T311">
            <v>4.2181666666666666E-2</v>
          </cell>
          <cell r="U311">
            <v>3.7756666666666668E-2</v>
          </cell>
          <cell r="V311">
            <v>0</v>
          </cell>
          <cell r="W311">
            <v>3.3543883333333335</v>
          </cell>
        </row>
        <row r="312">
          <cell r="D312" t="str">
            <v>82111-F2211 B 0201</v>
          </cell>
          <cell r="E312" t="str">
            <v>82111-F2211</v>
          </cell>
          <cell r="F312" t="str">
            <v>82111-F2211</v>
          </cell>
          <cell r="G312">
            <v>2962.1</v>
          </cell>
          <cell r="H312">
            <v>0</v>
          </cell>
          <cell r="I312">
            <v>0.17327333333333333</v>
          </cell>
          <cell r="J312">
            <v>0.11392666666666668</v>
          </cell>
          <cell r="K312">
            <v>0.13485166666666668</v>
          </cell>
          <cell r="L312">
            <v>0.46979333333333334</v>
          </cell>
          <cell r="M312">
            <v>1.4206216666666667</v>
          </cell>
          <cell r="N312">
            <v>6.3626666666666665E-2</v>
          </cell>
          <cell r="O312">
            <v>0.16283499999999998</v>
          </cell>
          <cell r="P312">
            <v>0.13167833333333331</v>
          </cell>
          <cell r="Q312">
            <v>6.0350000000000001E-2</v>
          </cell>
          <cell r="R312">
            <v>0.42205166666666671</v>
          </cell>
          <cell r="S312">
            <v>2.3089050000000002</v>
          </cell>
          <cell r="T312">
            <v>4.4739999999999995E-2</v>
          </cell>
          <cell r="U312">
            <v>4.6706666666666674E-2</v>
          </cell>
          <cell r="V312">
            <v>0</v>
          </cell>
          <cell r="W312">
            <v>2.8224033333333334</v>
          </cell>
        </row>
        <row r="313">
          <cell r="D313" t="str">
            <v>82111-F2220 D 0201</v>
          </cell>
          <cell r="E313" t="str">
            <v>82111-F2220 D</v>
          </cell>
          <cell r="F313" t="str">
            <v>82111-F2220 D</v>
          </cell>
          <cell r="G313">
            <v>2933.3</v>
          </cell>
          <cell r="H313">
            <v>0</v>
          </cell>
          <cell r="I313">
            <v>0.16666833333333334</v>
          </cell>
          <cell r="J313">
            <v>0.10982333333333334</v>
          </cell>
          <cell r="K313">
            <v>0.13382333333333335</v>
          </cell>
          <cell r="L313">
            <v>0.45817000000000002</v>
          </cell>
          <cell r="M313">
            <v>1.4264183333333333</v>
          </cell>
          <cell r="N313">
            <v>6.3771666666666657E-2</v>
          </cell>
          <cell r="O313">
            <v>0.160805</v>
          </cell>
          <cell r="P313">
            <v>0.13003833333333334</v>
          </cell>
          <cell r="Q313">
            <v>6.0971666666666667E-2</v>
          </cell>
          <cell r="R313">
            <v>0.41031500000000004</v>
          </cell>
          <cell r="S313">
            <v>2.3001749999999999</v>
          </cell>
          <cell r="T313">
            <v>4.4739999999999995E-2</v>
          </cell>
          <cell r="U313">
            <v>4.6706666666666674E-2</v>
          </cell>
          <cell r="V313">
            <v>0</v>
          </cell>
          <cell r="W313">
            <v>2.8019366666666667</v>
          </cell>
        </row>
        <row r="314">
          <cell r="D314" t="str">
            <v>82111-F2C11 B 0001</v>
          </cell>
          <cell r="E314" t="str">
            <v>82111-F2C11</v>
          </cell>
          <cell r="F314" t="str">
            <v>82111-F2C11</v>
          </cell>
          <cell r="G314">
            <v>3263.7</v>
          </cell>
          <cell r="H314">
            <v>0</v>
          </cell>
          <cell r="I314">
            <v>0.23200833333333334</v>
          </cell>
          <cell r="J314">
            <v>0.29373333333333329</v>
          </cell>
          <cell r="K314">
            <v>0.20379833333333333</v>
          </cell>
          <cell r="L314">
            <v>0.58512166666666665</v>
          </cell>
          <cell r="M314">
            <v>1.6868516666666666</v>
          </cell>
          <cell r="N314">
            <v>6.9209999999999994E-2</v>
          </cell>
          <cell r="O314">
            <v>0.17460833333333334</v>
          </cell>
          <cell r="P314">
            <v>0.14851833333333334</v>
          </cell>
          <cell r="Q314">
            <v>5.5754999999999999E-2</v>
          </cell>
          <cell r="R314">
            <v>0.72953999999999997</v>
          </cell>
          <cell r="S314">
            <v>2.7200650000000004</v>
          </cell>
          <cell r="T314">
            <v>4.2181666666666666E-2</v>
          </cell>
          <cell r="U314">
            <v>3.7756666666666668E-2</v>
          </cell>
          <cell r="V314">
            <v>0</v>
          </cell>
          <cell r="W314">
            <v>3.5295433333333337</v>
          </cell>
        </row>
        <row r="315">
          <cell r="D315" t="str">
            <v>82111-F2L51 B 0101</v>
          </cell>
          <cell r="E315" t="str">
            <v>82111-F2L51</v>
          </cell>
          <cell r="F315" t="str">
            <v>82111-F2L51</v>
          </cell>
          <cell r="G315">
            <v>2648.5</v>
          </cell>
          <cell r="H315">
            <v>0</v>
          </cell>
          <cell r="I315">
            <v>0.153535</v>
          </cell>
          <cell r="J315">
            <v>0.14036333333333331</v>
          </cell>
          <cell r="K315">
            <v>0.11885166666666666</v>
          </cell>
          <cell r="L315">
            <v>0.51003666666666669</v>
          </cell>
          <cell r="M315">
            <v>1.4968883333333334</v>
          </cell>
          <cell r="N315">
            <v>4.0235E-2</v>
          </cell>
          <cell r="O315">
            <v>0.15836833333333333</v>
          </cell>
          <cell r="P315">
            <v>0.17400833333333335</v>
          </cell>
          <cell r="Q315">
            <v>2.9693333333333335E-2</v>
          </cell>
          <cell r="R315">
            <v>0.41274999999999995</v>
          </cell>
          <cell r="S315">
            <v>2.40923</v>
          </cell>
          <cell r="T315">
            <v>5.0381666666666665E-2</v>
          </cell>
          <cell r="U315">
            <v>4.2040000000000008E-2</v>
          </cell>
          <cell r="V315">
            <v>0</v>
          </cell>
          <cell r="W315">
            <v>2.9144016666666666</v>
          </cell>
        </row>
        <row r="316">
          <cell r="D316" t="str">
            <v>82111-F2W02 B 0101</v>
          </cell>
          <cell r="E316" t="str">
            <v>82111-F2W02</v>
          </cell>
          <cell r="F316" t="str">
            <v>82111-F2W02</v>
          </cell>
          <cell r="G316">
            <v>2647.6</v>
          </cell>
          <cell r="H316">
            <v>0</v>
          </cell>
          <cell r="I316">
            <v>0.15348166666666666</v>
          </cell>
          <cell r="J316">
            <v>0.14036333333333331</v>
          </cell>
          <cell r="K316">
            <v>0.11885166666666666</v>
          </cell>
          <cell r="L316">
            <v>0.51003666666666669</v>
          </cell>
          <cell r="M316">
            <v>1.4966966666666666</v>
          </cell>
          <cell r="N316">
            <v>4.0235E-2</v>
          </cell>
          <cell r="O316">
            <v>0.15836833333333333</v>
          </cell>
          <cell r="P316">
            <v>0.17400833333333335</v>
          </cell>
          <cell r="Q316">
            <v>2.9676666666666667E-2</v>
          </cell>
          <cell r="R316">
            <v>0.4126966666666666</v>
          </cell>
          <cell r="S316">
            <v>2.4090216666666664</v>
          </cell>
          <cell r="T316">
            <v>5.0381666666666665E-2</v>
          </cell>
          <cell r="U316">
            <v>4.2040000000000008E-2</v>
          </cell>
          <cell r="V316">
            <v>0</v>
          </cell>
          <cell r="W316">
            <v>2.9141399999999997</v>
          </cell>
        </row>
        <row r="317">
          <cell r="D317" t="str">
            <v>82111-F2W22 B 0101</v>
          </cell>
          <cell r="E317" t="str">
            <v>82111-F2W22</v>
          </cell>
          <cell r="F317" t="str">
            <v>82111-F2W22</v>
          </cell>
          <cell r="G317">
            <v>2644.3</v>
          </cell>
          <cell r="H317">
            <v>0</v>
          </cell>
          <cell r="I317">
            <v>0.15401499999999999</v>
          </cell>
          <cell r="J317">
            <v>0.14036333333333331</v>
          </cell>
          <cell r="K317">
            <v>0.11885166666666666</v>
          </cell>
          <cell r="L317">
            <v>0.49789999999999995</v>
          </cell>
          <cell r="M317">
            <v>1.5254249999999998</v>
          </cell>
          <cell r="N317">
            <v>4.0235E-2</v>
          </cell>
          <cell r="O317">
            <v>0.15896666666666667</v>
          </cell>
          <cell r="P317">
            <v>0.17409666666666668</v>
          </cell>
          <cell r="Q317">
            <v>2.9708333333333333E-2</v>
          </cell>
          <cell r="R317">
            <v>0.41322999999999999</v>
          </cell>
          <cell r="S317">
            <v>2.4263316666666666</v>
          </cell>
          <cell r="T317">
            <v>5.0381666666666665E-2</v>
          </cell>
          <cell r="U317">
            <v>4.2040000000000008E-2</v>
          </cell>
          <cell r="V317">
            <v>0</v>
          </cell>
          <cell r="W317">
            <v>2.9319833333333332</v>
          </cell>
        </row>
        <row r="318">
          <cell r="D318" t="str">
            <v>82111-F2W23 B 0201</v>
          </cell>
          <cell r="E318" t="str">
            <v>82111-F2W23</v>
          </cell>
          <cell r="F318" t="str">
            <v>82111-F2W23</v>
          </cell>
          <cell r="G318">
            <v>2690.8</v>
          </cell>
          <cell r="H318">
            <v>0</v>
          </cell>
          <cell r="I318">
            <v>0.17291833333333334</v>
          </cell>
          <cell r="J318">
            <v>0.11864666666666666</v>
          </cell>
          <cell r="K318">
            <v>0.12134666666666667</v>
          </cell>
          <cell r="L318">
            <v>0.45324000000000003</v>
          </cell>
          <cell r="M318">
            <v>1.4942033333333333</v>
          </cell>
          <cell r="N318">
            <v>6.2560000000000004E-2</v>
          </cell>
          <cell r="O318">
            <v>0.15563333333333332</v>
          </cell>
          <cell r="P318">
            <v>0.13904333333333332</v>
          </cell>
          <cell r="Q318">
            <v>4.9633333333333335E-2</v>
          </cell>
          <cell r="R318">
            <v>0.41291166666666668</v>
          </cell>
          <cell r="S318">
            <v>2.3543133333333337</v>
          </cell>
          <cell r="T318">
            <v>4.2110000000000002E-2</v>
          </cell>
          <cell r="U318">
            <v>4.2001666666666673E-2</v>
          </cell>
          <cell r="V318">
            <v>0</v>
          </cell>
          <cell r="W318">
            <v>2.8513366666666671</v>
          </cell>
        </row>
        <row r="319">
          <cell r="D319" t="str">
            <v>82111-F2W34 B 0201</v>
          </cell>
          <cell r="E319" t="str">
            <v>82111-F2W34</v>
          </cell>
          <cell r="F319" t="str">
            <v>82111-F2W34</v>
          </cell>
          <cell r="G319">
            <v>2524.6999999999998</v>
          </cell>
          <cell r="H319">
            <v>0</v>
          </cell>
          <cell r="I319">
            <v>0.14206666666666665</v>
          </cell>
          <cell r="J319">
            <v>9.6131666666666671E-2</v>
          </cell>
          <cell r="K319">
            <v>8.584E-2</v>
          </cell>
          <cell r="L319">
            <v>0.41341666666666665</v>
          </cell>
          <cell r="M319">
            <v>1.3258249999999998</v>
          </cell>
          <cell r="N319">
            <v>6.2011666666666666E-2</v>
          </cell>
          <cell r="O319">
            <v>0.14793833333333334</v>
          </cell>
          <cell r="P319">
            <v>0.11601499999999999</v>
          </cell>
          <cell r="Q319">
            <v>4.6066666666666665E-2</v>
          </cell>
          <cell r="R319">
            <v>0.32403833333333332</v>
          </cell>
          <cell r="S319">
            <v>2.1112733333333331</v>
          </cell>
          <cell r="T319">
            <v>4.2110000000000002E-2</v>
          </cell>
          <cell r="U319">
            <v>4.2001666666666673E-2</v>
          </cell>
          <cell r="V319">
            <v>0</v>
          </cell>
          <cell r="W319">
            <v>2.5194233333333331</v>
          </cell>
        </row>
        <row r="320">
          <cell r="D320" t="str">
            <v>82111-F2W42 C 0101</v>
          </cell>
          <cell r="E320" t="str">
            <v>82111-F2W42</v>
          </cell>
          <cell r="F320" t="str">
            <v>82111-F2W42</v>
          </cell>
          <cell r="G320">
            <v>3017.1</v>
          </cell>
          <cell r="H320">
            <v>0</v>
          </cell>
          <cell r="I320">
            <v>0.18214499999999997</v>
          </cell>
          <cell r="J320">
            <v>0.11257166666666667</v>
          </cell>
          <cell r="K320">
            <v>0.14884833333333333</v>
          </cell>
          <cell r="L320">
            <v>0.49765500000000001</v>
          </cell>
          <cell r="M320">
            <v>1.4414333333333333</v>
          </cell>
          <cell r="N320">
            <v>6.3570000000000002E-2</v>
          </cell>
          <cell r="O320">
            <v>0.16638</v>
          </cell>
          <cell r="P320">
            <v>0.13751833333333333</v>
          </cell>
          <cell r="Q320">
            <v>7.4708333333333335E-2</v>
          </cell>
          <cell r="R320">
            <v>0.44356499999999999</v>
          </cell>
          <cell r="S320">
            <v>2.381265</v>
          </cell>
          <cell r="T320">
            <v>5.6204999999999998E-2</v>
          </cell>
          <cell r="U320">
            <v>4.6706666666666674E-2</v>
          </cell>
          <cell r="V320">
            <v>0</v>
          </cell>
          <cell r="W320">
            <v>2.9277416666666665</v>
          </cell>
        </row>
        <row r="321">
          <cell r="D321" t="str">
            <v>82111-F2W63 B 0201</v>
          </cell>
          <cell r="E321" t="str">
            <v>82111-F2W63</v>
          </cell>
          <cell r="F321" t="str">
            <v>82111-F2W63</v>
          </cell>
          <cell r="G321">
            <v>2640.9</v>
          </cell>
          <cell r="H321">
            <v>0</v>
          </cell>
          <cell r="I321">
            <v>0.16247166666666668</v>
          </cell>
          <cell r="J321">
            <v>0.11314500000000001</v>
          </cell>
          <cell r="K321">
            <v>0.10481166666666668</v>
          </cell>
          <cell r="L321">
            <v>0.43894333333333335</v>
          </cell>
          <cell r="M321">
            <v>1.4365316666666668</v>
          </cell>
          <cell r="N321">
            <v>6.2526666666666661E-2</v>
          </cell>
          <cell r="O321">
            <v>0.15758999999999998</v>
          </cell>
          <cell r="P321">
            <v>0.12671166666666667</v>
          </cell>
          <cell r="Q321">
            <v>4.8031666666666667E-2</v>
          </cell>
          <cell r="R321">
            <v>0.38042833333333337</v>
          </cell>
          <cell r="S321">
            <v>2.2703350000000002</v>
          </cell>
          <cell r="T321">
            <v>4.2110000000000002E-2</v>
          </cell>
          <cell r="U321">
            <v>4.2001666666666673E-2</v>
          </cell>
          <cell r="V321">
            <v>0</v>
          </cell>
          <cell r="W321">
            <v>2.7348750000000006</v>
          </cell>
        </row>
        <row r="322">
          <cell r="D322" t="str">
            <v>82111-F2W83 B 0201</v>
          </cell>
          <cell r="E322" t="str">
            <v>82111-F2W83</v>
          </cell>
          <cell r="F322" t="str">
            <v>82111-F2W83</v>
          </cell>
          <cell r="G322">
            <v>2610.5</v>
          </cell>
          <cell r="H322">
            <v>0</v>
          </cell>
          <cell r="I322">
            <v>0.15407833333333334</v>
          </cell>
          <cell r="J322">
            <v>0.100235</v>
          </cell>
          <cell r="K322">
            <v>9.8549999999999999E-2</v>
          </cell>
          <cell r="L322">
            <v>0.43239499999999997</v>
          </cell>
          <cell r="M322">
            <v>1.3825666666666665</v>
          </cell>
          <cell r="N322">
            <v>6.2286666666666671E-2</v>
          </cell>
          <cell r="O322">
            <v>0.15528500000000001</v>
          </cell>
          <cell r="P322">
            <v>0.12784999999999999</v>
          </cell>
          <cell r="Q322">
            <v>4.7251666666666671E-2</v>
          </cell>
          <cell r="R322">
            <v>0.35286333333333331</v>
          </cell>
          <cell r="S322">
            <v>2.2076349999999998</v>
          </cell>
          <cell r="T322">
            <v>4.2110000000000002E-2</v>
          </cell>
          <cell r="U322">
            <v>4.2001666666666673E-2</v>
          </cell>
          <cell r="V322">
            <v>0</v>
          </cell>
          <cell r="W322">
            <v>2.6446100000000001</v>
          </cell>
        </row>
        <row r="323">
          <cell r="D323" t="str">
            <v>82111-F2W92 C 0101</v>
          </cell>
          <cell r="E323" t="str">
            <v>82111-F2W92</v>
          </cell>
          <cell r="F323" t="str">
            <v>82111-F2W92</v>
          </cell>
          <cell r="G323">
            <v>2985</v>
          </cell>
          <cell r="H323">
            <v>0</v>
          </cell>
          <cell r="I323">
            <v>0.17335500000000001</v>
          </cell>
          <cell r="J323">
            <v>0.10707</v>
          </cell>
          <cell r="K323">
            <v>0.12706999999999999</v>
          </cell>
          <cell r="L323">
            <v>0.47545833333333332</v>
          </cell>
          <cell r="M323">
            <v>1.4181083333333333</v>
          </cell>
          <cell r="N323">
            <v>6.3716666666666671E-2</v>
          </cell>
          <cell r="O323">
            <v>0.16377499999999998</v>
          </cell>
          <cell r="P323">
            <v>0.13201000000000002</v>
          </cell>
          <cell r="Q323">
            <v>7.4116666666666664E-2</v>
          </cell>
          <cell r="R323">
            <v>0.40749500000000005</v>
          </cell>
          <cell r="S323">
            <v>2.3271850000000001</v>
          </cell>
          <cell r="T323">
            <v>5.6204999999999998E-2</v>
          </cell>
          <cell r="U323">
            <v>4.6706666666666674E-2</v>
          </cell>
          <cell r="V323">
            <v>0</v>
          </cell>
          <cell r="W323">
            <v>2.8375916666666665</v>
          </cell>
        </row>
        <row r="324">
          <cell r="D324" t="str">
            <v>82111-F2X02 A 0201</v>
          </cell>
          <cell r="E324" t="str">
            <v>82111-F2X02</v>
          </cell>
          <cell r="F324" t="str">
            <v>82111-F2X02</v>
          </cell>
          <cell r="G324">
            <v>3071</v>
          </cell>
          <cell r="H324">
            <v>0</v>
          </cell>
          <cell r="I324">
            <v>0.20576166666666668</v>
          </cell>
          <cell r="J324">
            <v>0.26917000000000002</v>
          </cell>
          <cell r="K324">
            <v>0.17809166666666665</v>
          </cell>
          <cell r="L324">
            <v>0.53025333333333335</v>
          </cell>
          <cell r="M324">
            <v>1.55602</v>
          </cell>
          <cell r="N324">
            <v>6.8475000000000008E-2</v>
          </cell>
          <cell r="O324">
            <v>0.16580833333333331</v>
          </cell>
          <cell r="P324">
            <v>0.13976666666666665</v>
          </cell>
          <cell r="Q324">
            <v>6.7246666666666663E-2</v>
          </cell>
          <cell r="R324">
            <v>0.65302333333333329</v>
          </cell>
          <cell r="S324">
            <v>2.5275699999999994</v>
          </cell>
          <cell r="T324">
            <v>4.2181666666666666E-2</v>
          </cell>
          <cell r="U324">
            <v>3.7756666666666668E-2</v>
          </cell>
          <cell r="V324">
            <v>0</v>
          </cell>
          <cell r="W324">
            <v>3.2605316666666657</v>
          </cell>
        </row>
        <row r="325">
          <cell r="D325" t="str">
            <v>82111-FEQ60 C 0101</v>
          </cell>
          <cell r="E325" t="str">
            <v>82111-FEQ60</v>
          </cell>
          <cell r="F325" t="str">
            <v>82111-FEQ60</v>
          </cell>
          <cell r="G325">
            <v>2948.2</v>
          </cell>
          <cell r="H325">
            <v>0</v>
          </cell>
          <cell r="I325">
            <v>0.16600666666666666</v>
          </cell>
          <cell r="J325">
            <v>0.10296666666666666</v>
          </cell>
          <cell r="K325">
            <v>0.12604166666666666</v>
          </cell>
          <cell r="L325">
            <v>0.46204666666666666</v>
          </cell>
          <cell r="M325">
            <v>1.4231149999999999</v>
          </cell>
          <cell r="N325">
            <v>6.3856666666666659E-2</v>
          </cell>
          <cell r="O325">
            <v>0.16166333333333333</v>
          </cell>
          <cell r="P325">
            <v>0.13036666666666666</v>
          </cell>
          <cell r="Q325">
            <v>6.1281666666666665E-2</v>
          </cell>
          <cell r="R325">
            <v>0.39501500000000001</v>
          </cell>
          <cell r="S325">
            <v>2.30233</v>
          </cell>
          <cell r="T325">
            <v>5.6204999999999998E-2</v>
          </cell>
          <cell r="U325">
            <v>4.6706666666666674E-2</v>
          </cell>
          <cell r="V325">
            <v>0</v>
          </cell>
          <cell r="W325">
            <v>2.8002566666666664</v>
          </cell>
        </row>
        <row r="326">
          <cell r="D326" t="str">
            <v>82111-FET00 A 0001</v>
          </cell>
          <cell r="E326" t="str">
            <v>82111-FET00</v>
          </cell>
          <cell r="F326" t="str">
            <v>82111-FET00</v>
          </cell>
          <cell r="G326">
            <v>3069.6</v>
          </cell>
          <cell r="H326">
            <v>0</v>
          </cell>
          <cell r="I326">
            <v>0.20705999999999999</v>
          </cell>
          <cell r="J326">
            <v>0.28020833333333334</v>
          </cell>
          <cell r="K326">
            <v>0.17809166666666665</v>
          </cell>
          <cell r="L326">
            <v>0.53902666666666665</v>
          </cell>
          <cell r="M326">
            <v>1.5598850000000002</v>
          </cell>
          <cell r="N326">
            <v>6.8475000000000008E-2</v>
          </cell>
          <cell r="O326">
            <v>0.16688500000000001</v>
          </cell>
          <cell r="P326">
            <v>0.13990166666666667</v>
          </cell>
          <cell r="Q326">
            <v>6.7246666666666663E-2</v>
          </cell>
          <cell r="R326">
            <v>0.66535999999999995</v>
          </cell>
          <cell r="S326">
            <v>2.5414200000000005</v>
          </cell>
          <cell r="T326">
            <v>3.0318333333333336E-2</v>
          </cell>
          <cell r="U326">
            <v>3.7756666666666668E-2</v>
          </cell>
          <cell r="V326">
            <v>0</v>
          </cell>
          <cell r="W326">
            <v>3.2748550000000001</v>
          </cell>
        </row>
        <row r="327">
          <cell r="D327" t="str">
            <v>82111-FET10 0001</v>
          </cell>
          <cell r="E327" t="str">
            <v>82111-FET10</v>
          </cell>
          <cell r="F327" t="str">
            <v>82111-FET10</v>
          </cell>
          <cell r="G327">
            <v>3156.7</v>
          </cell>
          <cell r="H327">
            <v>0</v>
          </cell>
          <cell r="I327">
            <v>0.21799166666666667</v>
          </cell>
          <cell r="J327">
            <v>0.26549666666666666</v>
          </cell>
          <cell r="K327">
            <v>0.19734333333333334</v>
          </cell>
          <cell r="L327">
            <v>0.56535000000000002</v>
          </cell>
          <cell r="M327">
            <v>1.5771666666666666</v>
          </cell>
          <cell r="N327">
            <v>6.8699999999999997E-2</v>
          </cell>
          <cell r="O327">
            <v>0.17226</v>
          </cell>
          <cell r="P327">
            <v>0.14546000000000001</v>
          </cell>
          <cell r="Q327">
            <v>6.7964999999999998E-2</v>
          </cell>
          <cell r="R327">
            <v>0.68083166666666661</v>
          </cell>
          <cell r="S327">
            <v>2.5969016666666667</v>
          </cell>
          <cell r="T327">
            <v>3.9926666666666666E-2</v>
          </cell>
          <cell r="U327">
            <v>3.7756666666666668E-2</v>
          </cell>
          <cell r="V327">
            <v>0</v>
          </cell>
          <cell r="W327">
            <v>3.3554166666666667</v>
          </cell>
        </row>
        <row r="328">
          <cell r="D328" t="str">
            <v>82111-FET20 0001</v>
          </cell>
          <cell r="E328" t="str">
            <v>82111-FET20</v>
          </cell>
          <cell r="F328" t="str">
            <v>82111-FET20</v>
          </cell>
          <cell r="G328">
            <v>2960.3</v>
          </cell>
          <cell r="H328">
            <v>0</v>
          </cell>
          <cell r="I328">
            <v>0.17456333333333335</v>
          </cell>
          <cell r="J328">
            <v>0.11392666666666668</v>
          </cell>
          <cell r="K328">
            <v>0.14689666666666668</v>
          </cell>
          <cell r="L328">
            <v>0.47526666666666662</v>
          </cell>
          <cell r="M328">
            <v>1.4068816666666666</v>
          </cell>
          <cell r="N328">
            <v>6.3626666666666665E-2</v>
          </cell>
          <cell r="O328">
            <v>0.16391166666666665</v>
          </cell>
          <cell r="P328">
            <v>0.13181333333333334</v>
          </cell>
          <cell r="Q328">
            <v>4.8176666666666666E-2</v>
          </cell>
          <cell r="R328">
            <v>0.4353866666666667</v>
          </cell>
          <cell r="S328">
            <v>2.2896766666666668</v>
          </cell>
          <cell r="T328">
            <v>4.2485000000000002E-2</v>
          </cell>
          <cell r="U328">
            <v>4.6706666666666674E-2</v>
          </cell>
          <cell r="V328">
            <v>0</v>
          </cell>
          <cell r="W328">
            <v>2.8142550000000002</v>
          </cell>
        </row>
        <row r="329">
          <cell r="D329" t="str">
            <v>82111-FET30 0001</v>
          </cell>
          <cell r="E329" t="str">
            <v>82111-FET30</v>
          </cell>
          <cell r="F329" t="str">
            <v>82111-FET30</v>
          </cell>
          <cell r="G329">
            <v>2931.6</v>
          </cell>
          <cell r="H329">
            <v>0</v>
          </cell>
          <cell r="I329">
            <v>0.16796</v>
          </cell>
          <cell r="J329">
            <v>0.10982333333333334</v>
          </cell>
          <cell r="K329">
            <v>0.14586833333333335</v>
          </cell>
          <cell r="L329">
            <v>0.46364333333333335</v>
          </cell>
          <cell r="M329">
            <v>1.415205</v>
          </cell>
          <cell r="N329">
            <v>6.3771666666666657E-2</v>
          </cell>
          <cell r="O329">
            <v>0.16188166666666665</v>
          </cell>
          <cell r="P329">
            <v>0.13017333333333334</v>
          </cell>
          <cell r="Q329">
            <v>4.8798333333333339E-2</v>
          </cell>
          <cell r="R329">
            <v>0.42365166666666665</v>
          </cell>
          <cell r="S329">
            <v>2.2834733333333337</v>
          </cell>
          <cell r="T329">
            <v>4.2485000000000002E-2</v>
          </cell>
          <cell r="U329">
            <v>4.6706666666666674E-2</v>
          </cell>
          <cell r="V329">
            <v>0</v>
          </cell>
          <cell r="W329">
            <v>2.7963166666666672</v>
          </cell>
        </row>
        <row r="330">
          <cell r="D330" t="str">
            <v>82111-FET40 0001</v>
          </cell>
          <cell r="E330" t="str">
            <v>82111-FET40</v>
          </cell>
          <cell r="F330" t="str">
            <v>82111-FET40</v>
          </cell>
          <cell r="G330">
            <v>2946.5</v>
          </cell>
          <cell r="H330">
            <v>0</v>
          </cell>
          <cell r="I330">
            <v>0.16729833333333335</v>
          </cell>
          <cell r="J330">
            <v>0.10296666666666666</v>
          </cell>
          <cell r="K330">
            <v>0.13808666666666666</v>
          </cell>
          <cell r="L330">
            <v>0.46752000000000005</v>
          </cell>
          <cell r="M330">
            <v>1.4124183333333333</v>
          </cell>
          <cell r="N330">
            <v>6.3856666666666659E-2</v>
          </cell>
          <cell r="O330">
            <v>0.16274</v>
          </cell>
          <cell r="P330">
            <v>0.13050166666666665</v>
          </cell>
          <cell r="Q330">
            <v>4.910833333333333E-2</v>
          </cell>
          <cell r="R330">
            <v>0.40835166666666667</v>
          </cell>
          <cell r="S330">
            <v>2.2861449999999999</v>
          </cell>
          <cell r="T330">
            <v>4.2485000000000002E-2</v>
          </cell>
          <cell r="U330">
            <v>4.6706666666666674E-2</v>
          </cell>
          <cell r="V330">
            <v>0</v>
          </cell>
          <cell r="W330">
            <v>2.7836883333333335</v>
          </cell>
        </row>
        <row r="331">
          <cell r="D331" t="str">
            <v>82111-KC021 B 0101</v>
          </cell>
          <cell r="E331" t="str">
            <v>82111-KC021</v>
          </cell>
          <cell r="F331" t="str">
            <v>82111-KC021</v>
          </cell>
          <cell r="G331">
            <v>3281.8</v>
          </cell>
          <cell r="H331">
            <v>0</v>
          </cell>
          <cell r="I331">
            <v>0.23453166666666667</v>
          </cell>
          <cell r="J331">
            <v>0.30104833333333331</v>
          </cell>
          <cell r="K331">
            <v>0.19041499999999997</v>
          </cell>
          <cell r="L331">
            <v>0.59223500000000007</v>
          </cell>
          <cell r="M331">
            <v>1.7079466666666667</v>
          </cell>
          <cell r="N331">
            <v>6.9269999999999998E-2</v>
          </cell>
          <cell r="O331">
            <v>0.17382833333333333</v>
          </cell>
          <cell r="P331">
            <v>0.14848833333333333</v>
          </cell>
          <cell r="Q331">
            <v>7.4745000000000006E-2</v>
          </cell>
          <cell r="R331">
            <v>0.72599499999999995</v>
          </cell>
          <cell r="S331">
            <v>2.7665133333333336</v>
          </cell>
          <cell r="T331">
            <v>4.2181666666666666E-2</v>
          </cell>
          <cell r="U331">
            <v>3.7756666666666668E-2</v>
          </cell>
          <cell r="V331">
            <v>0</v>
          </cell>
          <cell r="W331">
            <v>3.5724466666666665</v>
          </cell>
        </row>
        <row r="332">
          <cell r="D332" t="str">
            <v>82115-F2390 B 0001</v>
          </cell>
          <cell r="E332" t="str">
            <v>82115-F2390</v>
          </cell>
          <cell r="F332" t="str">
            <v>82115-F2390</v>
          </cell>
          <cell r="G332">
            <v>3021.6</v>
          </cell>
          <cell r="H332">
            <v>0</v>
          </cell>
          <cell r="I332">
            <v>0.18958666666666665</v>
          </cell>
          <cell r="J332">
            <v>0.14352333333333334</v>
          </cell>
          <cell r="K332">
            <v>0.15229666666666666</v>
          </cell>
          <cell r="L332">
            <v>0.51680499999999996</v>
          </cell>
          <cell r="M332">
            <v>1.5198849999999999</v>
          </cell>
          <cell r="N332">
            <v>6.3924999999999996E-2</v>
          </cell>
          <cell r="O332">
            <v>0.17076166666666664</v>
          </cell>
          <cell r="P332">
            <v>0.14294999999999999</v>
          </cell>
          <cell r="Q332">
            <v>6.4155000000000004E-2</v>
          </cell>
          <cell r="R332">
            <v>0.48540666666666665</v>
          </cell>
          <cell r="S332">
            <v>2.4784816666666662</v>
          </cell>
          <cell r="T332">
            <v>3.2693333333333338E-2</v>
          </cell>
          <cell r="U332">
            <v>4.6706666666666674E-2</v>
          </cell>
          <cell r="V332">
            <v>0</v>
          </cell>
          <cell r="W332">
            <v>3.0432883333333329</v>
          </cell>
        </row>
        <row r="333">
          <cell r="D333" t="str">
            <v>82115-F2Y40 B 0201</v>
          </cell>
          <cell r="E333" t="str">
            <v>82115-F2Y40</v>
          </cell>
          <cell r="F333" t="str">
            <v>82115-F2Y40</v>
          </cell>
          <cell r="G333">
            <v>2709.3</v>
          </cell>
          <cell r="H333">
            <v>0</v>
          </cell>
          <cell r="I333">
            <v>0.17371666666666666</v>
          </cell>
          <cell r="J333">
            <v>0.11864666666666666</v>
          </cell>
          <cell r="K333">
            <v>0.12127166666666667</v>
          </cell>
          <cell r="L333">
            <v>0.46834166666666666</v>
          </cell>
          <cell r="M333">
            <v>1.4698466666666665</v>
          </cell>
          <cell r="N333">
            <v>6.2545000000000003E-2</v>
          </cell>
          <cell r="O333">
            <v>0.15610666666666667</v>
          </cell>
          <cell r="P333">
            <v>0.13890666666666668</v>
          </cell>
          <cell r="Q333">
            <v>4.9541666666666671E-2</v>
          </cell>
          <cell r="R333">
            <v>0.41363499999999997</v>
          </cell>
          <cell r="S333">
            <v>2.3452883333333334</v>
          </cell>
          <cell r="T333">
            <v>5.3340000000000005E-2</v>
          </cell>
          <cell r="U333">
            <v>4.2001666666666673E-2</v>
          </cell>
          <cell r="V333">
            <v>0</v>
          </cell>
          <cell r="W333">
            <v>2.8542650000000003</v>
          </cell>
        </row>
        <row r="334">
          <cell r="D334" t="str">
            <v>82116-0ZW80 0001</v>
          </cell>
          <cell r="E334" t="str">
            <v>82116-0ZW80</v>
          </cell>
          <cell r="F334" t="str">
            <v>82116-0ZW80</v>
          </cell>
          <cell r="G334">
            <v>2676.8</v>
          </cell>
          <cell r="H334">
            <v>0</v>
          </cell>
          <cell r="I334">
            <v>0.17291500000000001</v>
          </cell>
          <cell r="J334">
            <v>0.12579166666666666</v>
          </cell>
          <cell r="K334">
            <v>0.130715</v>
          </cell>
          <cell r="L334">
            <v>0.45596333333333333</v>
          </cell>
          <cell r="M334">
            <v>1.4861316666666666</v>
          </cell>
          <cell r="N334">
            <v>6.2560000000000004E-2</v>
          </cell>
          <cell r="O334">
            <v>0.15810833333333332</v>
          </cell>
          <cell r="P334">
            <v>0.13904333333333332</v>
          </cell>
          <cell r="Q334">
            <v>4.9633333333333335E-2</v>
          </cell>
          <cell r="R334">
            <v>0.4294216666666667</v>
          </cell>
          <cell r="S334">
            <v>2.3514400000000002</v>
          </cell>
          <cell r="T334">
            <v>3.9855000000000002E-2</v>
          </cell>
          <cell r="U334">
            <v>4.2001666666666673E-2</v>
          </cell>
          <cell r="V334">
            <v>0</v>
          </cell>
          <cell r="W334">
            <v>2.8627183333333339</v>
          </cell>
        </row>
        <row r="335">
          <cell r="D335" t="str">
            <v>82116-0ZW90 0001</v>
          </cell>
          <cell r="E335" t="str">
            <v>82116-0ZW90</v>
          </cell>
          <cell r="F335" t="str">
            <v>82116-0ZW90</v>
          </cell>
          <cell r="G335">
            <v>2560.5</v>
          </cell>
          <cell r="H335">
            <v>0</v>
          </cell>
          <cell r="I335">
            <v>0.14675333333333332</v>
          </cell>
          <cell r="J335">
            <v>9.9173333333333336E-2</v>
          </cell>
          <cell r="K335">
            <v>0.10555166666666667</v>
          </cell>
          <cell r="L335">
            <v>0.42170666666666662</v>
          </cell>
          <cell r="M335">
            <v>1.3807533333333335</v>
          </cell>
          <cell r="N335">
            <v>6.2431666666666663E-2</v>
          </cell>
          <cell r="O335">
            <v>0.15565000000000001</v>
          </cell>
          <cell r="P335">
            <v>0.12621000000000002</v>
          </cell>
          <cell r="Q335">
            <v>4.787333333333333E-2</v>
          </cell>
          <cell r="R335">
            <v>0.35147833333333334</v>
          </cell>
          <cell r="S335">
            <v>2.1946250000000003</v>
          </cell>
          <cell r="T335">
            <v>3.9855000000000002E-2</v>
          </cell>
          <cell r="U335">
            <v>4.2001666666666673E-2</v>
          </cell>
          <cell r="V335">
            <v>0</v>
          </cell>
          <cell r="W335">
            <v>2.6279600000000007</v>
          </cell>
        </row>
        <row r="336">
          <cell r="D336" t="str">
            <v>82116-0ZX70 0001</v>
          </cell>
          <cell r="E336" t="str">
            <v>82116-0ZX70</v>
          </cell>
          <cell r="F336" t="str">
            <v>82116-0ZX70</v>
          </cell>
          <cell r="G336">
            <v>3006.2</v>
          </cell>
          <cell r="H336">
            <v>0</v>
          </cell>
          <cell r="I336">
            <v>0.18214</v>
          </cell>
          <cell r="J336">
            <v>0.11257166666666667</v>
          </cell>
          <cell r="K336">
            <v>0.16223166666666666</v>
          </cell>
          <cell r="L336">
            <v>0.50037833333333337</v>
          </cell>
          <cell r="M336">
            <v>1.4270799999999999</v>
          </cell>
          <cell r="N336">
            <v>6.3570000000000002E-2</v>
          </cell>
          <cell r="O336">
            <v>0.16638</v>
          </cell>
          <cell r="P336">
            <v>0.13751833333333333</v>
          </cell>
          <cell r="Q336">
            <v>6.2534999999999993E-2</v>
          </cell>
          <cell r="R336">
            <v>0.45694333333333331</v>
          </cell>
          <cell r="S336">
            <v>2.3574616666666666</v>
          </cell>
          <cell r="T336">
            <v>5.3949999999999998E-2</v>
          </cell>
          <cell r="U336">
            <v>4.6706666666666674E-2</v>
          </cell>
          <cell r="V336">
            <v>0</v>
          </cell>
          <cell r="W336">
            <v>2.9150616666666664</v>
          </cell>
        </row>
        <row r="337">
          <cell r="D337" t="str">
            <v>82116-0ZX80 0001</v>
          </cell>
          <cell r="E337" t="str">
            <v>82116-0ZX80</v>
          </cell>
          <cell r="F337" t="str">
            <v>82116-0ZX80</v>
          </cell>
          <cell r="G337">
            <v>2626</v>
          </cell>
          <cell r="H337">
            <v>0</v>
          </cell>
          <cell r="I337">
            <v>0.16246833333333335</v>
          </cell>
          <cell r="J337">
            <v>0.12028999999999999</v>
          </cell>
          <cell r="K337">
            <v>0.11284166666666667</v>
          </cell>
          <cell r="L337">
            <v>0.43795333333333336</v>
          </cell>
          <cell r="M337">
            <v>1.4297983333333333</v>
          </cell>
          <cell r="N337">
            <v>6.2526666666666661E-2</v>
          </cell>
          <cell r="O337">
            <v>0.16006499999999999</v>
          </cell>
          <cell r="P337">
            <v>0.12671166666666667</v>
          </cell>
          <cell r="Q337">
            <v>4.8031666666666667E-2</v>
          </cell>
          <cell r="R337">
            <v>0.39560000000000001</v>
          </cell>
          <cell r="S337">
            <v>2.2650866666666665</v>
          </cell>
          <cell r="T337">
            <v>3.9855000000000002E-2</v>
          </cell>
          <cell r="U337">
            <v>4.2001666666666673E-2</v>
          </cell>
          <cell r="V337">
            <v>0</v>
          </cell>
          <cell r="W337">
            <v>2.7425433333333333</v>
          </cell>
        </row>
        <row r="338">
          <cell r="D338" t="str">
            <v>82116-0ZX90 0001</v>
          </cell>
          <cell r="E338" t="str">
            <v>82116-0ZX90</v>
          </cell>
          <cell r="F338" t="str">
            <v>82116-0ZX90</v>
          </cell>
          <cell r="G338">
            <v>2596.4</v>
          </cell>
          <cell r="H338">
            <v>0</v>
          </cell>
          <cell r="I338">
            <v>0.15407500000000002</v>
          </cell>
          <cell r="J338">
            <v>0.10327666666666667</v>
          </cell>
          <cell r="K338">
            <v>0.10657999999999999</v>
          </cell>
          <cell r="L338">
            <v>0.43511833333333333</v>
          </cell>
          <cell r="M338">
            <v>1.3758333333333332</v>
          </cell>
          <cell r="N338">
            <v>6.2286666666666671E-2</v>
          </cell>
          <cell r="O338">
            <v>0.15776000000000001</v>
          </cell>
          <cell r="P338">
            <v>0.12784999999999999</v>
          </cell>
          <cell r="Q338">
            <v>4.7251666666666671E-2</v>
          </cell>
          <cell r="R338">
            <v>0.36393166666666671</v>
          </cell>
          <cell r="S338">
            <v>2.2060999999999997</v>
          </cell>
          <cell r="T338">
            <v>3.9855000000000002E-2</v>
          </cell>
          <cell r="U338">
            <v>4.2001666666666673E-2</v>
          </cell>
          <cell r="V338">
            <v>0</v>
          </cell>
          <cell r="W338">
            <v>2.6518883333333334</v>
          </cell>
        </row>
        <row r="339">
          <cell r="D339" t="str">
            <v>82116-0ZY00 0001</v>
          </cell>
          <cell r="E339" t="str">
            <v>82116-0ZY00</v>
          </cell>
          <cell r="F339" t="str">
            <v>82116-0ZY00</v>
          </cell>
          <cell r="G339">
            <v>2983.2</v>
          </cell>
          <cell r="H339">
            <v>0</v>
          </cell>
          <cell r="I339">
            <v>0.17464666666666667</v>
          </cell>
          <cell r="J339">
            <v>0.10707</v>
          </cell>
          <cell r="K339">
            <v>0.13911499999999999</v>
          </cell>
          <cell r="L339">
            <v>0.48093166666666665</v>
          </cell>
          <cell r="M339">
            <v>1.4074116666666667</v>
          </cell>
          <cell r="N339">
            <v>6.3716666666666671E-2</v>
          </cell>
          <cell r="O339">
            <v>0.16485166666666667</v>
          </cell>
          <cell r="P339">
            <v>0.13214500000000001</v>
          </cell>
          <cell r="Q339">
            <v>6.1943333333333336E-2</v>
          </cell>
          <cell r="R339">
            <v>0.42083166666666666</v>
          </cell>
          <cell r="S339">
            <v>2.3109999999999999</v>
          </cell>
          <cell r="T339">
            <v>4.2485000000000002E-2</v>
          </cell>
          <cell r="U339">
            <v>4.6706666666666674E-2</v>
          </cell>
          <cell r="V339">
            <v>0</v>
          </cell>
          <cell r="W339">
            <v>2.8210233333333332</v>
          </cell>
        </row>
        <row r="340">
          <cell r="D340" t="str">
            <v>82116-0ZY10 A 0001</v>
          </cell>
          <cell r="E340" t="str">
            <v>82116-0ZY10</v>
          </cell>
          <cell r="F340" t="str">
            <v>82116-0ZY10</v>
          </cell>
          <cell r="G340">
            <v>3250.2</v>
          </cell>
          <cell r="H340">
            <v>0</v>
          </cell>
          <cell r="I340">
            <v>0.23249166666666668</v>
          </cell>
          <cell r="J340">
            <v>0.30477166666666666</v>
          </cell>
          <cell r="K340">
            <v>0.20387666666666665</v>
          </cell>
          <cell r="L340">
            <v>0.5787916666666667</v>
          </cell>
          <cell r="M340">
            <v>1.7131833333333333</v>
          </cell>
          <cell r="N340">
            <v>6.9225000000000009E-2</v>
          </cell>
          <cell r="O340">
            <v>0.17521166666666668</v>
          </cell>
          <cell r="P340">
            <v>0.14879166666666668</v>
          </cell>
          <cell r="Q340">
            <v>5.5844999999999999E-2</v>
          </cell>
          <cell r="R340">
            <v>0.74113999999999991</v>
          </cell>
          <cell r="S340">
            <v>2.7410483333333335</v>
          </cell>
          <cell r="T340">
            <v>3.0318333333333336E-2</v>
          </cell>
          <cell r="U340">
            <v>3.7756666666666668E-2</v>
          </cell>
          <cell r="V340">
            <v>0</v>
          </cell>
          <cell r="W340">
            <v>3.5502633333333331</v>
          </cell>
        </row>
        <row r="341">
          <cell r="D341" t="str">
            <v>SAN-2284-1</v>
          </cell>
          <cell r="E341" t="str">
            <v>SAN-2284-1</v>
          </cell>
          <cell r="F341" t="str">
            <v>SAN-2284-1</v>
          </cell>
          <cell r="G341">
            <v>74.760000000000005</v>
          </cell>
          <cell r="H341">
            <v>0</v>
          </cell>
          <cell r="I341">
            <v>1.9233333333333333E-3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1.9233333333333333E-3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1.9233333333333333E-3</v>
          </cell>
        </row>
        <row r="342">
          <cell r="D342" t="str">
            <v>SAN-6870-1</v>
          </cell>
          <cell r="E342" t="str">
            <v>SAN-6870-1</v>
          </cell>
          <cell r="F342" t="str">
            <v>SAN-6870-1</v>
          </cell>
          <cell r="G342">
            <v>74.760000000000005</v>
          </cell>
          <cell r="H342">
            <v>0</v>
          </cell>
          <cell r="I342">
            <v>1.9233333333333333E-3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1.9233333333333333E-3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1.9233333333333333E-3</v>
          </cell>
        </row>
        <row r="343">
          <cell r="D343" t="str">
            <v>BC115-0E470 0001</v>
          </cell>
          <cell r="E343" t="str">
            <v>BC115-0E470</v>
          </cell>
          <cell r="F343" t="str">
            <v>BC115-0E470</v>
          </cell>
          <cell r="G343">
            <v>0</v>
          </cell>
          <cell r="H343">
            <v>59.1</v>
          </cell>
          <cell r="I343">
            <v>1.9233333333333333E-3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1.9233333333333333E-3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1.9233333333333333E-3</v>
          </cell>
        </row>
        <row r="344">
          <cell r="D344" t="str">
            <v>BC115-0E570 0001</v>
          </cell>
          <cell r="E344" t="str">
            <v>BC115-0E570</v>
          </cell>
          <cell r="F344" t="str">
            <v>BC115-0E570</v>
          </cell>
          <cell r="G344">
            <v>0</v>
          </cell>
          <cell r="H344">
            <v>59.1</v>
          </cell>
          <cell r="I344">
            <v>1.9233333333333333E-3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1.9233333333333333E-3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1.9233333333333333E-3</v>
          </cell>
        </row>
        <row r="345">
          <cell r="D345" t="str">
            <v>BC115-0EG80 0121</v>
          </cell>
          <cell r="E345" t="str">
            <v>BC115-0EG80</v>
          </cell>
          <cell r="F345" t="str">
            <v>BC115-0EG80</v>
          </cell>
          <cell r="G345">
            <v>0</v>
          </cell>
          <cell r="H345">
            <v>59.1</v>
          </cell>
          <cell r="I345">
            <v>1.9233333333333333E-3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1.9233333333333333E-3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1.9233333333333333E-3</v>
          </cell>
        </row>
        <row r="346">
          <cell r="D346" t="str">
            <v>82115-0E221 A 0001</v>
          </cell>
          <cell r="E346" t="str">
            <v>821150E221</v>
          </cell>
          <cell r="F346" t="str">
            <v>821150E221</v>
          </cell>
          <cell r="G346">
            <v>3694.3</v>
          </cell>
          <cell r="H346">
            <v>451.35980000000001</v>
          </cell>
          <cell r="I346">
            <v>0.27595500000000001</v>
          </cell>
          <cell r="J346">
            <v>0.39734833333333336</v>
          </cell>
          <cell r="K346">
            <v>5.0110000000000002E-2</v>
          </cell>
          <cell r="L346">
            <v>0.68808666666666674</v>
          </cell>
          <cell r="M346">
            <v>2.108085</v>
          </cell>
          <cell r="N346">
            <v>6.0311666666666666E-2</v>
          </cell>
          <cell r="O346">
            <v>0.23229</v>
          </cell>
          <cell r="P346">
            <v>0.22104666666666667</v>
          </cell>
          <cell r="Q346">
            <v>9.6113333333333328E-2</v>
          </cell>
          <cell r="R346">
            <v>0.72341333333333335</v>
          </cell>
          <cell r="S346">
            <v>3.4059333333333335</v>
          </cell>
          <cell r="T346">
            <v>0</v>
          </cell>
          <cell r="U346">
            <v>4.1333333333333333E-2</v>
          </cell>
          <cell r="V346">
            <v>0.21849500000000002</v>
          </cell>
          <cell r="W346">
            <v>4.3891749999999998</v>
          </cell>
        </row>
        <row r="347">
          <cell r="D347" t="str">
            <v>24012-9PR0D 0312</v>
          </cell>
          <cell r="E347" t="str">
            <v>240129PR0D</v>
          </cell>
          <cell r="F347" t="str">
            <v>240129PR0D</v>
          </cell>
          <cell r="G347">
            <v>2795.7</v>
          </cell>
          <cell r="H347">
            <v>0</v>
          </cell>
          <cell r="I347">
            <v>0.17053333333333331</v>
          </cell>
          <cell r="J347">
            <v>0.36827499999999996</v>
          </cell>
          <cell r="K347">
            <v>0.34108666666666665</v>
          </cell>
          <cell r="L347">
            <v>0.56966666666666665</v>
          </cell>
          <cell r="M347">
            <v>1.0447200000000001</v>
          </cell>
          <cell r="N347">
            <v>8.745000000000001E-3</v>
          </cell>
          <cell r="O347">
            <v>0.18950333333333333</v>
          </cell>
          <cell r="P347">
            <v>0.11105333333333332</v>
          </cell>
          <cell r="Q347">
            <v>1.6855000000000002E-2</v>
          </cell>
          <cell r="R347">
            <v>0.87989499999999998</v>
          </cell>
          <cell r="S347">
            <v>1.9405433333333335</v>
          </cell>
          <cell r="T347">
            <v>0</v>
          </cell>
          <cell r="U347">
            <v>0</v>
          </cell>
          <cell r="V347">
            <v>0</v>
          </cell>
          <cell r="W347">
            <v>2.8204383333333336</v>
          </cell>
        </row>
        <row r="348">
          <cell r="D348" t="str">
            <v>24012-9UH1A 0511</v>
          </cell>
          <cell r="E348" t="str">
            <v>24012 9UH1A</v>
          </cell>
          <cell r="F348" t="str">
            <v>24012 9UH1A</v>
          </cell>
          <cell r="G348">
            <v>2158.5</v>
          </cell>
          <cell r="H348">
            <v>0</v>
          </cell>
          <cell r="I348">
            <v>0.15082000000000001</v>
          </cell>
          <cell r="J348">
            <v>0.34497666666666665</v>
          </cell>
          <cell r="K348">
            <v>0.243145</v>
          </cell>
          <cell r="L348">
            <v>0.38338</v>
          </cell>
          <cell r="M348">
            <v>0.8503183333333334</v>
          </cell>
          <cell r="N348">
            <v>4.9355000000000003E-2</v>
          </cell>
          <cell r="O348">
            <v>0.12366833333333332</v>
          </cell>
          <cell r="P348">
            <v>8.4601666666666672E-2</v>
          </cell>
          <cell r="Q348">
            <v>2.4850000000000001E-2</v>
          </cell>
          <cell r="R348">
            <v>0.73894166666666661</v>
          </cell>
          <cell r="S348">
            <v>1.5161733333333334</v>
          </cell>
          <cell r="T348">
            <v>0</v>
          </cell>
          <cell r="U348">
            <v>0</v>
          </cell>
          <cell r="V348">
            <v>0</v>
          </cell>
          <cell r="W348">
            <v>2.255115</v>
          </cell>
        </row>
        <row r="349">
          <cell r="D349" t="str">
            <v>24012-9UH3A 0511</v>
          </cell>
          <cell r="E349" t="str">
            <v>24012 9UH3A</v>
          </cell>
          <cell r="F349" t="str">
            <v>24012 9UH3A</v>
          </cell>
          <cell r="G349">
            <v>2127.6999999999998</v>
          </cell>
          <cell r="H349">
            <v>0</v>
          </cell>
          <cell r="I349">
            <v>0.14943000000000001</v>
          </cell>
          <cell r="J349">
            <v>0.34497666666666665</v>
          </cell>
          <cell r="K349">
            <v>0.243145</v>
          </cell>
          <cell r="L349">
            <v>0.3818766666666667</v>
          </cell>
          <cell r="M349">
            <v>0.84736500000000003</v>
          </cell>
          <cell r="N349">
            <v>4.9355000000000003E-2</v>
          </cell>
          <cell r="O349">
            <v>0.12350833333333333</v>
          </cell>
          <cell r="P349">
            <v>8.4601666666666672E-2</v>
          </cell>
          <cell r="Q349">
            <v>2.4850000000000001E-2</v>
          </cell>
          <cell r="R349">
            <v>0.73755166666666661</v>
          </cell>
          <cell r="S349">
            <v>1.5115566666666669</v>
          </cell>
          <cell r="T349">
            <v>0</v>
          </cell>
          <cell r="U349">
            <v>0</v>
          </cell>
          <cell r="V349">
            <v>0</v>
          </cell>
          <cell r="W349">
            <v>2.2491083333333335</v>
          </cell>
        </row>
        <row r="350">
          <cell r="D350" t="str">
            <v>24012-9UH4B 0511</v>
          </cell>
          <cell r="E350" t="str">
            <v>24012 9UH4B</v>
          </cell>
          <cell r="F350" t="str">
            <v>24012 9UH4B</v>
          </cell>
          <cell r="G350">
            <v>2068.4</v>
          </cell>
          <cell r="H350">
            <v>0</v>
          </cell>
          <cell r="I350">
            <v>0.14428000000000002</v>
          </cell>
          <cell r="J350">
            <v>0.33729166666666666</v>
          </cell>
          <cell r="K350">
            <v>0.22746333333333332</v>
          </cell>
          <cell r="L350">
            <v>0.37241000000000002</v>
          </cell>
          <cell r="M350">
            <v>0.83190166666666665</v>
          </cell>
          <cell r="N350">
            <v>4.7980000000000002E-2</v>
          </cell>
          <cell r="O350">
            <v>0.11664833333333333</v>
          </cell>
          <cell r="P350">
            <v>8.1328333333333322E-2</v>
          </cell>
          <cell r="Q350">
            <v>2.4369999999999999E-2</v>
          </cell>
          <cell r="R350">
            <v>0.70903499999999997</v>
          </cell>
          <cell r="S350">
            <v>1.4746383333333331</v>
          </cell>
          <cell r="T350">
            <v>0</v>
          </cell>
          <cell r="U350">
            <v>0</v>
          </cell>
          <cell r="V350">
            <v>0</v>
          </cell>
          <cell r="W350">
            <v>2.1836733333333331</v>
          </cell>
        </row>
        <row r="351">
          <cell r="D351" t="str">
            <v>24012-9UH4C 0511</v>
          </cell>
          <cell r="E351" t="str">
            <v>24012 9UH4C</v>
          </cell>
          <cell r="F351" t="str">
            <v>24012 9UH4C</v>
          </cell>
          <cell r="G351">
            <v>2120.4</v>
          </cell>
          <cell r="H351">
            <v>0</v>
          </cell>
          <cell r="I351">
            <v>0.15140666666666666</v>
          </cell>
          <cell r="J351">
            <v>0.34497666666666665</v>
          </cell>
          <cell r="K351">
            <v>0.243145</v>
          </cell>
          <cell r="L351">
            <v>0.38829333333333332</v>
          </cell>
          <cell r="M351">
            <v>0.85106333333333339</v>
          </cell>
          <cell r="N351">
            <v>4.9355000000000003E-2</v>
          </cell>
          <cell r="O351">
            <v>0.12283166666666667</v>
          </cell>
          <cell r="P351">
            <v>8.4466666666666662E-2</v>
          </cell>
          <cell r="Q351">
            <v>2.4850000000000001E-2</v>
          </cell>
          <cell r="R351">
            <v>0.73952833333333334</v>
          </cell>
          <cell r="S351">
            <v>1.5208600000000001</v>
          </cell>
          <cell r="T351">
            <v>0</v>
          </cell>
          <cell r="U351">
            <v>0</v>
          </cell>
          <cell r="V351">
            <v>0</v>
          </cell>
          <cell r="W351">
            <v>2.2603883333333332</v>
          </cell>
        </row>
        <row r="352">
          <cell r="D352" t="str">
            <v>82115-0E391 A 0001</v>
          </cell>
          <cell r="E352" t="str">
            <v>821150E391</v>
          </cell>
          <cell r="F352" t="str">
            <v>821150E391</v>
          </cell>
          <cell r="G352">
            <v>4078</v>
          </cell>
          <cell r="H352">
            <v>493.00479999999999</v>
          </cell>
          <cell r="I352">
            <v>0.3094716666666667</v>
          </cell>
          <cell r="J352">
            <v>0.45723000000000003</v>
          </cell>
          <cell r="K352">
            <v>5.2220000000000003E-2</v>
          </cell>
          <cell r="L352">
            <v>0.80413666666666661</v>
          </cell>
          <cell r="M352">
            <v>2.2342516666666667</v>
          </cell>
          <cell r="N352">
            <v>6.3636666666666661E-2</v>
          </cell>
          <cell r="O352">
            <v>0.24559166666666668</v>
          </cell>
          <cell r="P352">
            <v>0.23016666666666669</v>
          </cell>
          <cell r="Q352">
            <v>9.6963333333333332E-2</v>
          </cell>
          <cell r="R352">
            <v>0.81892166666666677</v>
          </cell>
          <cell r="S352">
            <v>3.674746666666667</v>
          </cell>
          <cell r="T352">
            <v>0</v>
          </cell>
          <cell r="U352">
            <v>4.1333333333333333E-2</v>
          </cell>
          <cell r="V352">
            <v>0.19947166666666669</v>
          </cell>
          <cell r="W352">
            <v>4.7344733333333338</v>
          </cell>
        </row>
        <row r="353">
          <cell r="D353" t="str">
            <v>82115-0E401 A 1001</v>
          </cell>
          <cell r="E353" t="str">
            <v>821150E401</v>
          </cell>
          <cell r="F353" t="str">
            <v>821150E401</v>
          </cell>
          <cell r="G353">
            <v>4219.7</v>
          </cell>
          <cell r="H353">
            <v>467.65629999999999</v>
          </cell>
          <cell r="I353">
            <v>0.35960000000000003</v>
          </cell>
          <cell r="J353">
            <v>0.75286500000000001</v>
          </cell>
          <cell r="K353">
            <v>0.10947666666666667</v>
          </cell>
          <cell r="L353">
            <v>0.96267666666666663</v>
          </cell>
          <cell r="M353">
            <v>2.3224866666666668</v>
          </cell>
          <cell r="N353">
            <v>6.5631666666666671E-2</v>
          </cell>
          <cell r="O353">
            <v>0.26022833333333334</v>
          </cell>
          <cell r="P353">
            <v>0.23466166666666669</v>
          </cell>
          <cell r="Q353">
            <v>9.778166666666667E-2</v>
          </cell>
          <cell r="R353">
            <v>1.2219416666666667</v>
          </cell>
          <cell r="S353">
            <v>3.9434666666666667</v>
          </cell>
          <cell r="T353">
            <v>0</v>
          </cell>
          <cell r="U353">
            <v>2.924333333333333E-2</v>
          </cell>
          <cell r="V353">
            <v>0.19968166666666667</v>
          </cell>
          <cell r="W353">
            <v>5.3943333333333339</v>
          </cell>
        </row>
        <row r="354">
          <cell r="D354" t="str">
            <v>82115-0E411 A 1001</v>
          </cell>
          <cell r="E354" t="str">
            <v>821150E411</v>
          </cell>
          <cell r="F354" t="str">
            <v>821150E411</v>
          </cell>
          <cell r="G354">
            <v>4196.5</v>
          </cell>
          <cell r="H354">
            <v>467.65629999999999</v>
          </cell>
          <cell r="I354">
            <v>0.35765333333333332</v>
          </cell>
          <cell r="J354">
            <v>0.74376500000000001</v>
          </cell>
          <cell r="K354">
            <v>0.10947666666666667</v>
          </cell>
          <cell r="L354">
            <v>0.96099000000000001</v>
          </cell>
          <cell r="M354">
            <v>2.3200400000000001</v>
          </cell>
          <cell r="N354">
            <v>6.5631666666666671E-2</v>
          </cell>
          <cell r="O354">
            <v>0.26014833333333331</v>
          </cell>
          <cell r="P354">
            <v>0.23466166666666669</v>
          </cell>
          <cell r="Q354">
            <v>9.778166666666667E-2</v>
          </cell>
          <cell r="R354">
            <v>1.2108950000000001</v>
          </cell>
          <cell r="S354">
            <v>3.9392533333333337</v>
          </cell>
          <cell r="T354">
            <v>0</v>
          </cell>
          <cell r="U354">
            <v>2.924333333333333E-2</v>
          </cell>
          <cell r="V354">
            <v>0.19968166666666667</v>
          </cell>
          <cell r="W354">
            <v>5.3790733333333343</v>
          </cell>
        </row>
        <row r="355">
          <cell r="D355" t="str">
            <v>82115-0E421 A 1001</v>
          </cell>
          <cell r="E355" t="str">
            <v>821150E421</v>
          </cell>
          <cell r="F355" t="str">
            <v>821150E421</v>
          </cell>
          <cell r="G355">
            <v>3958.4</v>
          </cell>
          <cell r="H355">
            <v>449.41149999999999</v>
          </cell>
          <cell r="I355">
            <v>0.34605666666666668</v>
          </cell>
          <cell r="J355">
            <v>0.73166999999999993</v>
          </cell>
          <cell r="K355">
            <v>0.11215333333333333</v>
          </cell>
          <cell r="L355">
            <v>0.90714499999999998</v>
          </cell>
          <cell r="M355">
            <v>2.3048766666666665</v>
          </cell>
          <cell r="N355">
            <v>6.485666666666666E-2</v>
          </cell>
          <cell r="O355">
            <v>0.25954833333333333</v>
          </cell>
          <cell r="P355">
            <v>0.23752000000000001</v>
          </cell>
          <cell r="Q355">
            <v>9.8754999999999996E-2</v>
          </cell>
          <cell r="R355">
            <v>1.1898799999999998</v>
          </cell>
          <cell r="S355">
            <v>3.8727016666666665</v>
          </cell>
          <cell r="T355">
            <v>0</v>
          </cell>
          <cell r="U355">
            <v>2.924333333333333E-2</v>
          </cell>
          <cell r="V355">
            <v>0.21870500000000004</v>
          </cell>
          <cell r="W355">
            <v>5.31053</v>
          </cell>
        </row>
        <row r="356">
          <cell r="D356" t="str">
            <v>82115-0E431 A 1001</v>
          </cell>
          <cell r="E356" t="str">
            <v>821150E431</v>
          </cell>
          <cell r="F356" t="str">
            <v>821150E431</v>
          </cell>
          <cell r="G356">
            <v>3935.2</v>
          </cell>
          <cell r="H356">
            <v>449.41149999999999</v>
          </cell>
          <cell r="I356">
            <v>0.34410999999999997</v>
          </cell>
          <cell r="J356">
            <v>0.72256833333333337</v>
          </cell>
          <cell r="K356">
            <v>0.11215333333333333</v>
          </cell>
          <cell r="L356">
            <v>0.90545833333333337</v>
          </cell>
          <cell r="M356">
            <v>2.3024283333333333</v>
          </cell>
          <cell r="N356">
            <v>6.485666666666666E-2</v>
          </cell>
          <cell r="O356">
            <v>0.2594683333333333</v>
          </cell>
          <cell r="P356">
            <v>0.23752000000000001</v>
          </cell>
          <cell r="Q356">
            <v>9.8754999999999996E-2</v>
          </cell>
          <cell r="R356">
            <v>1.1788316666666667</v>
          </cell>
          <cell r="S356">
            <v>3.8684866666666666</v>
          </cell>
          <cell r="T356">
            <v>0</v>
          </cell>
          <cell r="U356">
            <v>2.924333333333333E-2</v>
          </cell>
          <cell r="V356">
            <v>0.21870500000000004</v>
          </cell>
          <cell r="W356">
            <v>5.2952666666666666</v>
          </cell>
        </row>
        <row r="357">
          <cell r="D357" t="str">
            <v>82115-0E440 G 0001</v>
          </cell>
          <cell r="E357" t="str">
            <v>82115-0E440</v>
          </cell>
          <cell r="F357" t="str">
            <v>82115-0E440</v>
          </cell>
          <cell r="G357">
            <v>3424.4</v>
          </cell>
          <cell r="H357">
            <v>390.09289999999999</v>
          </cell>
          <cell r="I357">
            <v>0.23797333333333331</v>
          </cell>
          <cell r="J357">
            <v>0.28723500000000002</v>
          </cell>
          <cell r="K357">
            <v>5.1296666666666664E-2</v>
          </cell>
          <cell r="L357">
            <v>0.57495333333333332</v>
          </cell>
          <cell r="M357">
            <v>1.9271866666666668</v>
          </cell>
          <cell r="N357">
            <v>5.3594999999999997E-2</v>
          </cell>
          <cell r="O357">
            <v>0.22207166666666664</v>
          </cell>
          <cell r="P357">
            <v>0.22115000000000001</v>
          </cell>
          <cell r="Q357">
            <v>0.12826499999999999</v>
          </cell>
          <cell r="R357">
            <v>0.57650499999999993</v>
          </cell>
          <cell r="S357">
            <v>3.1272216666666668</v>
          </cell>
          <cell r="T357">
            <v>0</v>
          </cell>
          <cell r="U357">
            <v>4.1374999999999995E-2</v>
          </cell>
          <cell r="V357">
            <v>0.16725499999999999</v>
          </cell>
          <cell r="W357">
            <v>3.9123566666666667</v>
          </cell>
        </row>
        <row r="358">
          <cell r="D358" t="str">
            <v>82115-0E450 G 0001</v>
          </cell>
          <cell r="E358" t="str">
            <v>82115-0E450</v>
          </cell>
          <cell r="F358" t="str">
            <v>82115-0E450</v>
          </cell>
          <cell r="G358">
            <v>3424.4</v>
          </cell>
          <cell r="H358">
            <v>390.09289999999999</v>
          </cell>
          <cell r="I358">
            <v>0.23797333333333331</v>
          </cell>
          <cell r="J358">
            <v>0.28723500000000002</v>
          </cell>
          <cell r="K358">
            <v>5.1296666666666664E-2</v>
          </cell>
          <cell r="L358">
            <v>0.57495333333333332</v>
          </cell>
          <cell r="M358">
            <v>1.9271866666666668</v>
          </cell>
          <cell r="N358">
            <v>5.3594999999999997E-2</v>
          </cell>
          <cell r="O358">
            <v>0.22207166666666664</v>
          </cell>
          <cell r="P358">
            <v>0.22115000000000001</v>
          </cell>
          <cell r="Q358">
            <v>0.12826499999999999</v>
          </cell>
          <cell r="R358">
            <v>0.57650499999999993</v>
          </cell>
          <cell r="S358">
            <v>3.1272216666666668</v>
          </cell>
          <cell r="T358">
            <v>0</v>
          </cell>
          <cell r="U358">
            <v>4.1374999999999995E-2</v>
          </cell>
          <cell r="V358">
            <v>0.16725499999999999</v>
          </cell>
          <cell r="W358">
            <v>3.9123566666666667</v>
          </cell>
        </row>
        <row r="359">
          <cell r="D359" t="str">
            <v>82115-0E460 G 0001</v>
          </cell>
          <cell r="E359" t="str">
            <v>82115-0E460</v>
          </cell>
          <cell r="F359" t="str">
            <v>82115-0E460</v>
          </cell>
          <cell r="G359">
            <v>3732.4</v>
          </cell>
          <cell r="H359">
            <v>392.85309999999998</v>
          </cell>
          <cell r="I359">
            <v>0.26133166666666668</v>
          </cell>
          <cell r="J359">
            <v>0.33218333333333333</v>
          </cell>
          <cell r="K359">
            <v>5.4841666666666671E-2</v>
          </cell>
          <cell r="L359">
            <v>0.64634333333333338</v>
          </cell>
          <cell r="M359">
            <v>1.9761599999999999</v>
          </cell>
          <cell r="N359">
            <v>5.4919999999999997E-2</v>
          </cell>
          <cell r="O359">
            <v>0.23416333333333333</v>
          </cell>
          <cell r="P359">
            <v>0.22541333333333335</v>
          </cell>
          <cell r="Q359">
            <v>0.12910833333333332</v>
          </cell>
          <cell r="R359">
            <v>0.64835666666666669</v>
          </cell>
          <cell r="S359">
            <v>3.2661083333333338</v>
          </cell>
          <cell r="T359">
            <v>0</v>
          </cell>
          <cell r="U359">
            <v>4.1374999999999995E-2</v>
          </cell>
          <cell r="V359">
            <v>0.15774333333333332</v>
          </cell>
          <cell r="W359">
            <v>4.1135833333333336</v>
          </cell>
        </row>
        <row r="360">
          <cell r="D360" t="str">
            <v>82115-0E470 G 0001</v>
          </cell>
          <cell r="E360" t="str">
            <v>82115-0E470</v>
          </cell>
          <cell r="F360" t="str">
            <v>82115-0E470</v>
          </cell>
          <cell r="G360">
            <v>3717.6</v>
          </cell>
          <cell r="H360">
            <v>471.44870000000003</v>
          </cell>
          <cell r="I360">
            <v>0.29312333333333329</v>
          </cell>
          <cell r="J360">
            <v>0.59765333333333337</v>
          </cell>
          <cell r="K360">
            <v>9.7045000000000006E-2</v>
          </cell>
          <cell r="L360">
            <v>0.75979833333333324</v>
          </cell>
          <cell r="M360">
            <v>2.0698266666666667</v>
          </cell>
          <cell r="N360">
            <v>5.4664999999999998E-2</v>
          </cell>
          <cell r="O360">
            <v>0.24043500000000001</v>
          </cell>
          <cell r="P360">
            <v>0.22319666666666665</v>
          </cell>
          <cell r="Q360">
            <v>0.12234833333333334</v>
          </cell>
          <cell r="R360">
            <v>0.98782166666666671</v>
          </cell>
          <cell r="S360">
            <v>3.4702700000000002</v>
          </cell>
          <cell r="T360">
            <v>0</v>
          </cell>
          <cell r="U360">
            <v>2.928E-2</v>
          </cell>
          <cell r="V360">
            <v>0.21252833333333337</v>
          </cell>
          <cell r="W360">
            <v>4.6999000000000004</v>
          </cell>
        </row>
        <row r="361">
          <cell r="D361" t="str">
            <v>82115-0E480 G 0001</v>
          </cell>
          <cell r="E361" t="str">
            <v>82115-0E480</v>
          </cell>
          <cell r="F361" t="str">
            <v>82115-0E480</v>
          </cell>
          <cell r="G361">
            <v>3830.4</v>
          </cell>
          <cell r="H361">
            <v>474.04899999999998</v>
          </cell>
          <cell r="I361">
            <v>0.30694166666666667</v>
          </cell>
          <cell r="J361">
            <v>0.62917500000000004</v>
          </cell>
          <cell r="K361">
            <v>9.5706666666666662E-2</v>
          </cell>
          <cell r="L361">
            <v>0.80110333333333339</v>
          </cell>
          <cell r="M361">
            <v>2.0676900000000002</v>
          </cell>
          <cell r="N361">
            <v>5.5904999999999996E-2</v>
          </cell>
          <cell r="O361">
            <v>0.24807333333333331</v>
          </cell>
          <cell r="P361">
            <v>0.22659166666666666</v>
          </cell>
          <cell r="Q361">
            <v>0.12288833333333334</v>
          </cell>
          <cell r="R361">
            <v>1.0318233333333333</v>
          </cell>
          <cell r="S361">
            <v>3.522251666666667</v>
          </cell>
          <cell r="T361">
            <v>0</v>
          </cell>
          <cell r="U361">
            <v>2.928E-2</v>
          </cell>
          <cell r="V361">
            <v>0.20301666666666671</v>
          </cell>
          <cell r="W361">
            <v>4.7863716666666667</v>
          </cell>
        </row>
        <row r="362">
          <cell r="D362" t="str">
            <v>82115-0E490 G 0001</v>
          </cell>
          <cell r="E362" t="str">
            <v>82115-0E490</v>
          </cell>
          <cell r="F362" t="str">
            <v>82115-0E490</v>
          </cell>
          <cell r="G362">
            <v>4092</v>
          </cell>
          <cell r="H362">
            <v>443.88409999999999</v>
          </cell>
          <cell r="I362">
            <v>0.316025</v>
          </cell>
          <cell r="J362">
            <v>0.59324166666666656</v>
          </cell>
          <cell r="K362">
            <v>0.10910499999999999</v>
          </cell>
          <cell r="L362">
            <v>0.80897166666666664</v>
          </cell>
          <cell r="M362">
            <v>2.0077199999999999</v>
          </cell>
          <cell r="N362">
            <v>5.9514999999999998E-2</v>
          </cell>
          <cell r="O362">
            <v>0.26436166666666666</v>
          </cell>
          <cell r="P362">
            <v>0.23021333333333333</v>
          </cell>
          <cell r="Q362">
            <v>0.12412666666666668</v>
          </cell>
          <cell r="R362">
            <v>1.0183716666666665</v>
          </cell>
          <cell r="S362">
            <v>3.4949083333333335</v>
          </cell>
          <cell r="T362">
            <v>0</v>
          </cell>
          <cell r="U362">
            <v>4.4259999999999994E-2</v>
          </cell>
          <cell r="V362">
            <v>0.22136166666666668</v>
          </cell>
          <cell r="W362">
            <v>4.778901666666667</v>
          </cell>
        </row>
        <row r="363">
          <cell r="D363" t="str">
            <v>82115-0E500 H 0001</v>
          </cell>
          <cell r="E363" t="str">
            <v>82115-0E500</v>
          </cell>
          <cell r="F363" t="str">
            <v>82115-0E500</v>
          </cell>
          <cell r="G363">
            <v>3524.2</v>
          </cell>
          <cell r="H363">
            <v>434.97889999999995</v>
          </cell>
          <cell r="I363">
            <v>0.25082500000000002</v>
          </cell>
          <cell r="J363">
            <v>0.34958333333333336</v>
          </cell>
          <cell r="K363">
            <v>4.5554999999999998E-2</v>
          </cell>
          <cell r="L363">
            <v>0.62504000000000004</v>
          </cell>
          <cell r="M363">
            <v>1.9083066666666668</v>
          </cell>
          <cell r="N363">
            <v>5.3370000000000001E-2</v>
          </cell>
          <cell r="O363">
            <v>0.22663666666666668</v>
          </cell>
          <cell r="P363">
            <v>0.21769000000000002</v>
          </cell>
          <cell r="Q363">
            <v>0.12718499999999999</v>
          </cell>
          <cell r="R363">
            <v>0.64596333333333344</v>
          </cell>
          <cell r="S363">
            <v>3.1582283333333336</v>
          </cell>
          <cell r="T363">
            <v>0</v>
          </cell>
          <cell r="U363">
            <v>4.1374999999999995E-2</v>
          </cell>
          <cell r="V363">
            <v>0.14823166666666668</v>
          </cell>
          <cell r="W363">
            <v>3.9937983333333338</v>
          </cell>
        </row>
        <row r="364">
          <cell r="D364" t="str">
            <v>82115-0E510 H 0001</v>
          </cell>
          <cell r="E364" t="str">
            <v>82115-0E510</v>
          </cell>
          <cell r="F364" t="str">
            <v>82115-0E510</v>
          </cell>
          <cell r="G364">
            <v>3639.1</v>
          </cell>
          <cell r="H364">
            <v>443.28470000000004</v>
          </cell>
          <cell r="I364">
            <v>0.26175833333333337</v>
          </cell>
          <cell r="J364">
            <v>0.37109666666666663</v>
          </cell>
          <cell r="K364">
            <v>5.9901666666666666E-2</v>
          </cell>
          <cell r="L364">
            <v>0.65140333333333333</v>
          </cell>
          <cell r="M364">
            <v>1.9864766666666667</v>
          </cell>
          <cell r="N364">
            <v>5.493E-2</v>
          </cell>
          <cell r="O364">
            <v>0.23731833333333335</v>
          </cell>
          <cell r="P364">
            <v>0.22620333333333334</v>
          </cell>
          <cell r="Q364">
            <v>0.12918333333333334</v>
          </cell>
          <cell r="R364">
            <v>0.69275666666666658</v>
          </cell>
          <cell r="S364">
            <v>3.2855150000000002</v>
          </cell>
          <cell r="T364">
            <v>0</v>
          </cell>
          <cell r="U364">
            <v>4.1374999999999995E-2</v>
          </cell>
          <cell r="V364">
            <v>0.15774333333333332</v>
          </cell>
          <cell r="W364">
            <v>4.1773899999999999</v>
          </cell>
        </row>
        <row r="365">
          <cell r="D365" t="str">
            <v>82115-0E520 H 0001</v>
          </cell>
          <cell r="E365" t="str">
            <v>82115-0E520</v>
          </cell>
          <cell r="F365" t="str">
            <v>82115-0E520</v>
          </cell>
          <cell r="G365">
            <v>3665.8</v>
          </cell>
          <cell r="H365">
            <v>457.13</v>
          </cell>
          <cell r="I365">
            <v>0.27137499999999998</v>
          </cell>
          <cell r="J365">
            <v>0.39483499999999999</v>
          </cell>
          <cell r="K365">
            <v>5.9901666666666666E-2</v>
          </cell>
          <cell r="L365">
            <v>0.67149666666666663</v>
          </cell>
          <cell r="M365">
            <v>2.0323666666666664</v>
          </cell>
          <cell r="N365">
            <v>5.5160000000000001E-2</v>
          </cell>
          <cell r="O365">
            <v>0.23922499999999999</v>
          </cell>
          <cell r="P365">
            <v>0.22760333333333332</v>
          </cell>
          <cell r="Q365">
            <v>0.13008333333333333</v>
          </cell>
          <cell r="R365">
            <v>0.7261116666666666</v>
          </cell>
          <cell r="S365">
            <v>3.3559349999999992</v>
          </cell>
          <cell r="T365">
            <v>0</v>
          </cell>
          <cell r="U365">
            <v>4.1374999999999995E-2</v>
          </cell>
          <cell r="V365">
            <v>0.15774333333333332</v>
          </cell>
          <cell r="W365">
            <v>4.2811649999999997</v>
          </cell>
        </row>
        <row r="366">
          <cell r="D366" t="str">
            <v>82115-0E530 H 0001</v>
          </cell>
          <cell r="E366" t="str">
            <v>82115-0E530</v>
          </cell>
          <cell r="F366" t="str">
            <v>82115-0E530</v>
          </cell>
          <cell r="G366">
            <v>3754.1</v>
          </cell>
          <cell r="H366">
            <v>457.13</v>
          </cell>
          <cell r="I366">
            <v>0.27993833333333329</v>
          </cell>
          <cell r="J366">
            <v>0.42301833333333333</v>
          </cell>
          <cell r="K366">
            <v>5.9901666666666666E-2</v>
          </cell>
          <cell r="L366">
            <v>0.68869333333333327</v>
          </cell>
          <cell r="M366">
            <v>2.0453300000000003</v>
          </cell>
          <cell r="N366">
            <v>5.5160000000000001E-2</v>
          </cell>
          <cell r="O366">
            <v>0.239785</v>
          </cell>
          <cell r="P366">
            <v>0.22760333333333332</v>
          </cell>
          <cell r="Q366">
            <v>0.13008333333333333</v>
          </cell>
          <cell r="R366">
            <v>0.7628583333333333</v>
          </cell>
          <cell r="S366">
            <v>3.3866549999999997</v>
          </cell>
          <cell r="T366">
            <v>0</v>
          </cell>
          <cell r="U366">
            <v>4.1374999999999995E-2</v>
          </cell>
          <cell r="V366">
            <v>0.15774333333333332</v>
          </cell>
          <cell r="W366">
            <v>4.3486316666666669</v>
          </cell>
        </row>
        <row r="367">
          <cell r="D367" t="str">
            <v>82115-0E540 H 0001</v>
          </cell>
          <cell r="E367" t="str">
            <v>82115-0E540</v>
          </cell>
          <cell r="F367" t="str">
            <v>82115-0E540</v>
          </cell>
          <cell r="G367">
            <v>3854.4</v>
          </cell>
          <cell r="H367">
            <v>460.04690000000005</v>
          </cell>
          <cell r="I367">
            <v>0.27465000000000001</v>
          </cell>
          <cell r="J367">
            <v>0.39259500000000003</v>
          </cell>
          <cell r="K367">
            <v>5.7224999999999998E-2</v>
          </cell>
          <cell r="L367">
            <v>0.72077666666666673</v>
          </cell>
          <cell r="M367">
            <v>2.0710616666666666</v>
          </cell>
          <cell r="N367">
            <v>5.5160000000000001E-2</v>
          </cell>
          <cell r="O367">
            <v>0.24002666666666667</v>
          </cell>
          <cell r="P367">
            <v>0.22537666666666667</v>
          </cell>
          <cell r="Q367">
            <v>0.13025499999999998</v>
          </cell>
          <cell r="R367">
            <v>0.72447000000000006</v>
          </cell>
          <cell r="S367">
            <v>3.4426566666666663</v>
          </cell>
          <cell r="T367">
            <v>0</v>
          </cell>
          <cell r="U367">
            <v>4.1374999999999995E-2</v>
          </cell>
          <cell r="V367">
            <v>0.13871999999999998</v>
          </cell>
          <cell r="W367">
            <v>4.347221666666667</v>
          </cell>
        </row>
        <row r="368">
          <cell r="D368" t="str">
            <v>82115-0E550 H 0001</v>
          </cell>
          <cell r="E368" t="str">
            <v>82115-0E550</v>
          </cell>
          <cell r="F368" t="str">
            <v>82115-0E550</v>
          </cell>
          <cell r="G368">
            <v>3881.1</v>
          </cell>
          <cell r="H368">
            <v>473.8922</v>
          </cell>
          <cell r="I368">
            <v>0.28426500000000005</v>
          </cell>
          <cell r="J368">
            <v>0.41633166666666666</v>
          </cell>
          <cell r="K368">
            <v>5.7224999999999998E-2</v>
          </cell>
          <cell r="L368">
            <v>0.74086999999999992</v>
          </cell>
          <cell r="M368">
            <v>2.1171833333333336</v>
          </cell>
          <cell r="N368">
            <v>5.5385000000000004E-2</v>
          </cell>
          <cell r="O368">
            <v>0.24193166666666668</v>
          </cell>
          <cell r="P368">
            <v>0.22677</v>
          </cell>
          <cell r="Q368">
            <v>0.13115499999999999</v>
          </cell>
          <cell r="R368">
            <v>0.75782166666666673</v>
          </cell>
          <cell r="S368">
            <v>3.5132950000000003</v>
          </cell>
          <cell r="T368">
            <v>0</v>
          </cell>
          <cell r="U368">
            <v>4.1374999999999995E-2</v>
          </cell>
          <cell r="V368">
            <v>0.13871999999999998</v>
          </cell>
          <cell r="W368">
            <v>4.4512116666666675</v>
          </cell>
        </row>
        <row r="369">
          <cell r="D369" t="str">
            <v>82115-0E560 H 0001</v>
          </cell>
          <cell r="E369" t="str">
            <v>82115-0E560</v>
          </cell>
          <cell r="F369" t="str">
            <v>82115-0E560</v>
          </cell>
          <cell r="G369">
            <v>3969.4</v>
          </cell>
          <cell r="H369">
            <v>473.8922</v>
          </cell>
          <cell r="I369">
            <v>0.29283000000000003</v>
          </cell>
          <cell r="J369">
            <v>0.44451499999999999</v>
          </cell>
          <cell r="K369">
            <v>5.7224999999999998E-2</v>
          </cell>
          <cell r="L369">
            <v>0.75806666666666667</v>
          </cell>
          <cell r="M369">
            <v>2.1301466666666666</v>
          </cell>
          <cell r="N369">
            <v>5.5385000000000004E-2</v>
          </cell>
          <cell r="O369">
            <v>0.24249166666666666</v>
          </cell>
          <cell r="P369">
            <v>0.22677</v>
          </cell>
          <cell r="Q369">
            <v>0.13115499999999999</v>
          </cell>
          <cell r="R369">
            <v>0.79457</v>
          </cell>
          <cell r="S369">
            <v>3.5440149999999999</v>
          </cell>
          <cell r="T369">
            <v>0</v>
          </cell>
          <cell r="U369">
            <v>4.1374999999999995E-2</v>
          </cell>
          <cell r="V369">
            <v>0.13871999999999998</v>
          </cell>
          <cell r="W369">
            <v>4.5186800000000007</v>
          </cell>
        </row>
        <row r="370">
          <cell r="D370" t="str">
            <v>82115-0E570 H 0001</v>
          </cell>
          <cell r="E370" t="str">
            <v>82115-0E570</v>
          </cell>
          <cell r="F370" t="str">
            <v>82115-0E570</v>
          </cell>
          <cell r="G370">
            <v>4117.5</v>
          </cell>
          <cell r="H370">
            <v>491.97029999999995</v>
          </cell>
          <cell r="I370">
            <v>0.32708999999999999</v>
          </cell>
          <cell r="J370">
            <v>0.60646999999999995</v>
          </cell>
          <cell r="K370">
            <v>0.10910499999999999</v>
          </cell>
          <cell r="L370">
            <v>0.84247666666666665</v>
          </cell>
          <cell r="M370">
            <v>2.0557349999999999</v>
          </cell>
          <cell r="N370">
            <v>5.9729999999999998E-2</v>
          </cell>
          <cell r="O370">
            <v>0.26977333333333331</v>
          </cell>
          <cell r="P370">
            <v>0.23205333333333333</v>
          </cell>
          <cell r="Q370">
            <v>0.12496666666666667</v>
          </cell>
          <cell r="R370">
            <v>1.042665</v>
          </cell>
          <cell r="S370">
            <v>3.5847350000000002</v>
          </cell>
          <cell r="T370">
            <v>0</v>
          </cell>
          <cell r="U370">
            <v>4.4259999999999994E-2</v>
          </cell>
          <cell r="V370">
            <v>0.22136166666666668</v>
          </cell>
          <cell r="W370">
            <v>4.8930216666666668</v>
          </cell>
        </row>
        <row r="371">
          <cell r="D371" t="str">
            <v>82115-0E580 H 0001</v>
          </cell>
          <cell r="E371" t="str">
            <v>82115-0E580</v>
          </cell>
          <cell r="F371" t="str">
            <v>82115-0E580</v>
          </cell>
          <cell r="G371">
            <v>4144.1000000000004</v>
          </cell>
          <cell r="H371">
            <v>505.50530000000003</v>
          </cell>
          <cell r="I371">
            <v>0.33683000000000002</v>
          </cell>
          <cell r="J371">
            <v>0.63015166666666667</v>
          </cell>
          <cell r="K371">
            <v>0.10910499999999999</v>
          </cell>
          <cell r="L371">
            <v>0.86256999999999995</v>
          </cell>
          <cell r="M371">
            <v>2.1125183333333331</v>
          </cell>
          <cell r="N371">
            <v>5.9959999999999999E-2</v>
          </cell>
          <cell r="O371">
            <v>0.27167999999999998</v>
          </cell>
          <cell r="P371">
            <v>0.23345166666666667</v>
          </cell>
          <cell r="Q371">
            <v>0.12586833333333333</v>
          </cell>
          <cell r="R371">
            <v>1.0760866666666666</v>
          </cell>
          <cell r="S371">
            <v>3.6660483333333329</v>
          </cell>
          <cell r="T371">
            <v>0</v>
          </cell>
          <cell r="U371">
            <v>4.4259999999999994E-2</v>
          </cell>
          <cell r="V371">
            <v>0.22136166666666668</v>
          </cell>
          <cell r="W371">
            <v>5.0077566666666664</v>
          </cell>
        </row>
        <row r="372">
          <cell r="D372" t="str">
            <v>82115-0E590 G 1001</v>
          </cell>
          <cell r="E372" t="str">
            <v>82115-0E590</v>
          </cell>
          <cell r="F372" t="str">
            <v>82115-0E590</v>
          </cell>
          <cell r="G372">
            <v>4226.6000000000004</v>
          </cell>
          <cell r="H372">
            <v>505.50530000000003</v>
          </cell>
          <cell r="I372">
            <v>0.34730333333333335</v>
          </cell>
          <cell r="J372">
            <v>0.66713333333333336</v>
          </cell>
          <cell r="K372">
            <v>0.10910499999999999</v>
          </cell>
          <cell r="L372">
            <v>0.87969333333333333</v>
          </cell>
          <cell r="M372">
            <v>2.1410916666666666</v>
          </cell>
          <cell r="N372">
            <v>5.9959999999999999E-2</v>
          </cell>
          <cell r="O372">
            <v>0.27223999999999998</v>
          </cell>
          <cell r="P372">
            <v>0.23345166666666667</v>
          </cell>
          <cell r="Q372">
            <v>0.12586833333333333</v>
          </cell>
          <cell r="R372">
            <v>1.1235416666666667</v>
          </cell>
          <cell r="S372">
            <v>3.7123050000000002</v>
          </cell>
          <cell r="T372">
            <v>0</v>
          </cell>
          <cell r="U372">
            <v>4.4259999999999994E-2</v>
          </cell>
          <cell r="V372">
            <v>0.22136166666666668</v>
          </cell>
          <cell r="W372">
            <v>5.1014683333333339</v>
          </cell>
        </row>
        <row r="373">
          <cell r="D373" t="str">
            <v>82115-0E600 H 0001</v>
          </cell>
          <cell r="E373" t="str">
            <v>82115-0E600</v>
          </cell>
          <cell r="F373" t="str">
            <v>82115-0E600</v>
          </cell>
          <cell r="G373">
            <v>4333.3</v>
          </cell>
          <cell r="H373">
            <v>508.85429999999997</v>
          </cell>
          <cell r="I373">
            <v>0.34013500000000002</v>
          </cell>
          <cell r="J373">
            <v>0.62943333333333329</v>
          </cell>
          <cell r="K373">
            <v>0.10642833333333333</v>
          </cell>
          <cell r="L373">
            <v>0.91184999999999994</v>
          </cell>
          <cell r="M373">
            <v>2.1514516666666665</v>
          </cell>
          <cell r="N373">
            <v>5.9959999999999999E-2</v>
          </cell>
          <cell r="O373">
            <v>0.27248166666666668</v>
          </cell>
          <cell r="P373">
            <v>0.23122499999999999</v>
          </cell>
          <cell r="Q373">
            <v>0.12603833333333334</v>
          </cell>
          <cell r="R373">
            <v>1.0759966666666667</v>
          </cell>
          <cell r="S373">
            <v>3.7530066666666659</v>
          </cell>
          <cell r="T373">
            <v>0</v>
          </cell>
          <cell r="U373">
            <v>4.4259999999999994E-2</v>
          </cell>
          <cell r="V373">
            <v>0.20557166666666668</v>
          </cell>
          <cell r="W373">
            <v>5.0788349999999998</v>
          </cell>
        </row>
        <row r="374">
          <cell r="D374" t="str">
            <v>82115-0E610 H 0001</v>
          </cell>
          <cell r="E374" t="str">
            <v>82115-0E610</v>
          </cell>
          <cell r="F374" t="str">
            <v>82115-0E610</v>
          </cell>
          <cell r="G374">
            <v>4359.8999999999996</v>
          </cell>
          <cell r="H374">
            <v>522.38929999999993</v>
          </cell>
          <cell r="I374">
            <v>0.34973333333333334</v>
          </cell>
          <cell r="J374">
            <v>0.653115</v>
          </cell>
          <cell r="K374">
            <v>0.10642833333333333</v>
          </cell>
          <cell r="L374">
            <v>0.93194333333333335</v>
          </cell>
          <cell r="M374">
            <v>2.1971399999999996</v>
          </cell>
          <cell r="N374">
            <v>6.0185000000000002E-2</v>
          </cell>
          <cell r="O374">
            <v>0.27438666666666667</v>
          </cell>
          <cell r="P374">
            <v>0.23261999999999999</v>
          </cell>
          <cell r="Q374">
            <v>0.12694</v>
          </cell>
          <cell r="R374">
            <v>1.1092766666666667</v>
          </cell>
          <cell r="S374">
            <v>3.8232149999999994</v>
          </cell>
          <cell r="T374">
            <v>0</v>
          </cell>
          <cell r="U374">
            <v>4.4259999999999994E-2</v>
          </cell>
          <cell r="V374">
            <v>0.20557166666666668</v>
          </cell>
          <cell r="W374">
            <v>5.1823233333333327</v>
          </cell>
        </row>
        <row r="375">
          <cell r="D375" t="str">
            <v>82115-0E620 H 0001</v>
          </cell>
          <cell r="E375" t="str">
            <v>82115-0E620</v>
          </cell>
          <cell r="F375" t="str">
            <v>82115-0E620</v>
          </cell>
          <cell r="G375">
            <v>4469.8999999999996</v>
          </cell>
          <cell r="H375">
            <v>522.38929999999993</v>
          </cell>
          <cell r="I375">
            <v>0.36020833333333335</v>
          </cell>
          <cell r="J375">
            <v>0.69009833333333337</v>
          </cell>
          <cell r="K375">
            <v>0.10642833333333333</v>
          </cell>
          <cell r="L375">
            <v>0.9508266666666666</v>
          </cell>
          <cell r="M375">
            <v>2.2124200000000003</v>
          </cell>
          <cell r="N375">
            <v>6.0185000000000002E-2</v>
          </cell>
          <cell r="O375">
            <v>0.27502666666666664</v>
          </cell>
          <cell r="P375">
            <v>0.23261999999999999</v>
          </cell>
          <cell r="Q375">
            <v>0.12694</v>
          </cell>
          <cell r="R375">
            <v>1.1567350000000001</v>
          </cell>
          <cell r="S375">
            <v>3.8580183333333333</v>
          </cell>
          <cell r="T375">
            <v>0</v>
          </cell>
          <cell r="U375">
            <v>4.4259999999999994E-2</v>
          </cell>
          <cell r="V375">
            <v>0.20557166666666668</v>
          </cell>
          <cell r="W375">
            <v>5.2645850000000003</v>
          </cell>
        </row>
        <row r="376">
          <cell r="D376" t="str">
            <v>82115-0E671 A 0001</v>
          </cell>
          <cell r="E376" t="str">
            <v>821150E671</v>
          </cell>
          <cell r="F376" t="str">
            <v>821150E671</v>
          </cell>
          <cell r="G376">
            <v>4144.1000000000004</v>
          </cell>
          <cell r="H376">
            <v>547.9905</v>
          </cell>
          <cell r="I376">
            <v>0.32120166666666666</v>
          </cell>
          <cell r="J376">
            <v>0.46876333333333337</v>
          </cell>
          <cell r="K376">
            <v>5.2220000000000003E-2</v>
          </cell>
          <cell r="L376">
            <v>0.82901500000000006</v>
          </cell>
          <cell r="M376">
            <v>2.2879450000000001</v>
          </cell>
          <cell r="N376">
            <v>6.382666666666667E-2</v>
          </cell>
          <cell r="O376">
            <v>0.24995833333333334</v>
          </cell>
          <cell r="P376">
            <v>0.236155</v>
          </cell>
          <cell r="Q376">
            <v>9.7678333333333325E-2</v>
          </cell>
          <cell r="R376">
            <v>0.84218500000000007</v>
          </cell>
          <cell r="S376">
            <v>3.7645783333333336</v>
          </cell>
          <cell r="T376">
            <v>0</v>
          </cell>
          <cell r="U376">
            <v>4.1333333333333333E-2</v>
          </cell>
          <cell r="V376">
            <v>0.19947166666666669</v>
          </cell>
          <cell r="W376">
            <v>4.8475683333333333</v>
          </cell>
        </row>
        <row r="377">
          <cell r="D377" t="str">
            <v>82115-0E681 A 0001</v>
          </cell>
          <cell r="E377" t="str">
            <v>821150E681</v>
          </cell>
          <cell r="F377" t="str">
            <v>821150E681</v>
          </cell>
          <cell r="G377">
            <v>3882.7</v>
          </cell>
          <cell r="H377">
            <v>529.67430000000002</v>
          </cell>
          <cell r="I377">
            <v>0.30766333333333334</v>
          </cell>
          <cell r="J377">
            <v>0.44768000000000002</v>
          </cell>
          <cell r="K377">
            <v>5.489666666666667E-2</v>
          </cell>
          <cell r="L377">
            <v>0.7734833333333333</v>
          </cell>
          <cell r="M377">
            <v>2.270775</v>
          </cell>
          <cell r="N377">
            <v>6.3051666666666673E-2</v>
          </cell>
          <cell r="O377">
            <v>0.24927833333333332</v>
          </cell>
          <cell r="P377">
            <v>0.23901500000000001</v>
          </cell>
          <cell r="Q377">
            <v>9.8649999999999988E-2</v>
          </cell>
          <cell r="R377">
            <v>0.81024000000000007</v>
          </cell>
          <cell r="S377">
            <v>3.6942533333333336</v>
          </cell>
          <cell r="T377">
            <v>0</v>
          </cell>
          <cell r="U377">
            <v>4.1333333333333333E-2</v>
          </cell>
          <cell r="V377">
            <v>0.21849500000000002</v>
          </cell>
          <cell r="W377">
            <v>4.7643216666666666</v>
          </cell>
        </row>
        <row r="378">
          <cell r="D378" t="str">
            <v>82115-0E691 A 0001</v>
          </cell>
          <cell r="E378" t="str">
            <v>821150E691</v>
          </cell>
          <cell r="F378" t="str">
            <v>821150E691</v>
          </cell>
          <cell r="G378">
            <v>4360.8999999999996</v>
          </cell>
          <cell r="H378">
            <v>509.5231</v>
          </cell>
          <cell r="I378">
            <v>0.37564333333333333</v>
          </cell>
          <cell r="J378">
            <v>0.7453466666666666</v>
          </cell>
          <cell r="K378">
            <v>7.0373333333333343E-2</v>
          </cell>
          <cell r="L378">
            <v>0.97956499999999991</v>
          </cell>
          <cell r="M378">
            <v>2.3134900000000003</v>
          </cell>
          <cell r="N378">
            <v>6.8246666666666664E-2</v>
          </cell>
          <cell r="O378">
            <v>0.27055000000000001</v>
          </cell>
          <cell r="P378">
            <v>0.24013833333333334</v>
          </cell>
          <cell r="Q378">
            <v>9.9303333333333327E-2</v>
          </cell>
          <cell r="R378">
            <v>1.1913633333333333</v>
          </cell>
          <cell r="S378">
            <v>3.9712933333333336</v>
          </cell>
          <cell r="T378">
            <v>0</v>
          </cell>
          <cell r="U378">
            <v>4.4219999999999995E-2</v>
          </cell>
          <cell r="V378">
            <v>0.22772666666666666</v>
          </cell>
          <cell r="W378">
            <v>5.4346033333333335</v>
          </cell>
        </row>
        <row r="379">
          <cell r="D379" t="str">
            <v>82115-0E701 A 0001</v>
          </cell>
          <cell r="E379" t="str">
            <v>821150E701</v>
          </cell>
          <cell r="F379" t="str">
            <v>821150E701</v>
          </cell>
          <cell r="G379">
            <v>4337.7</v>
          </cell>
          <cell r="H379">
            <v>509.5231</v>
          </cell>
          <cell r="I379">
            <v>0.373695</v>
          </cell>
          <cell r="J379">
            <v>0.7362466666666666</v>
          </cell>
          <cell r="K379">
            <v>7.0373333333333343E-2</v>
          </cell>
          <cell r="L379">
            <v>0.97787833333333329</v>
          </cell>
          <cell r="M379">
            <v>2.3110416666666667</v>
          </cell>
          <cell r="N379">
            <v>6.8246666666666664E-2</v>
          </cell>
          <cell r="O379">
            <v>0.27047000000000004</v>
          </cell>
          <cell r="P379">
            <v>0.24013833333333334</v>
          </cell>
          <cell r="Q379">
            <v>9.9303333333333327E-2</v>
          </cell>
          <cell r="R379">
            <v>1.180315</v>
          </cell>
          <cell r="S379">
            <v>3.9670783333333333</v>
          </cell>
          <cell r="T379">
            <v>0</v>
          </cell>
          <cell r="U379">
            <v>4.4219999999999995E-2</v>
          </cell>
          <cell r="V379">
            <v>0.22772666666666666</v>
          </cell>
          <cell r="W379">
            <v>5.41934</v>
          </cell>
        </row>
        <row r="380">
          <cell r="D380" t="str">
            <v>82115-0E711 A 0001</v>
          </cell>
          <cell r="E380" t="str">
            <v>821150E711</v>
          </cell>
          <cell r="F380" t="str">
            <v>821150E711</v>
          </cell>
          <cell r="G380">
            <v>4099.3</v>
          </cell>
          <cell r="H380">
            <v>491.37700000000001</v>
          </cell>
          <cell r="I380">
            <v>0.36209999999999998</v>
          </cell>
          <cell r="J380">
            <v>0.72414833333333339</v>
          </cell>
          <cell r="K380">
            <v>7.3050000000000004E-2</v>
          </cell>
          <cell r="L380">
            <v>0.92403333333333337</v>
          </cell>
          <cell r="M380">
            <v>2.2959783333333332</v>
          </cell>
          <cell r="N380">
            <v>6.7476666666666671E-2</v>
          </cell>
          <cell r="O380">
            <v>0.26987166666666668</v>
          </cell>
          <cell r="P380">
            <v>0.24069333333333331</v>
          </cell>
          <cell r="Q380">
            <v>0.10027499999999999</v>
          </cell>
          <cell r="R380">
            <v>1.1592983333333333</v>
          </cell>
          <cell r="S380">
            <v>3.8983283333333332</v>
          </cell>
          <cell r="T380">
            <v>0</v>
          </cell>
          <cell r="U380">
            <v>4.4219999999999995E-2</v>
          </cell>
          <cell r="V380">
            <v>0.24675</v>
          </cell>
          <cell r="W380">
            <v>5.3485966666666664</v>
          </cell>
        </row>
        <row r="381">
          <cell r="D381" t="str">
            <v>82115-0E721 A 0001</v>
          </cell>
          <cell r="E381" t="str">
            <v>821150E721</v>
          </cell>
          <cell r="F381" t="str">
            <v>821150E721</v>
          </cell>
          <cell r="G381">
            <v>4076.2</v>
          </cell>
          <cell r="H381">
            <v>491.37700000000001</v>
          </cell>
          <cell r="I381">
            <v>0.36015333333333338</v>
          </cell>
          <cell r="J381">
            <v>0.7150483333333334</v>
          </cell>
          <cell r="K381">
            <v>7.3050000000000004E-2</v>
          </cell>
          <cell r="L381">
            <v>0.92234666666666665</v>
          </cell>
          <cell r="M381">
            <v>2.2935299999999996</v>
          </cell>
          <cell r="N381">
            <v>6.7476666666666671E-2</v>
          </cell>
          <cell r="O381">
            <v>0.26979166666666665</v>
          </cell>
          <cell r="P381">
            <v>0.24069333333333331</v>
          </cell>
          <cell r="Q381">
            <v>0.10027499999999999</v>
          </cell>
          <cell r="R381">
            <v>1.1482516666666669</v>
          </cell>
          <cell r="S381">
            <v>3.8941133333333329</v>
          </cell>
          <cell r="T381">
            <v>0</v>
          </cell>
          <cell r="U381">
            <v>4.4219999999999995E-2</v>
          </cell>
          <cell r="V381">
            <v>0.24675</v>
          </cell>
          <cell r="W381">
            <v>5.3333349999999999</v>
          </cell>
        </row>
        <row r="382">
          <cell r="D382" t="str">
            <v>82115-0E731 A 0001</v>
          </cell>
          <cell r="E382" t="str">
            <v>821150E731</v>
          </cell>
          <cell r="F382" t="str">
            <v>821150E731</v>
          </cell>
          <cell r="G382">
            <v>3816.6</v>
          </cell>
          <cell r="H382">
            <v>474.68860000000001</v>
          </cell>
          <cell r="I382">
            <v>0.29593166666666665</v>
          </cell>
          <cell r="J382">
            <v>0.43614666666666668</v>
          </cell>
          <cell r="K382">
            <v>5.489666666666667E-2</v>
          </cell>
          <cell r="L382">
            <v>0.74860499999999996</v>
          </cell>
          <cell r="M382">
            <v>2.2170816666666666</v>
          </cell>
          <cell r="N382">
            <v>6.2861666666666663E-2</v>
          </cell>
          <cell r="O382">
            <v>0.24491166666666667</v>
          </cell>
          <cell r="P382">
            <v>0.22840666666666667</v>
          </cell>
          <cell r="Q382">
            <v>9.7936666666666658E-2</v>
          </cell>
          <cell r="R382">
            <v>0.78697500000000009</v>
          </cell>
          <cell r="S382">
            <v>3.5998033333333335</v>
          </cell>
          <cell r="T382">
            <v>0</v>
          </cell>
          <cell r="U382">
            <v>4.1333333333333333E-2</v>
          </cell>
          <cell r="V382">
            <v>0.21849500000000002</v>
          </cell>
          <cell r="W382">
            <v>4.646606666666667</v>
          </cell>
        </row>
        <row r="383">
          <cell r="D383" t="str">
            <v>82115-0EA00 G 0001</v>
          </cell>
          <cell r="E383" t="str">
            <v>82115-0EA00</v>
          </cell>
          <cell r="F383" t="str">
            <v>82115-0EA00</v>
          </cell>
          <cell r="G383">
            <v>3759</v>
          </cell>
          <cell r="H383">
            <v>406.69839999999999</v>
          </cell>
          <cell r="I383">
            <v>0.27094666666666661</v>
          </cell>
          <cell r="J383">
            <v>0.35592000000000001</v>
          </cell>
          <cell r="K383">
            <v>5.4841666666666671E-2</v>
          </cell>
          <cell r="L383">
            <v>0.66643666666666657</v>
          </cell>
          <cell r="M383">
            <v>2.0219516666666668</v>
          </cell>
          <cell r="N383">
            <v>5.5145E-2</v>
          </cell>
          <cell r="O383">
            <v>0.23606833333333332</v>
          </cell>
          <cell r="P383">
            <v>0.22680666666666666</v>
          </cell>
          <cell r="Q383">
            <v>0.13000833333333334</v>
          </cell>
          <cell r="R383">
            <v>0.68170833333333336</v>
          </cell>
          <cell r="S383">
            <v>3.3364166666666666</v>
          </cell>
          <cell r="T383">
            <v>0</v>
          </cell>
          <cell r="U383">
            <v>4.1374999999999995E-2</v>
          </cell>
          <cell r="V383">
            <v>0.15774333333333332</v>
          </cell>
          <cell r="W383">
            <v>4.2172433333333332</v>
          </cell>
        </row>
        <row r="384">
          <cell r="D384" t="str">
            <v>82115-0EA10 G 0001</v>
          </cell>
          <cell r="E384" t="str">
            <v>82115-0EA10</v>
          </cell>
          <cell r="F384" t="str">
            <v>82115-0EA10</v>
          </cell>
          <cell r="G384">
            <v>4118.6000000000004</v>
          </cell>
          <cell r="H384">
            <v>457.42039999999997</v>
          </cell>
          <cell r="I384">
            <v>0.32576499999999997</v>
          </cell>
          <cell r="J384">
            <v>0.61692333333333338</v>
          </cell>
          <cell r="K384">
            <v>0.10910499999999999</v>
          </cell>
          <cell r="L384">
            <v>0.82906499999999994</v>
          </cell>
          <cell r="M384">
            <v>2.0645033333333331</v>
          </cell>
          <cell r="N384">
            <v>5.9745000000000006E-2</v>
          </cell>
          <cell r="O384">
            <v>0.26626833333333333</v>
          </cell>
          <cell r="P384">
            <v>0.23161166666666666</v>
          </cell>
          <cell r="Q384">
            <v>0.12502666666666667</v>
          </cell>
          <cell r="R384">
            <v>1.0517933333333334</v>
          </cell>
          <cell r="S384">
            <v>3.5762200000000002</v>
          </cell>
          <cell r="T384">
            <v>0</v>
          </cell>
          <cell r="U384">
            <v>4.4259999999999994E-2</v>
          </cell>
          <cell r="V384">
            <v>0.22136166666666668</v>
          </cell>
          <cell r="W384">
            <v>4.8936350000000006</v>
          </cell>
        </row>
        <row r="385">
          <cell r="D385" t="str">
            <v>82115-0EA20 H 0001</v>
          </cell>
          <cell r="E385" t="str">
            <v>82115-0EA20</v>
          </cell>
          <cell r="F385" t="str">
            <v>82115-0EA20</v>
          </cell>
          <cell r="G385">
            <v>3727.4</v>
          </cell>
          <cell r="H385">
            <v>443.28470000000004</v>
          </cell>
          <cell r="I385">
            <v>0.27032166666666668</v>
          </cell>
          <cell r="J385">
            <v>0.3992816666666667</v>
          </cell>
          <cell r="K385">
            <v>5.9901666666666666E-2</v>
          </cell>
          <cell r="L385">
            <v>0.66859999999999997</v>
          </cell>
          <cell r="M385">
            <v>1.9995366666666667</v>
          </cell>
          <cell r="N385">
            <v>5.493E-2</v>
          </cell>
          <cell r="O385">
            <v>0.23787833333333333</v>
          </cell>
          <cell r="P385">
            <v>0.22620333333333334</v>
          </cell>
          <cell r="Q385">
            <v>0.12918333333333334</v>
          </cell>
          <cell r="R385">
            <v>0.72950499999999996</v>
          </cell>
          <cell r="S385">
            <v>3.3163316666666667</v>
          </cell>
          <cell r="T385">
            <v>0</v>
          </cell>
          <cell r="U385">
            <v>4.1374999999999995E-2</v>
          </cell>
          <cell r="V385">
            <v>0.15774333333333332</v>
          </cell>
          <cell r="W385">
            <v>4.244955</v>
          </cell>
        </row>
        <row r="386">
          <cell r="D386" t="str">
            <v>82115-0EA30 H 0001</v>
          </cell>
          <cell r="E386" t="str">
            <v>82115-0EA30</v>
          </cell>
          <cell r="F386" t="str">
            <v>82115-0EA30</v>
          </cell>
          <cell r="G386">
            <v>3942.7</v>
          </cell>
          <cell r="H386">
            <v>460.04690000000005</v>
          </cell>
          <cell r="I386">
            <v>0.28321333333333332</v>
          </cell>
          <cell r="J386">
            <v>0.42077833333333337</v>
          </cell>
          <cell r="K386">
            <v>5.7224999999999998E-2</v>
          </cell>
          <cell r="L386">
            <v>0.73797333333333326</v>
          </cell>
          <cell r="M386">
            <v>2.084025</v>
          </cell>
          <cell r="N386">
            <v>5.5160000000000001E-2</v>
          </cell>
          <cell r="O386">
            <v>0.24058666666666667</v>
          </cell>
          <cell r="P386">
            <v>0.22537666666666667</v>
          </cell>
          <cell r="Q386">
            <v>0.13025499999999998</v>
          </cell>
          <cell r="R386">
            <v>0.76121666666666665</v>
          </cell>
          <cell r="S386">
            <v>3.4733766666666663</v>
          </cell>
          <cell r="T386">
            <v>0</v>
          </cell>
          <cell r="U386">
            <v>4.1374999999999995E-2</v>
          </cell>
          <cell r="V386">
            <v>0.13871999999999998</v>
          </cell>
          <cell r="W386">
            <v>4.4146883333333333</v>
          </cell>
        </row>
        <row r="387">
          <cell r="D387" t="str">
            <v>82115-0EA40 H 0001</v>
          </cell>
          <cell r="E387" t="str">
            <v>82115-0EA40</v>
          </cell>
          <cell r="F387" t="str">
            <v>82115-0EA40</v>
          </cell>
          <cell r="G387">
            <v>4227.5</v>
          </cell>
          <cell r="H387">
            <v>491.97029999999995</v>
          </cell>
          <cell r="I387">
            <v>0.33756333333333333</v>
          </cell>
          <cell r="J387">
            <v>0.64345333333333332</v>
          </cell>
          <cell r="K387">
            <v>0.10910499999999999</v>
          </cell>
          <cell r="L387">
            <v>0.86136000000000001</v>
          </cell>
          <cell r="M387">
            <v>2.0711133333333334</v>
          </cell>
          <cell r="N387">
            <v>5.9729999999999998E-2</v>
          </cell>
          <cell r="O387">
            <v>0.27041333333333328</v>
          </cell>
          <cell r="P387">
            <v>0.23205333333333333</v>
          </cell>
          <cell r="Q387">
            <v>0.12496666666666667</v>
          </cell>
          <cell r="R387">
            <v>1.0901216666666667</v>
          </cell>
          <cell r="S387">
            <v>3.6196366666666666</v>
          </cell>
          <cell r="T387">
            <v>0</v>
          </cell>
          <cell r="U387">
            <v>4.4259999999999994E-2</v>
          </cell>
          <cell r="V387">
            <v>0.22136166666666668</v>
          </cell>
          <cell r="W387">
            <v>4.9753800000000004</v>
          </cell>
        </row>
        <row r="388">
          <cell r="D388" t="str">
            <v>82115-0EA50 H 0001</v>
          </cell>
          <cell r="E388" t="str">
            <v>82115-0EA50</v>
          </cell>
          <cell r="F388" t="str">
            <v>82115-0EA50</v>
          </cell>
          <cell r="G388">
            <v>4113.2</v>
          </cell>
          <cell r="H388">
            <v>491.97029999999995</v>
          </cell>
          <cell r="I388">
            <v>0.32644833333333334</v>
          </cell>
          <cell r="J388">
            <v>0.60646999999999995</v>
          </cell>
          <cell r="K388">
            <v>0.10910499999999999</v>
          </cell>
          <cell r="L388">
            <v>0.84155999999999997</v>
          </cell>
          <cell r="M388">
            <v>2.0546266666666666</v>
          </cell>
          <cell r="N388">
            <v>5.9729999999999998E-2</v>
          </cell>
          <cell r="O388">
            <v>0.26877666666666666</v>
          </cell>
          <cell r="P388">
            <v>0.23191833333333334</v>
          </cell>
          <cell r="Q388">
            <v>0.12496666666666667</v>
          </cell>
          <cell r="R388">
            <v>1.0420233333333333</v>
          </cell>
          <cell r="S388">
            <v>3.5815783333333329</v>
          </cell>
          <cell r="T388">
            <v>0</v>
          </cell>
          <cell r="U388">
            <v>4.4259999999999994E-2</v>
          </cell>
          <cell r="V388">
            <v>0.22136166666666668</v>
          </cell>
          <cell r="W388">
            <v>4.8892233333333328</v>
          </cell>
        </row>
        <row r="389">
          <cell r="D389" t="str">
            <v>82115-0EA60 H 0001</v>
          </cell>
          <cell r="E389" t="str">
            <v>82115-0EA60</v>
          </cell>
          <cell r="F389" t="str">
            <v>82115-0EA60</v>
          </cell>
          <cell r="G389">
            <v>4201.7</v>
          </cell>
          <cell r="H389">
            <v>491.97029999999995</v>
          </cell>
          <cell r="I389">
            <v>0.33501833333333331</v>
          </cell>
          <cell r="J389">
            <v>0.63470833333333343</v>
          </cell>
          <cell r="K389">
            <v>0.10910499999999999</v>
          </cell>
          <cell r="L389">
            <v>0.85875666666666661</v>
          </cell>
          <cell r="M389">
            <v>2.0677049999999997</v>
          </cell>
          <cell r="N389">
            <v>5.9729999999999998E-2</v>
          </cell>
          <cell r="O389">
            <v>0.26933666666666667</v>
          </cell>
          <cell r="P389">
            <v>0.23191833333333334</v>
          </cell>
          <cell r="Q389">
            <v>0.12496666666666667</v>
          </cell>
          <cell r="R389">
            <v>1.0788316666666666</v>
          </cell>
          <cell r="S389">
            <v>3.6124133333333335</v>
          </cell>
          <cell r="T389">
            <v>0</v>
          </cell>
          <cell r="U389">
            <v>4.4259999999999994E-2</v>
          </cell>
          <cell r="V389">
            <v>0.22136166666666668</v>
          </cell>
          <cell r="W389">
            <v>4.9568666666666674</v>
          </cell>
        </row>
        <row r="390">
          <cell r="D390" t="str">
            <v>82115-0EA70 H 0001</v>
          </cell>
          <cell r="E390" t="str">
            <v>82115-0EA70</v>
          </cell>
          <cell r="F390" t="str">
            <v>82115-0EA70</v>
          </cell>
          <cell r="G390">
            <v>4443.3</v>
          </cell>
          <cell r="H390">
            <v>508.85429999999997</v>
          </cell>
          <cell r="I390">
            <v>0.35060833333333336</v>
          </cell>
          <cell r="J390">
            <v>0.66641666666666666</v>
          </cell>
          <cell r="K390">
            <v>0.10642833333333333</v>
          </cell>
          <cell r="L390">
            <v>0.9307333333333333</v>
          </cell>
          <cell r="M390">
            <v>2.1667316666666663</v>
          </cell>
          <cell r="N390">
            <v>5.9959999999999999E-2</v>
          </cell>
          <cell r="O390">
            <v>0.27312166666666665</v>
          </cell>
          <cell r="P390">
            <v>0.23122499999999999</v>
          </cell>
          <cell r="Q390">
            <v>0.12603833333333334</v>
          </cell>
          <cell r="R390">
            <v>1.1234533333333334</v>
          </cell>
          <cell r="S390">
            <v>3.787809999999999</v>
          </cell>
          <cell r="T390">
            <v>0</v>
          </cell>
          <cell r="U390">
            <v>4.4259999999999994E-2</v>
          </cell>
          <cell r="V390">
            <v>0.20557166666666668</v>
          </cell>
          <cell r="W390">
            <v>5.1610949999999995</v>
          </cell>
        </row>
        <row r="391">
          <cell r="D391" t="str">
            <v>82115-0EG40 H 0001</v>
          </cell>
          <cell r="E391" t="str">
            <v>82115-0EG40</v>
          </cell>
          <cell r="F391" t="str">
            <v>82115-0EG40</v>
          </cell>
          <cell r="G391">
            <v>4022.6</v>
          </cell>
          <cell r="H391">
            <v>487.65059999999994</v>
          </cell>
          <cell r="I391">
            <v>0.31745333333333331</v>
          </cell>
          <cell r="J391">
            <v>0.59008000000000005</v>
          </cell>
          <cell r="K391">
            <v>0.10421999999999999</v>
          </cell>
          <cell r="L391">
            <v>0.8179466666666666</v>
          </cell>
          <cell r="M391">
            <v>1.9863983333333333</v>
          </cell>
          <cell r="N391">
            <v>5.8244999999999998E-2</v>
          </cell>
          <cell r="O391">
            <v>0.25931333333333334</v>
          </cell>
          <cell r="P391">
            <v>0.22608</v>
          </cell>
          <cell r="Q391">
            <v>0.12320833333333334</v>
          </cell>
          <cell r="R391">
            <v>1.0117533333333333</v>
          </cell>
          <cell r="S391">
            <v>3.4711916666666665</v>
          </cell>
          <cell r="T391">
            <v>0</v>
          </cell>
          <cell r="U391">
            <v>4.4259999999999994E-2</v>
          </cell>
          <cell r="V391">
            <v>0.22136166666666668</v>
          </cell>
          <cell r="W391">
            <v>4.748566666666667</v>
          </cell>
        </row>
        <row r="392">
          <cell r="D392" t="str">
            <v>82115-0EJ61 A 0001</v>
          </cell>
          <cell r="E392" t="str">
            <v>821150EJ61</v>
          </cell>
          <cell r="F392" t="str">
            <v>821150EJ61</v>
          </cell>
          <cell r="G392">
            <v>3693.9</v>
          </cell>
          <cell r="H392">
            <v>454.18619999999999</v>
          </cell>
          <cell r="I392">
            <v>0.27554000000000001</v>
          </cell>
          <cell r="J392">
            <v>0.40023166666666665</v>
          </cell>
          <cell r="K392">
            <v>5.0110000000000002E-2</v>
          </cell>
          <cell r="L392">
            <v>0.69048833333333326</v>
          </cell>
          <cell r="M392">
            <v>2.1237383333333333</v>
          </cell>
          <cell r="N392">
            <v>6.0426666666666663E-2</v>
          </cell>
          <cell r="O392">
            <v>0.23452166666666668</v>
          </cell>
          <cell r="P392">
            <v>0.21753666666666666</v>
          </cell>
          <cell r="Q392">
            <v>9.6729999999999997E-2</v>
          </cell>
          <cell r="R392">
            <v>0.72588166666666665</v>
          </cell>
          <cell r="S392">
            <v>3.4234416666666667</v>
          </cell>
          <cell r="T392">
            <v>0</v>
          </cell>
          <cell r="U392">
            <v>4.1333333333333333E-2</v>
          </cell>
          <cell r="V392">
            <v>0.21849500000000002</v>
          </cell>
          <cell r="W392">
            <v>4.4091516666666664</v>
          </cell>
        </row>
        <row r="393">
          <cell r="D393" t="str">
            <v>82115-0EY30 A 0001</v>
          </cell>
          <cell r="E393" t="str">
            <v>821150EY30</v>
          </cell>
          <cell r="F393" t="str">
            <v>821150EY30</v>
          </cell>
          <cell r="G393">
            <v>4167.3</v>
          </cell>
          <cell r="H393">
            <v>547.9905</v>
          </cell>
          <cell r="I393">
            <v>0.32314999999999999</v>
          </cell>
          <cell r="J393">
            <v>0.47786666666666666</v>
          </cell>
          <cell r="K393">
            <v>5.2220000000000003E-2</v>
          </cell>
          <cell r="L393">
            <v>0.83070166666666667</v>
          </cell>
          <cell r="M393">
            <v>2.2903949999999997</v>
          </cell>
          <cell r="N393">
            <v>6.382666666666667E-2</v>
          </cell>
          <cell r="O393">
            <v>0.25003833333333331</v>
          </cell>
          <cell r="P393">
            <v>0.23153499999999999</v>
          </cell>
          <cell r="Q393">
            <v>9.7678333333333325E-2</v>
          </cell>
          <cell r="R393">
            <v>0.85323666666666675</v>
          </cell>
          <cell r="S393">
            <v>3.7641749999999998</v>
          </cell>
          <cell r="T393">
            <v>0</v>
          </cell>
          <cell r="U393">
            <v>4.1333333333333333E-2</v>
          </cell>
          <cell r="V393">
            <v>0.19947166666666669</v>
          </cell>
          <cell r="W393">
            <v>4.8582166666666664</v>
          </cell>
        </row>
        <row r="394">
          <cell r="D394" t="str">
            <v>82115-0EY40 A 0001</v>
          </cell>
          <cell r="E394" t="str">
            <v>821150EY40</v>
          </cell>
          <cell r="F394" t="str">
            <v>821150EY40</v>
          </cell>
          <cell r="G394">
            <v>4101.2</v>
          </cell>
          <cell r="H394">
            <v>493.00479999999999</v>
          </cell>
          <cell r="I394">
            <v>0.31141999999999997</v>
          </cell>
          <cell r="J394">
            <v>0.46633333333333332</v>
          </cell>
          <cell r="K394">
            <v>5.2220000000000003E-2</v>
          </cell>
          <cell r="L394">
            <v>0.80582333333333334</v>
          </cell>
          <cell r="M394">
            <v>2.2382399999999998</v>
          </cell>
          <cell r="N394">
            <v>6.3636666666666661E-2</v>
          </cell>
          <cell r="O394">
            <v>0.24567166666666665</v>
          </cell>
          <cell r="P394">
            <v>0.22554666666666667</v>
          </cell>
          <cell r="Q394">
            <v>9.6963333333333332E-2</v>
          </cell>
          <cell r="R394">
            <v>0.82997333333333334</v>
          </cell>
          <cell r="S394">
            <v>3.6758816666666663</v>
          </cell>
          <cell r="T394">
            <v>0</v>
          </cell>
          <cell r="U394">
            <v>4.1333333333333333E-2</v>
          </cell>
          <cell r="V394">
            <v>0.19947166666666669</v>
          </cell>
          <cell r="W394">
            <v>4.7466599999999994</v>
          </cell>
        </row>
        <row r="395">
          <cell r="D395" t="str">
            <v>82115-0EY50 A 0001</v>
          </cell>
          <cell r="E395" t="str">
            <v>821150EY50</v>
          </cell>
          <cell r="F395" t="str">
            <v>821150EY50</v>
          </cell>
          <cell r="G395">
            <v>3905.9</v>
          </cell>
          <cell r="H395">
            <v>529.67430000000002</v>
          </cell>
          <cell r="I395">
            <v>0.30961</v>
          </cell>
          <cell r="J395">
            <v>0.45678333333333332</v>
          </cell>
          <cell r="K395">
            <v>5.489666666666667E-2</v>
          </cell>
          <cell r="L395">
            <v>0.77516999999999991</v>
          </cell>
          <cell r="M395">
            <v>2.2732233333333336</v>
          </cell>
          <cell r="N395">
            <v>6.3051666666666673E-2</v>
          </cell>
          <cell r="O395">
            <v>0.24935833333333332</v>
          </cell>
          <cell r="P395">
            <v>0.23439500000000002</v>
          </cell>
          <cell r="Q395">
            <v>9.8649999999999988E-2</v>
          </cell>
          <cell r="R395">
            <v>0.82128999999999996</v>
          </cell>
          <cell r="S395">
            <v>3.6938483333333334</v>
          </cell>
          <cell r="T395">
            <v>0</v>
          </cell>
          <cell r="U395">
            <v>4.1333333333333333E-2</v>
          </cell>
          <cell r="V395">
            <v>0.21849500000000002</v>
          </cell>
          <cell r="W395">
            <v>4.7749666666666668</v>
          </cell>
        </row>
        <row r="396">
          <cell r="D396" t="str">
            <v>82115-0EY60 A 0001</v>
          </cell>
          <cell r="E396" t="str">
            <v>821150EY60</v>
          </cell>
          <cell r="F396" t="str">
            <v>821150EY60</v>
          </cell>
          <cell r="G396">
            <v>3839.8</v>
          </cell>
          <cell r="H396">
            <v>474.68860000000001</v>
          </cell>
          <cell r="I396">
            <v>0.29788000000000003</v>
          </cell>
          <cell r="J396">
            <v>0.44524999999999998</v>
          </cell>
          <cell r="K396">
            <v>5.489666666666667E-2</v>
          </cell>
          <cell r="L396">
            <v>0.75029166666666669</v>
          </cell>
          <cell r="M396">
            <v>2.2210716666666666</v>
          </cell>
          <cell r="N396">
            <v>6.2861666666666663E-2</v>
          </cell>
          <cell r="O396">
            <v>0.24499166666666666</v>
          </cell>
          <cell r="P396">
            <v>0.22840666666666667</v>
          </cell>
          <cell r="Q396">
            <v>9.7936666666666658E-2</v>
          </cell>
          <cell r="R396">
            <v>0.79802666666666677</v>
          </cell>
          <cell r="S396">
            <v>3.6055599999999997</v>
          </cell>
          <cell r="T396">
            <v>0</v>
          </cell>
          <cell r="U396">
            <v>4.1333333333333333E-2</v>
          </cell>
          <cell r="V396">
            <v>0.21849500000000002</v>
          </cell>
          <cell r="W396">
            <v>4.6634149999999996</v>
          </cell>
        </row>
        <row r="397">
          <cell r="D397" t="str">
            <v>82115-0EZ90 0001</v>
          </cell>
          <cell r="E397" t="str">
            <v>82115-0EZ90</v>
          </cell>
          <cell r="F397" t="str">
            <v>82115-0EZ90</v>
          </cell>
          <cell r="G397">
            <v>4129.8999999999996</v>
          </cell>
          <cell r="H397">
            <v>491.88440000000003</v>
          </cell>
          <cell r="I397">
            <v>0.30684833333333333</v>
          </cell>
          <cell r="J397">
            <v>0.46243499999999998</v>
          </cell>
          <cell r="K397">
            <v>5.7224999999999998E-2</v>
          </cell>
          <cell r="L397">
            <v>0.78964666666666661</v>
          </cell>
          <cell r="M397">
            <v>2.1702883333333332</v>
          </cell>
          <cell r="N397">
            <v>5.4535E-2</v>
          </cell>
          <cell r="O397">
            <v>0.24646166666666666</v>
          </cell>
          <cell r="P397">
            <v>0.22817666666666667</v>
          </cell>
          <cell r="Q397">
            <v>0.13189333333333333</v>
          </cell>
          <cell r="R397">
            <v>0.82650833333333329</v>
          </cell>
          <cell r="S397">
            <v>3.6210016666666665</v>
          </cell>
          <cell r="T397">
            <v>0</v>
          </cell>
          <cell r="U397">
            <v>4.1374999999999995E-2</v>
          </cell>
          <cell r="V397">
            <v>0.17428666666666667</v>
          </cell>
          <cell r="W397">
            <v>4.663171666666666</v>
          </cell>
        </row>
        <row r="399">
          <cell r="D399" t="str">
            <v>7375-5168 0011</v>
          </cell>
          <cell r="E399" t="str">
            <v>73755168</v>
          </cell>
          <cell r="F399" t="str">
            <v>73755168</v>
          </cell>
          <cell r="G399">
            <v>9.9</v>
          </cell>
          <cell r="H399">
            <v>0</v>
          </cell>
          <cell r="I399">
            <v>8.2666666666666663E-4</v>
          </cell>
          <cell r="J399">
            <v>2.2983333333333335E-2</v>
          </cell>
          <cell r="K399">
            <v>0</v>
          </cell>
          <cell r="L399">
            <v>1.65E-3</v>
          </cell>
          <cell r="M399">
            <v>1.6391666666666669E-2</v>
          </cell>
          <cell r="N399">
            <v>0</v>
          </cell>
          <cell r="O399">
            <v>1.2674999999999999E-2</v>
          </cell>
          <cell r="P399">
            <v>3.3416666666666668E-3</v>
          </cell>
          <cell r="Q399">
            <v>3.0283333333333334E-3</v>
          </cell>
          <cell r="R399">
            <v>2.3810000000000001E-2</v>
          </cell>
          <cell r="S399">
            <v>3.7086666666666671E-2</v>
          </cell>
          <cell r="T399">
            <v>0</v>
          </cell>
          <cell r="U399">
            <v>0</v>
          </cell>
          <cell r="V399">
            <v>0</v>
          </cell>
          <cell r="W399">
            <v>6.0896666666666668E-2</v>
          </cell>
        </row>
        <row r="400">
          <cell r="D400" t="str">
            <v>7375-5169 0111</v>
          </cell>
          <cell r="E400" t="str">
            <v>73755169</v>
          </cell>
          <cell r="F400" t="str">
            <v>73755169</v>
          </cell>
          <cell r="G400">
            <v>4.9000000000000004</v>
          </cell>
          <cell r="H400">
            <v>0</v>
          </cell>
          <cell r="I400">
            <v>6.9833333333333336E-4</v>
          </cell>
          <cell r="J400">
            <v>2.2983333333333335E-2</v>
          </cell>
          <cell r="K400">
            <v>0</v>
          </cell>
          <cell r="L400">
            <v>1.65E-3</v>
          </cell>
          <cell r="M400">
            <v>1.6121666666666666E-2</v>
          </cell>
          <cell r="N400">
            <v>0</v>
          </cell>
          <cell r="O400">
            <v>1.2674999999999999E-2</v>
          </cell>
          <cell r="P400">
            <v>2.7433333333333333E-3</v>
          </cell>
          <cell r="Q400">
            <v>2.5700000000000002E-3</v>
          </cell>
          <cell r="R400">
            <v>2.3681666666666667E-2</v>
          </cell>
          <cell r="S400">
            <v>3.576E-2</v>
          </cell>
          <cell r="T400">
            <v>0</v>
          </cell>
          <cell r="U400">
            <v>0</v>
          </cell>
          <cell r="V400">
            <v>0</v>
          </cell>
          <cell r="W400">
            <v>5.944166666666667E-2</v>
          </cell>
        </row>
        <row r="401">
          <cell r="D401" t="str">
            <v>7375-5171 0011</v>
          </cell>
          <cell r="E401" t="str">
            <v>73755171</v>
          </cell>
          <cell r="F401" t="str">
            <v>73755171</v>
          </cell>
          <cell r="G401">
            <v>9.9</v>
          </cell>
          <cell r="H401">
            <v>0</v>
          </cell>
          <cell r="I401">
            <v>8.2666666666666663E-4</v>
          </cell>
          <cell r="J401">
            <v>2.2983333333333335E-2</v>
          </cell>
          <cell r="K401">
            <v>0</v>
          </cell>
          <cell r="L401">
            <v>1.65E-3</v>
          </cell>
          <cell r="M401">
            <v>1.6391666666666669E-2</v>
          </cell>
          <cell r="N401">
            <v>0</v>
          </cell>
          <cell r="O401">
            <v>1.2674999999999999E-2</v>
          </cell>
          <cell r="P401">
            <v>3.3416666666666668E-3</v>
          </cell>
          <cell r="Q401">
            <v>3.0283333333333334E-3</v>
          </cell>
          <cell r="R401">
            <v>2.3810000000000001E-2</v>
          </cell>
          <cell r="S401">
            <v>3.7086666666666671E-2</v>
          </cell>
          <cell r="T401">
            <v>0</v>
          </cell>
          <cell r="U401">
            <v>0</v>
          </cell>
          <cell r="V401">
            <v>0</v>
          </cell>
          <cell r="W401">
            <v>6.0896666666666668E-2</v>
          </cell>
        </row>
        <row r="402">
          <cell r="D402" t="str">
            <v>7475-0039 0111</v>
          </cell>
          <cell r="E402" t="str">
            <v>74750039</v>
          </cell>
          <cell r="F402" t="str">
            <v>74750039</v>
          </cell>
          <cell r="G402">
            <v>10.199999999999999</v>
          </cell>
          <cell r="H402">
            <v>0</v>
          </cell>
          <cell r="I402">
            <v>8.3500000000000002E-4</v>
          </cell>
          <cell r="J402">
            <v>2.2983333333333335E-2</v>
          </cell>
          <cell r="K402">
            <v>0</v>
          </cell>
          <cell r="L402">
            <v>1.65E-3</v>
          </cell>
          <cell r="M402">
            <v>1.6410000000000001E-2</v>
          </cell>
          <cell r="N402">
            <v>0</v>
          </cell>
          <cell r="O402">
            <v>1.2674999999999999E-2</v>
          </cell>
          <cell r="P402">
            <v>3.4399999999999999E-3</v>
          </cell>
          <cell r="Q402">
            <v>3.055E-3</v>
          </cell>
          <cell r="R402">
            <v>2.3818333333333334E-2</v>
          </cell>
          <cell r="S402">
            <v>3.7229999999999999E-2</v>
          </cell>
          <cell r="T402">
            <v>0</v>
          </cell>
          <cell r="U402">
            <v>0</v>
          </cell>
          <cell r="V402">
            <v>0</v>
          </cell>
          <cell r="W402">
            <v>6.1048333333333329E-2</v>
          </cell>
        </row>
        <row r="403">
          <cell r="E403" t="str">
            <v>74750040</v>
          </cell>
          <cell r="F403" t="str">
            <v>74750040</v>
          </cell>
          <cell r="G403">
            <v>13.5</v>
          </cell>
          <cell r="H403">
            <v>0</v>
          </cell>
          <cell r="I403">
            <v>9.2000000000000003E-4</v>
          </cell>
          <cell r="J403">
            <v>2.2983333333333335E-2</v>
          </cell>
          <cell r="K403">
            <v>0</v>
          </cell>
          <cell r="L403">
            <v>1.65E-3</v>
          </cell>
          <cell r="M403">
            <v>1.6590000000000001E-2</v>
          </cell>
          <cell r="N403">
            <v>0</v>
          </cell>
          <cell r="O403">
            <v>1.2674999999999999E-2</v>
          </cell>
          <cell r="P403">
            <v>3.8383333333333334E-3</v>
          </cell>
          <cell r="Q403">
            <v>3.3066666666666665E-3</v>
          </cell>
          <cell r="R403">
            <v>2.3903333333333335E-2</v>
          </cell>
          <cell r="S403">
            <v>3.8059999999999997E-2</v>
          </cell>
          <cell r="T403">
            <v>0</v>
          </cell>
          <cell r="U403">
            <v>0</v>
          </cell>
          <cell r="V403">
            <v>0</v>
          </cell>
          <cell r="W403">
            <v>6.1963333333333329E-2</v>
          </cell>
        </row>
        <row r="404">
          <cell r="E404" t="str">
            <v>74750041</v>
          </cell>
          <cell r="F404" t="str">
            <v>74750041</v>
          </cell>
          <cell r="G404">
            <v>10.199999999999999</v>
          </cell>
          <cell r="H404">
            <v>0</v>
          </cell>
          <cell r="I404">
            <v>8.3500000000000002E-4</v>
          </cell>
          <cell r="J404">
            <v>2.2983333333333335E-2</v>
          </cell>
          <cell r="K404">
            <v>0</v>
          </cell>
          <cell r="L404">
            <v>1.65E-3</v>
          </cell>
          <cell r="M404">
            <v>1.6411666666666668E-2</v>
          </cell>
          <cell r="N404">
            <v>0</v>
          </cell>
          <cell r="O404">
            <v>1.2674999999999999E-2</v>
          </cell>
          <cell r="P404">
            <v>3.4399999999999999E-3</v>
          </cell>
          <cell r="Q404">
            <v>3.0583333333333335E-3</v>
          </cell>
          <cell r="R404">
            <v>2.3818333333333334E-2</v>
          </cell>
          <cell r="S404">
            <v>3.7235000000000004E-2</v>
          </cell>
          <cell r="T404">
            <v>0</v>
          </cell>
          <cell r="U404">
            <v>0</v>
          </cell>
          <cell r="V404">
            <v>0</v>
          </cell>
          <cell r="W404">
            <v>6.1053333333333334E-2</v>
          </cell>
        </row>
        <row r="405">
          <cell r="E405" t="str">
            <v>74750042</v>
          </cell>
          <cell r="F405" t="str">
            <v>74750042</v>
          </cell>
          <cell r="G405">
            <v>5.3</v>
          </cell>
          <cell r="H405">
            <v>0</v>
          </cell>
          <cell r="I405">
            <v>7.1000000000000002E-4</v>
          </cell>
          <cell r="J405">
            <v>2.2983333333333335E-2</v>
          </cell>
          <cell r="K405">
            <v>0</v>
          </cell>
          <cell r="L405">
            <v>1.65E-3</v>
          </cell>
          <cell r="M405">
            <v>1.6145E-2</v>
          </cell>
          <cell r="N405">
            <v>0</v>
          </cell>
          <cell r="O405">
            <v>1.2674999999999999E-2</v>
          </cell>
          <cell r="P405">
            <v>2.7433333333333333E-3</v>
          </cell>
          <cell r="Q405">
            <v>2.6133333333333334E-3</v>
          </cell>
          <cell r="R405">
            <v>2.3693333333333334E-2</v>
          </cell>
          <cell r="S405">
            <v>3.5826666666666666E-2</v>
          </cell>
          <cell r="T405">
            <v>0</v>
          </cell>
          <cell r="U405">
            <v>0</v>
          </cell>
          <cell r="V405">
            <v>0</v>
          </cell>
          <cell r="W405">
            <v>5.9520000000000003E-2</v>
          </cell>
        </row>
        <row r="406">
          <cell r="E406" t="str">
            <v>74750043</v>
          </cell>
          <cell r="F406" t="str">
            <v>74750043</v>
          </cell>
          <cell r="G406">
            <v>9.5</v>
          </cell>
          <cell r="H406">
            <v>0</v>
          </cell>
          <cell r="I406">
            <v>8.1833333333333335E-4</v>
          </cell>
          <cell r="J406">
            <v>2.2983333333333335E-2</v>
          </cell>
          <cell r="K406">
            <v>0</v>
          </cell>
          <cell r="L406">
            <v>1.65E-3</v>
          </cell>
          <cell r="M406">
            <v>1.6375000000000001E-2</v>
          </cell>
          <cell r="N406">
            <v>0</v>
          </cell>
          <cell r="O406">
            <v>1.2674999999999999E-2</v>
          </cell>
          <cell r="P406">
            <v>3.3416666666666668E-3</v>
          </cell>
          <cell r="Q406">
            <v>3.0033333333333331E-3</v>
          </cell>
          <cell r="R406">
            <v>2.3801666666666669E-2</v>
          </cell>
          <cell r="S406">
            <v>3.7044999999999995E-2</v>
          </cell>
          <cell r="T406">
            <v>0</v>
          </cell>
          <cell r="U406">
            <v>0</v>
          </cell>
          <cell r="V406">
            <v>0</v>
          </cell>
          <cell r="W406">
            <v>6.084666666666666E-2</v>
          </cell>
        </row>
        <row r="408">
          <cell r="D408" t="str">
            <v>BC121-6B250-1 B 0001</v>
          </cell>
          <cell r="E408" t="str">
            <v>BC121-6B250-1</v>
          </cell>
          <cell r="F408" t="str">
            <v>BC121-6B250-1</v>
          </cell>
          <cell r="G408">
            <v>196.63</v>
          </cell>
          <cell r="I408">
            <v>2.6883333333333334E-3</v>
          </cell>
          <cell r="J408">
            <v>1.0783333333333334E-2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1.3471666666666667E-2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1.3471666666666667E-2</v>
          </cell>
        </row>
        <row r="409">
          <cell r="D409" t="str">
            <v>BC121-6B230-1 B 0001</v>
          </cell>
          <cell r="E409" t="str">
            <v>BC121-6B230-1</v>
          </cell>
          <cell r="F409" t="str">
            <v>BC121-6B230-1</v>
          </cell>
          <cell r="G409">
            <v>282</v>
          </cell>
          <cell r="I409">
            <v>2.5700000000000002E-3</v>
          </cell>
          <cell r="J409">
            <v>1.1366666666666666E-2</v>
          </cell>
          <cell r="K409">
            <v>0</v>
          </cell>
          <cell r="L409">
            <v>2.3699999999999997E-3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1.3936666666666667E-2</v>
          </cell>
          <cell r="S409">
            <v>2.3699999999999997E-3</v>
          </cell>
          <cell r="T409">
            <v>0</v>
          </cell>
          <cell r="U409">
            <v>0</v>
          </cell>
          <cell r="V409">
            <v>0</v>
          </cell>
          <cell r="W409">
            <v>1.6306666666666667E-2</v>
          </cell>
        </row>
        <row r="410">
          <cell r="D410" t="str">
            <v>BC111-2FE72-1 F 0201</v>
          </cell>
          <cell r="E410" t="str">
            <v>BC111-2FE72-1</v>
          </cell>
          <cell r="F410" t="str">
            <v>BC111-2FE72-1</v>
          </cell>
          <cell r="G410">
            <v>100.1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2.5296666666666669E-2</v>
          </cell>
          <cell r="V410">
            <v>0</v>
          </cell>
          <cell r="W410">
            <v>2.5296666666666669E-2</v>
          </cell>
        </row>
        <row r="411">
          <cell r="D411" t="str">
            <v>BC111-2FE72-2 F 0201</v>
          </cell>
          <cell r="E411" t="str">
            <v>BC111-2FE72-2</v>
          </cell>
          <cell r="F411" t="str">
            <v>BC111-2FE72-2</v>
          </cell>
          <cell r="G411">
            <v>328.3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1.9763333333333334E-2</v>
          </cell>
          <cell r="V411">
            <v>0</v>
          </cell>
          <cell r="W411">
            <v>1.9763333333333334E-2</v>
          </cell>
        </row>
        <row r="412">
          <cell r="D412" t="str">
            <v>BC111-V3881-1 B 0201</v>
          </cell>
          <cell r="E412" t="str">
            <v>BC111-V3881-1</v>
          </cell>
          <cell r="F412" t="str">
            <v>BC111-V3881-1</v>
          </cell>
          <cell r="G412">
            <v>64.7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1.4525E-2</v>
          </cell>
          <cell r="V412">
            <v>0</v>
          </cell>
          <cell r="W412">
            <v>1.4525E-2</v>
          </cell>
        </row>
        <row r="413">
          <cell r="D413" t="str">
            <v>BC111-V3650-2 C 0201</v>
          </cell>
          <cell r="E413" t="str">
            <v>BC111-V3650-2</v>
          </cell>
          <cell r="F413" t="str">
            <v>BC111-V3650-2</v>
          </cell>
          <cell r="G413">
            <v>343.8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2.0068333333333334E-2</v>
          </cell>
          <cell r="V413">
            <v>0</v>
          </cell>
          <cell r="W413">
            <v>2.0068333333333334E-2</v>
          </cell>
        </row>
        <row r="414">
          <cell r="D414" t="str">
            <v>DC111-2FE72 F 0201</v>
          </cell>
          <cell r="E414" t="str">
            <v>DC111-2FE72</v>
          </cell>
          <cell r="F414" t="str">
            <v>DC111-2FE72</v>
          </cell>
          <cell r="G414">
            <v>124.1</v>
          </cell>
          <cell r="I414">
            <v>2.0100000000000001E-3</v>
          </cell>
          <cell r="J414">
            <v>9.5300000000000003E-3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4.4416666666666667E-3</v>
          </cell>
          <cell r="P414">
            <v>4.8516666666666673E-3</v>
          </cell>
          <cell r="Q414">
            <v>3.6949999999999999E-3</v>
          </cell>
          <cell r="R414">
            <v>1.154E-2</v>
          </cell>
          <cell r="S414">
            <v>1.2988333333333334E-2</v>
          </cell>
          <cell r="T414">
            <v>0</v>
          </cell>
          <cell r="U414">
            <v>0</v>
          </cell>
          <cell r="V414">
            <v>0</v>
          </cell>
          <cell r="W414">
            <v>2.4528333333333333E-2</v>
          </cell>
        </row>
        <row r="415">
          <cell r="D415" t="str">
            <v>DC111-2FK53 F 0201</v>
          </cell>
          <cell r="E415" t="str">
            <v>DC111-2FK53</v>
          </cell>
          <cell r="F415" t="str">
            <v>DC111-2FK53</v>
          </cell>
          <cell r="G415">
            <v>124.1</v>
          </cell>
          <cell r="I415">
            <v>2.0100000000000001E-3</v>
          </cell>
          <cell r="J415">
            <v>9.5300000000000003E-3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4.4416666666666667E-3</v>
          </cell>
          <cell r="P415">
            <v>4.8516666666666673E-3</v>
          </cell>
          <cell r="Q415">
            <v>3.6949999999999999E-3</v>
          </cell>
          <cell r="R415">
            <v>1.154E-2</v>
          </cell>
          <cell r="S415">
            <v>1.2988333333333334E-2</v>
          </cell>
          <cell r="T415">
            <v>0</v>
          </cell>
          <cell r="U415">
            <v>0</v>
          </cell>
          <cell r="V415">
            <v>0</v>
          </cell>
          <cell r="W415">
            <v>2.4528333333333333E-2</v>
          </cell>
        </row>
        <row r="416">
          <cell r="D416" t="str">
            <v>DC111-V3A41 B 0201</v>
          </cell>
          <cell r="E416" t="str">
            <v>DC111-V3A41</v>
          </cell>
          <cell r="F416" t="str">
            <v>DC111-V3A41</v>
          </cell>
          <cell r="G416">
            <v>117.5</v>
          </cell>
          <cell r="I416">
            <v>1.9716666666666667E-3</v>
          </cell>
          <cell r="J416">
            <v>9.5300000000000003E-3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4.4416666666666667E-3</v>
          </cell>
          <cell r="P416">
            <v>4.711666666666667E-3</v>
          </cell>
          <cell r="Q416">
            <v>3.5950000000000001E-3</v>
          </cell>
          <cell r="R416">
            <v>1.1501666666666667E-2</v>
          </cell>
          <cell r="S416">
            <v>1.2748333333333334E-2</v>
          </cell>
          <cell r="T416">
            <v>0</v>
          </cell>
          <cell r="U416">
            <v>0</v>
          </cell>
          <cell r="V416">
            <v>0</v>
          </cell>
          <cell r="W416">
            <v>2.4250000000000001E-2</v>
          </cell>
        </row>
        <row r="417">
          <cell r="D417" t="str">
            <v>DC111-V3881 B 0201</v>
          </cell>
          <cell r="E417" t="str">
            <v>DC111-V3881</v>
          </cell>
          <cell r="F417" t="str">
            <v>DC111-V3881</v>
          </cell>
          <cell r="G417">
            <v>104.1</v>
          </cell>
          <cell r="I417">
            <v>1.8916666666666667E-3</v>
          </cell>
          <cell r="J417">
            <v>9.5300000000000003E-3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4.4416666666666667E-3</v>
          </cell>
          <cell r="P417">
            <v>4.4250000000000001E-3</v>
          </cell>
          <cell r="Q417">
            <v>3.3899999999999998E-3</v>
          </cell>
          <cell r="R417">
            <v>1.1421666666666667E-2</v>
          </cell>
          <cell r="S417">
            <v>1.2256666666666666E-2</v>
          </cell>
          <cell r="T417">
            <v>0</v>
          </cell>
          <cell r="U417">
            <v>0</v>
          </cell>
          <cell r="V417">
            <v>0</v>
          </cell>
          <cell r="W417">
            <v>2.3678333333333332E-2</v>
          </cell>
        </row>
        <row r="418">
          <cell r="D418" t="str">
            <v>DC111-V3650 C 0201</v>
          </cell>
          <cell r="E418" t="str">
            <v>DC111-V3650</v>
          </cell>
          <cell r="F418" t="str">
            <v>DC111-V3650</v>
          </cell>
          <cell r="G418">
            <v>142.1</v>
          </cell>
          <cell r="I418">
            <v>2.1183333333333332E-3</v>
          </cell>
          <cell r="J418">
            <v>5.9316666666666667E-3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3.8433333333333332E-3</v>
          </cell>
          <cell r="P418">
            <v>5.1033333333333339E-3</v>
          </cell>
          <cell r="Q418">
            <v>3.9716666666666667E-3</v>
          </cell>
          <cell r="R418">
            <v>8.0499999999999999E-3</v>
          </cell>
          <cell r="S418">
            <v>1.2918333333333334E-2</v>
          </cell>
          <cell r="T418">
            <v>0</v>
          </cell>
          <cell r="U418">
            <v>0</v>
          </cell>
          <cell r="V418">
            <v>0</v>
          </cell>
          <cell r="W418">
            <v>2.0968333333333332E-2</v>
          </cell>
        </row>
        <row r="419">
          <cell r="D419" t="str">
            <v>BC111-11730-3 B 0001</v>
          </cell>
          <cell r="E419" t="str">
            <v>BC111-11730-3</v>
          </cell>
          <cell r="F419" t="str">
            <v>BC111-11730-3</v>
          </cell>
          <cell r="G419">
            <v>438.9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2.5308333333333332E-2</v>
          </cell>
          <cell r="V419">
            <v>0</v>
          </cell>
          <cell r="W419">
            <v>2.5308333333333332E-2</v>
          </cell>
        </row>
        <row r="420">
          <cell r="D420" t="str">
            <v>BC111-11810-3   2001</v>
          </cell>
          <cell r="E420" t="str">
            <v>BC111-11810-3</v>
          </cell>
          <cell r="F420" t="str">
            <v>BC111-11810-3</v>
          </cell>
          <cell r="G420">
            <v>446.5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2.5421666666666669E-2</v>
          </cell>
          <cell r="V420">
            <v>0</v>
          </cell>
          <cell r="W420">
            <v>2.5421666666666669E-2</v>
          </cell>
        </row>
        <row r="421">
          <cell r="D421" t="str">
            <v>BC111-5A852-2 A 0001</v>
          </cell>
          <cell r="E421" t="str">
            <v>BC111-5A852-2</v>
          </cell>
          <cell r="F421" t="str">
            <v>BC111-5A852-2</v>
          </cell>
          <cell r="G421">
            <v>453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2.5515000000000003E-2</v>
          </cell>
          <cell r="V421">
            <v>0</v>
          </cell>
          <cell r="W421">
            <v>2.5515000000000003E-2</v>
          </cell>
        </row>
        <row r="422">
          <cell r="D422" t="str">
            <v>BC111-5AA02-2 A 0001</v>
          </cell>
          <cell r="E422" t="str">
            <v>BC111-5AA02-2</v>
          </cell>
          <cell r="F422" t="str">
            <v>BC111-5AA02-2</v>
          </cell>
          <cell r="G422">
            <v>455.6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2.5555000000000001E-2</v>
          </cell>
          <cell r="V422">
            <v>0</v>
          </cell>
          <cell r="W422">
            <v>2.5555000000000001E-2</v>
          </cell>
        </row>
        <row r="423">
          <cell r="D423" t="str">
            <v>BC111-5A881-2 A 0001</v>
          </cell>
          <cell r="E423" t="str">
            <v>BC111-5A881-2</v>
          </cell>
          <cell r="F423" t="str">
            <v>BC111-5A881-2</v>
          </cell>
          <cell r="G423">
            <v>454.3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2.5536666666666666E-2</v>
          </cell>
          <cell r="V423">
            <v>0</v>
          </cell>
          <cell r="W423">
            <v>2.5536666666666666E-2</v>
          </cell>
        </row>
        <row r="424">
          <cell r="D424" t="str">
            <v>BC111-1HY10-1 A 1001</v>
          </cell>
          <cell r="E424" t="str">
            <v>BC111-1HY10-1</v>
          </cell>
          <cell r="F424" t="str">
            <v>BC111-1HY10-1</v>
          </cell>
          <cell r="G424">
            <v>144.19999999999999</v>
          </cell>
          <cell r="I424">
            <v>1.7749999999999999E-3</v>
          </cell>
          <cell r="J424">
            <v>9.5300000000000003E-3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4.3616666666666665E-3</v>
          </cell>
          <cell r="P424">
            <v>3.3300000000000001E-3</v>
          </cell>
          <cell r="Q424">
            <v>2.6050000000000001E-3</v>
          </cell>
          <cell r="R424">
            <v>1.1305000000000001E-2</v>
          </cell>
          <cell r="S424">
            <v>1.0296666666666666E-2</v>
          </cell>
          <cell r="T424">
            <v>0</v>
          </cell>
          <cell r="U424">
            <v>0</v>
          </cell>
          <cell r="V424">
            <v>0</v>
          </cell>
          <cell r="W424">
            <v>2.1601666666666665E-2</v>
          </cell>
        </row>
        <row r="425">
          <cell r="D425" t="str">
            <v>BC111-1HY10-2 A 1001</v>
          </cell>
          <cell r="E425" t="str">
            <v>BC111-1HY10-2</v>
          </cell>
          <cell r="F425" t="str">
            <v>BC111-1HY10-2</v>
          </cell>
          <cell r="G425">
            <v>119.6</v>
          </cell>
          <cell r="I425">
            <v>1.6166666666666666E-3</v>
          </cell>
          <cell r="J425">
            <v>9.5300000000000003E-3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4.3616666666666665E-3</v>
          </cell>
          <cell r="P425">
            <v>3.1383333333333333E-3</v>
          </cell>
          <cell r="Q425">
            <v>2.4666666666666665E-3</v>
          </cell>
          <cell r="R425">
            <v>1.1146666666666668E-2</v>
          </cell>
          <cell r="S425">
            <v>9.9666666666666653E-3</v>
          </cell>
          <cell r="T425">
            <v>0</v>
          </cell>
          <cell r="U425">
            <v>0</v>
          </cell>
          <cell r="V425">
            <v>0</v>
          </cell>
          <cell r="W425">
            <v>2.1113333333333331E-2</v>
          </cell>
        </row>
        <row r="426">
          <cell r="D426" t="str">
            <v>BC111-62092-2   3001</v>
          </cell>
          <cell r="E426" t="str">
            <v>BC111-62092-2</v>
          </cell>
          <cell r="F426" t="str">
            <v>BC111-62092-2</v>
          </cell>
          <cell r="G426">
            <v>454.3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2.5536666666666666E-2</v>
          </cell>
          <cell r="V426">
            <v>0</v>
          </cell>
          <cell r="W426">
            <v>2.5536666666666666E-2</v>
          </cell>
        </row>
        <row r="427">
          <cell r="D427" t="str">
            <v>BC111-62062-2   3001</v>
          </cell>
          <cell r="E427" t="str">
            <v>BC111-62062-2</v>
          </cell>
          <cell r="F427" t="str">
            <v>BC111-62062-2</v>
          </cell>
          <cell r="G427">
            <v>454.3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2.5536666666666666E-2</v>
          </cell>
          <cell r="V427">
            <v>0</v>
          </cell>
          <cell r="W427">
            <v>2.5536666666666666E-2</v>
          </cell>
        </row>
        <row r="428">
          <cell r="D428" t="str">
            <v>JN111-62063-3 0002</v>
          </cell>
          <cell r="E428" t="str">
            <v>JN111-62063-3</v>
          </cell>
          <cell r="F428" t="str">
            <v>JN111-62063-3</v>
          </cell>
          <cell r="H428">
            <v>59.1</v>
          </cell>
          <cell r="I428">
            <v>2.5700000000000002E-3</v>
          </cell>
          <cell r="J428">
            <v>1.1366666666666666E-2</v>
          </cell>
          <cell r="K428">
            <v>0</v>
          </cell>
          <cell r="L428">
            <v>2.3699999999999997E-3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1.3936666666666667E-2</v>
          </cell>
          <cell r="S428">
            <v>2.3699999999999997E-3</v>
          </cell>
          <cell r="T428">
            <v>0</v>
          </cell>
          <cell r="U428">
            <v>0</v>
          </cell>
          <cell r="V428">
            <v>0</v>
          </cell>
          <cell r="W428">
            <v>1.6306666666666667E-2</v>
          </cell>
        </row>
        <row r="429">
          <cell r="D429" t="str">
            <v>JN111-62063-4 0002</v>
          </cell>
          <cell r="E429" t="str">
            <v>JN111-62063-4</v>
          </cell>
          <cell r="F429" t="str">
            <v>JN111-62063-4</v>
          </cell>
          <cell r="H429">
            <v>59.1</v>
          </cell>
          <cell r="I429">
            <v>5.7999999999999996E-3</v>
          </cell>
          <cell r="J429">
            <v>1.43E-2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2.01E-2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2.01E-2</v>
          </cell>
        </row>
        <row r="430">
          <cell r="D430" t="str">
            <v>BC111-V1020-1 D 0101</v>
          </cell>
          <cell r="E430" t="str">
            <v>BC111-V1020-1</v>
          </cell>
          <cell r="F430" t="str">
            <v>BC111-V1020-1</v>
          </cell>
          <cell r="G430">
            <v>128.19999999999999</v>
          </cell>
          <cell r="I430">
            <v>1.4683333333333332E-3</v>
          </cell>
          <cell r="J430">
            <v>9.5300000000000003E-3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4.3616666666666665E-3</v>
          </cell>
          <cell r="P430">
            <v>2.9566666666666669E-3</v>
          </cell>
          <cell r="Q430">
            <v>2.3366666666666666E-3</v>
          </cell>
          <cell r="R430">
            <v>1.0998333333333334E-2</v>
          </cell>
          <cell r="S430">
            <v>9.6550000000000004E-3</v>
          </cell>
          <cell r="T430">
            <v>0</v>
          </cell>
          <cell r="U430">
            <v>0</v>
          </cell>
          <cell r="V430">
            <v>0</v>
          </cell>
          <cell r="W430">
            <v>2.0653333333333336E-2</v>
          </cell>
        </row>
        <row r="431">
          <cell r="D431" t="str">
            <v>BC111-V1100-1 G 0201</v>
          </cell>
          <cell r="E431" t="str">
            <v>BC111-V1100-1</v>
          </cell>
          <cell r="F431" t="str">
            <v>BC111-V1100-1</v>
          </cell>
          <cell r="G431">
            <v>136.6</v>
          </cell>
          <cell r="I431">
            <v>1.5083333333333333E-3</v>
          </cell>
          <cell r="J431">
            <v>9.5300000000000003E-3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4.3616666666666665E-3</v>
          </cell>
          <cell r="P431">
            <v>3.0066666666666666E-3</v>
          </cell>
          <cell r="Q431">
            <v>2.3733333333333332E-3</v>
          </cell>
          <cell r="R431">
            <v>1.1038333333333334E-2</v>
          </cell>
          <cell r="S431">
            <v>9.7416666666666658E-3</v>
          </cell>
          <cell r="T431">
            <v>0</v>
          </cell>
          <cell r="U431">
            <v>0</v>
          </cell>
          <cell r="V431">
            <v>0</v>
          </cell>
          <cell r="W431">
            <v>2.078E-2</v>
          </cell>
        </row>
        <row r="432">
          <cell r="D432" t="str">
            <v>BC111-16F01-1 A 0002</v>
          </cell>
          <cell r="E432" t="str">
            <v>BC111-16F01-1</v>
          </cell>
          <cell r="F432" t="str">
            <v>BC111-16F01-1</v>
          </cell>
          <cell r="G432">
            <v>322.7</v>
          </cell>
          <cell r="I432">
            <v>2.7533333333333338E-3</v>
          </cell>
          <cell r="J432">
            <v>9.5300000000000003E-3</v>
          </cell>
          <cell r="K432">
            <v>0</v>
          </cell>
          <cell r="L432">
            <v>2.5883333333333331E-3</v>
          </cell>
          <cell r="M432">
            <v>1.9433333333333332E-3</v>
          </cell>
          <cell r="N432">
            <v>0</v>
          </cell>
          <cell r="O432">
            <v>4.3616666666666665E-3</v>
          </cell>
          <cell r="P432">
            <v>4.1050000000000001E-3</v>
          </cell>
          <cell r="Q432">
            <v>3.16E-3</v>
          </cell>
          <cell r="R432">
            <v>1.2283333333333334E-2</v>
          </cell>
          <cell r="S432">
            <v>1.6158333333333334E-2</v>
          </cell>
          <cell r="T432">
            <v>0</v>
          </cell>
          <cell r="U432">
            <v>0</v>
          </cell>
          <cell r="V432">
            <v>0</v>
          </cell>
          <cell r="W432">
            <v>2.8441666666666667E-2</v>
          </cell>
        </row>
        <row r="433">
          <cell r="D433" t="str">
            <v>BC111-16B41-1 A 0002</v>
          </cell>
          <cell r="E433" t="str">
            <v>BC111-16B41-1</v>
          </cell>
          <cell r="F433" t="str">
            <v>BC111-16B41-1</v>
          </cell>
          <cell r="G433">
            <v>325.60000000000002</v>
          </cell>
          <cell r="I433">
            <v>2.7399999999999998E-3</v>
          </cell>
          <cell r="J433">
            <v>9.5300000000000003E-3</v>
          </cell>
          <cell r="K433">
            <v>0</v>
          </cell>
          <cell r="L433">
            <v>2.463333333333333E-3</v>
          </cell>
          <cell r="M433">
            <v>1.9433333333333332E-3</v>
          </cell>
          <cell r="N433">
            <v>0</v>
          </cell>
          <cell r="O433">
            <v>4.3616666666666665E-3</v>
          </cell>
          <cell r="P433">
            <v>4.1216666666666667E-3</v>
          </cell>
          <cell r="Q433">
            <v>3.1716666666666668E-3</v>
          </cell>
          <cell r="R433">
            <v>1.227E-2</v>
          </cell>
          <cell r="S433">
            <v>1.6061666666666665E-2</v>
          </cell>
          <cell r="T433">
            <v>0</v>
          </cell>
          <cell r="U433">
            <v>0</v>
          </cell>
          <cell r="V433">
            <v>0</v>
          </cell>
          <cell r="W433">
            <v>2.8331666666666665E-2</v>
          </cell>
        </row>
        <row r="434">
          <cell r="D434" t="str">
            <v>BC111-16A40-1 1001</v>
          </cell>
          <cell r="E434" t="str">
            <v>BC111-16A40-1</v>
          </cell>
          <cell r="F434" t="str">
            <v>BC111-16A40-1</v>
          </cell>
          <cell r="G434">
            <v>146</v>
          </cell>
          <cell r="I434">
            <v>1.7849999999999999E-3</v>
          </cell>
          <cell r="J434">
            <v>9.5300000000000003E-3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4.3616666666666665E-3</v>
          </cell>
          <cell r="P434">
            <v>3.3433333333333331E-3</v>
          </cell>
          <cell r="Q434">
            <v>2.6150000000000001E-3</v>
          </cell>
          <cell r="R434">
            <v>1.1315E-2</v>
          </cell>
          <cell r="S434">
            <v>1.0319999999999999E-2</v>
          </cell>
          <cell r="T434">
            <v>0</v>
          </cell>
          <cell r="U434">
            <v>0</v>
          </cell>
          <cell r="V434">
            <v>0</v>
          </cell>
          <cell r="W434">
            <v>2.1635000000000001E-2</v>
          </cell>
        </row>
        <row r="435">
          <cell r="D435" t="str">
            <v>BC111-16A40-2 1001</v>
          </cell>
          <cell r="E435" t="str">
            <v>BC111-16A40-2</v>
          </cell>
          <cell r="F435" t="str">
            <v>BC111-16A40-2</v>
          </cell>
          <cell r="G435">
            <v>122.9</v>
          </cell>
          <cell r="I435">
            <v>1.6383333333333332E-3</v>
          </cell>
          <cell r="J435">
            <v>9.5300000000000003E-3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4.3616666666666665E-3</v>
          </cell>
          <cell r="P435">
            <v>3.1650000000000003E-3</v>
          </cell>
          <cell r="Q435">
            <v>2.4866666666666665E-3</v>
          </cell>
          <cell r="R435">
            <v>1.1168333333333334E-2</v>
          </cell>
          <cell r="S435">
            <v>1.0013333333333332E-2</v>
          </cell>
          <cell r="T435">
            <v>0</v>
          </cell>
          <cell r="U435">
            <v>0</v>
          </cell>
          <cell r="V435">
            <v>0</v>
          </cell>
          <cell r="W435">
            <v>2.1181666666666668E-2</v>
          </cell>
        </row>
        <row r="436">
          <cell r="D436" t="str">
            <v>BC111-16D11-1 A 0002</v>
          </cell>
          <cell r="E436" t="str">
            <v>BC111-16D11-1</v>
          </cell>
          <cell r="F436" t="str">
            <v>BC111-16D11-1</v>
          </cell>
          <cell r="G436">
            <v>182.8</v>
          </cell>
          <cell r="I436">
            <v>2.241666666666667E-3</v>
          </cell>
          <cell r="J436">
            <v>9.5300000000000003E-3</v>
          </cell>
          <cell r="K436">
            <v>0</v>
          </cell>
          <cell r="L436">
            <v>3.3516666666666669E-3</v>
          </cell>
          <cell r="M436">
            <v>1.9433333333333332E-3</v>
          </cell>
          <cell r="N436">
            <v>0</v>
          </cell>
          <cell r="O436">
            <v>4.3616666666666665E-3</v>
          </cell>
          <cell r="P436">
            <v>3.2783333333333336E-3</v>
          </cell>
          <cell r="Q436">
            <v>2.5683333333333331E-3</v>
          </cell>
          <cell r="R436">
            <v>1.1771666666666666E-2</v>
          </cell>
          <cell r="S436">
            <v>1.5503333333333334E-2</v>
          </cell>
          <cell r="T436">
            <v>0</v>
          </cell>
          <cell r="U436">
            <v>0</v>
          </cell>
          <cell r="V436">
            <v>0</v>
          </cell>
          <cell r="W436">
            <v>2.7275000000000001E-2</v>
          </cell>
        </row>
        <row r="437">
          <cell r="D437" t="str">
            <v>BC111-4EW40-1 C 0001</v>
          </cell>
          <cell r="E437" t="str">
            <v>BC111-4EW40-1</v>
          </cell>
          <cell r="F437" t="str">
            <v>BC111-4EW40-1</v>
          </cell>
          <cell r="G437">
            <v>321.39999999999998</v>
          </cell>
          <cell r="I437">
            <v>2.7366666666666668E-3</v>
          </cell>
          <cell r="J437">
            <v>9.5300000000000003E-3</v>
          </cell>
          <cell r="K437">
            <v>0</v>
          </cell>
          <cell r="L437">
            <v>2.5416666666666665E-3</v>
          </cell>
          <cell r="M437">
            <v>1.9433333333333332E-3</v>
          </cell>
          <cell r="N437">
            <v>0</v>
          </cell>
          <cell r="O437">
            <v>4.3616666666666665E-3</v>
          </cell>
          <cell r="P437">
            <v>4.0966666666666669E-3</v>
          </cell>
          <cell r="Q437">
            <v>3.1549999999999998E-3</v>
          </cell>
          <cell r="R437">
            <v>1.2266666666666667E-2</v>
          </cell>
          <cell r="S437">
            <v>1.6098333333333333E-2</v>
          </cell>
          <cell r="T437">
            <v>0</v>
          </cell>
          <cell r="U437">
            <v>0</v>
          </cell>
          <cell r="V437">
            <v>0</v>
          </cell>
          <cell r="W437">
            <v>2.8365000000000001E-2</v>
          </cell>
        </row>
        <row r="438">
          <cell r="D438" t="str">
            <v>BC111-4EB50-1 C 0001</v>
          </cell>
          <cell r="E438" t="str">
            <v>BC111-4EB50-1</v>
          </cell>
          <cell r="F438" t="str">
            <v>BC111-4EB50-1</v>
          </cell>
          <cell r="G438">
            <v>182.8</v>
          </cell>
          <cell r="I438">
            <v>2.2383333333333335E-3</v>
          </cell>
          <cell r="J438">
            <v>9.5300000000000003E-3</v>
          </cell>
          <cell r="K438">
            <v>0</v>
          </cell>
          <cell r="L438">
            <v>3.3366666666666666E-3</v>
          </cell>
          <cell r="M438">
            <v>1.9433333333333332E-3</v>
          </cell>
          <cell r="N438">
            <v>0</v>
          </cell>
          <cell r="O438">
            <v>4.3616666666666665E-3</v>
          </cell>
          <cell r="P438">
            <v>3.2783333333333336E-3</v>
          </cell>
          <cell r="Q438">
            <v>2.5683333333333331E-3</v>
          </cell>
          <cell r="R438">
            <v>1.1768333333333334E-2</v>
          </cell>
          <cell r="S438">
            <v>1.5488333333333333E-2</v>
          </cell>
          <cell r="T438">
            <v>0</v>
          </cell>
          <cell r="U438">
            <v>0</v>
          </cell>
          <cell r="V438">
            <v>0</v>
          </cell>
          <cell r="W438">
            <v>2.7256666666666665E-2</v>
          </cell>
        </row>
        <row r="439">
          <cell r="D439" t="str">
            <v>BC111-4EE80-1 C 0001</v>
          </cell>
          <cell r="E439" t="str">
            <v>BC111-4EE80-1</v>
          </cell>
          <cell r="F439" t="str">
            <v>BC111-4EE80-1</v>
          </cell>
          <cell r="G439">
            <v>323.5</v>
          </cell>
          <cell r="I439">
            <v>2.7300000000000002E-3</v>
          </cell>
          <cell r="J439">
            <v>9.5300000000000003E-3</v>
          </cell>
          <cell r="K439">
            <v>0</v>
          </cell>
          <cell r="L439">
            <v>2.463333333333333E-3</v>
          </cell>
          <cell r="M439">
            <v>1.9433333333333332E-3</v>
          </cell>
          <cell r="N439">
            <v>0</v>
          </cell>
          <cell r="O439">
            <v>4.3616666666666665E-3</v>
          </cell>
          <cell r="P439">
            <v>4.1099999999999999E-3</v>
          </cell>
          <cell r="Q439">
            <v>3.1633333333333331E-3</v>
          </cell>
          <cell r="R439">
            <v>1.226E-2</v>
          </cell>
          <cell r="S439">
            <v>1.6041666666666666E-2</v>
          </cell>
          <cell r="T439">
            <v>0</v>
          </cell>
          <cell r="U439">
            <v>0</v>
          </cell>
          <cell r="V439">
            <v>0</v>
          </cell>
          <cell r="W439">
            <v>2.8301666666666666E-2</v>
          </cell>
        </row>
        <row r="440">
          <cell r="D440" t="str">
            <v>BC111-47V60-1 C 0001</v>
          </cell>
          <cell r="E440" t="str">
            <v>BC111-47V60-1</v>
          </cell>
          <cell r="F440" t="str">
            <v>BC111-47V60-1</v>
          </cell>
          <cell r="G440">
            <v>182.8</v>
          </cell>
          <cell r="I440">
            <v>2.2383333333333335E-3</v>
          </cell>
          <cell r="J440">
            <v>9.5300000000000003E-3</v>
          </cell>
          <cell r="K440">
            <v>0</v>
          </cell>
          <cell r="L440">
            <v>3.3366666666666666E-3</v>
          </cell>
          <cell r="M440">
            <v>1.9433333333333332E-3</v>
          </cell>
          <cell r="N440">
            <v>0</v>
          </cell>
          <cell r="O440">
            <v>4.3616666666666665E-3</v>
          </cell>
          <cell r="P440">
            <v>3.2783333333333336E-3</v>
          </cell>
          <cell r="Q440">
            <v>2.5683333333333331E-3</v>
          </cell>
          <cell r="R440">
            <v>1.1768333333333334E-2</v>
          </cell>
          <cell r="S440">
            <v>1.5488333333333333E-2</v>
          </cell>
          <cell r="T440">
            <v>0</v>
          </cell>
          <cell r="U440">
            <v>0</v>
          </cell>
          <cell r="V440">
            <v>0</v>
          </cell>
          <cell r="W440">
            <v>2.7256666666666665E-2</v>
          </cell>
        </row>
        <row r="441">
          <cell r="E441" t="str">
            <v>82115-0E501</v>
          </cell>
          <cell r="F441" t="str">
            <v>82115-0E501</v>
          </cell>
          <cell r="G441">
            <v>3574.9</v>
          </cell>
          <cell r="H441">
            <v>441.21339999999998</v>
          </cell>
          <cell r="I441">
            <v>0.25800499999999998</v>
          </cell>
          <cell r="J441">
            <v>0.36923833333333334</v>
          </cell>
          <cell r="K441">
            <v>5.5018333333333329E-2</v>
          </cell>
          <cell r="L441">
            <v>0.63734166666666658</v>
          </cell>
          <cell r="M441">
            <v>1.9630066666666666</v>
          </cell>
          <cell r="N441">
            <v>5.364E-2</v>
          </cell>
          <cell r="O441">
            <v>0.23075000000000001</v>
          </cell>
          <cell r="P441">
            <v>0.22451499999999999</v>
          </cell>
          <cell r="Q441">
            <v>0.12834333333333334</v>
          </cell>
          <cell r="R441">
            <v>0.68226166666666666</v>
          </cell>
          <cell r="S441">
            <v>3.2375966666666667</v>
          </cell>
          <cell r="T441">
            <v>0</v>
          </cell>
          <cell r="U441">
            <v>4.1374999999999995E-2</v>
          </cell>
          <cell r="V441">
            <v>0.19007666666666667</v>
          </cell>
          <cell r="W441">
            <v>4.1513100000000005</v>
          </cell>
        </row>
        <row r="442">
          <cell r="E442" t="str">
            <v>82115-0E511</v>
          </cell>
          <cell r="F442" t="str">
            <v>82115-0E511</v>
          </cell>
          <cell r="G442">
            <v>3639.1</v>
          </cell>
          <cell r="H442">
            <v>443.28470000000004</v>
          </cell>
          <cell r="I442">
            <v>0.26297999999999999</v>
          </cell>
          <cell r="J442">
            <v>0.38032833333333332</v>
          </cell>
          <cell r="K442">
            <v>5.9901666666666666E-2</v>
          </cell>
          <cell r="L442">
            <v>0.64898333333333336</v>
          </cell>
          <cell r="M442">
            <v>1.9851433333333333</v>
          </cell>
          <cell r="N442">
            <v>5.3884999999999995E-2</v>
          </cell>
          <cell r="O442">
            <v>0.23672000000000001</v>
          </cell>
          <cell r="P442">
            <v>0.22606833333333334</v>
          </cell>
          <cell r="Q442">
            <v>0.12918333333333334</v>
          </cell>
          <cell r="R442">
            <v>0.70321</v>
          </cell>
          <cell r="S442">
            <v>3.2799833333333335</v>
          </cell>
          <cell r="T442">
            <v>0</v>
          </cell>
          <cell r="U442">
            <v>4.1374999999999995E-2</v>
          </cell>
          <cell r="V442">
            <v>0.19007666666666667</v>
          </cell>
          <cell r="W442">
            <v>4.2146450000000009</v>
          </cell>
        </row>
        <row r="443">
          <cell r="E443" t="str">
            <v>82115-0E521</v>
          </cell>
          <cell r="F443" t="str">
            <v>82115-0E521</v>
          </cell>
          <cell r="G443">
            <v>3665.8</v>
          </cell>
          <cell r="H443">
            <v>457.13</v>
          </cell>
          <cell r="I443">
            <v>0.27259666666666665</v>
          </cell>
          <cell r="J443">
            <v>0.40406666666666669</v>
          </cell>
          <cell r="K443">
            <v>5.9901666666666666E-2</v>
          </cell>
          <cell r="L443">
            <v>0.66907666666666665</v>
          </cell>
          <cell r="M443">
            <v>2.0309349999999999</v>
          </cell>
          <cell r="N443">
            <v>5.4115000000000003E-2</v>
          </cell>
          <cell r="O443">
            <v>0.23862666666666668</v>
          </cell>
          <cell r="P443">
            <v>0.22746833333333333</v>
          </cell>
          <cell r="Q443">
            <v>0.13008333333333333</v>
          </cell>
          <cell r="R443">
            <v>0.73656500000000003</v>
          </cell>
          <cell r="S443">
            <v>3.3503050000000001</v>
          </cell>
          <cell r="T443">
            <v>0</v>
          </cell>
          <cell r="U443">
            <v>4.1374999999999995E-2</v>
          </cell>
          <cell r="V443">
            <v>0.19007666666666667</v>
          </cell>
          <cell r="W443">
            <v>4.3183216666666677</v>
          </cell>
        </row>
        <row r="444">
          <cell r="E444" t="str">
            <v>82115-0E531</v>
          </cell>
          <cell r="F444" t="str">
            <v>82115-0E531</v>
          </cell>
          <cell r="G444">
            <v>3862.2</v>
          </cell>
          <cell r="H444">
            <v>454.15779999999995</v>
          </cell>
          <cell r="I444">
            <v>0.28455999999999998</v>
          </cell>
          <cell r="J444">
            <v>0.43809166666666666</v>
          </cell>
          <cell r="K444">
            <v>5.9901666666666666E-2</v>
          </cell>
          <cell r="L444">
            <v>0.69162666666666661</v>
          </cell>
          <cell r="M444">
            <v>2.0515150000000002</v>
          </cell>
          <cell r="N444">
            <v>5.4115000000000003E-2</v>
          </cell>
          <cell r="O444">
            <v>0.23942666666666668</v>
          </cell>
          <cell r="P444">
            <v>0.22746833333333333</v>
          </cell>
          <cell r="Q444">
            <v>0.13008333333333333</v>
          </cell>
          <cell r="R444">
            <v>0.78255333333333332</v>
          </cell>
          <cell r="S444">
            <v>3.3942350000000001</v>
          </cell>
          <cell r="T444">
            <v>0</v>
          </cell>
          <cell r="U444">
            <v>4.1374999999999995E-2</v>
          </cell>
          <cell r="V444">
            <v>0.19007666666666667</v>
          </cell>
          <cell r="W444">
            <v>4.408240000000001</v>
          </cell>
        </row>
        <row r="445">
          <cell r="E445" t="str">
            <v>82115-0E541</v>
          </cell>
          <cell r="F445" t="str">
            <v>82115-0E541</v>
          </cell>
          <cell r="G445">
            <v>3854.4</v>
          </cell>
          <cell r="H445">
            <v>460.04690000000005</v>
          </cell>
          <cell r="I445">
            <v>0.27587166666666663</v>
          </cell>
          <cell r="J445">
            <v>0.40318166666666666</v>
          </cell>
          <cell r="K445">
            <v>5.7224999999999998E-2</v>
          </cell>
          <cell r="L445">
            <v>0.71835666666666664</v>
          </cell>
          <cell r="M445">
            <v>2.0697283333333334</v>
          </cell>
          <cell r="N445">
            <v>5.4115000000000003E-2</v>
          </cell>
          <cell r="O445">
            <v>0.23942833333333333</v>
          </cell>
          <cell r="P445">
            <v>0.22524166666666667</v>
          </cell>
          <cell r="Q445">
            <v>0.13025499999999998</v>
          </cell>
          <cell r="R445">
            <v>0.73627833333333326</v>
          </cell>
          <cell r="S445">
            <v>3.437125</v>
          </cell>
          <cell r="T445">
            <v>0</v>
          </cell>
          <cell r="U445">
            <v>4.1374999999999995E-2</v>
          </cell>
          <cell r="V445">
            <v>0.17428666666666667</v>
          </cell>
          <cell r="W445">
            <v>4.3890649999999996</v>
          </cell>
        </row>
        <row r="446">
          <cell r="E446" t="str">
            <v>82115-0E551</v>
          </cell>
          <cell r="F446" t="str">
            <v>82115-0E551</v>
          </cell>
          <cell r="G446">
            <v>3881.1</v>
          </cell>
          <cell r="H446">
            <v>473.8922</v>
          </cell>
          <cell r="I446">
            <v>0.28548833333333334</v>
          </cell>
          <cell r="J446">
            <v>0.42691833333333334</v>
          </cell>
          <cell r="K446">
            <v>5.7224999999999998E-2</v>
          </cell>
          <cell r="L446">
            <v>0.73845000000000005</v>
          </cell>
          <cell r="M446">
            <v>2.1158516666666665</v>
          </cell>
          <cell r="N446">
            <v>5.4340000000000006E-2</v>
          </cell>
          <cell r="O446">
            <v>0.24133333333333334</v>
          </cell>
          <cell r="P446">
            <v>0.226635</v>
          </cell>
          <cell r="Q446">
            <v>0.13115499999999999</v>
          </cell>
          <cell r="R446">
            <v>0.7696316666666666</v>
          </cell>
          <cell r="S446">
            <v>3.5077649999999996</v>
          </cell>
          <cell r="T446">
            <v>0</v>
          </cell>
          <cell r="U446">
            <v>4.1374999999999995E-2</v>
          </cell>
          <cell r="V446">
            <v>0.17428666666666667</v>
          </cell>
          <cell r="W446">
            <v>4.4930583333333329</v>
          </cell>
        </row>
        <row r="447">
          <cell r="E447" t="str">
            <v>82115-0E561</v>
          </cell>
          <cell r="F447" t="str">
            <v>82115-0E561</v>
          </cell>
          <cell r="G447">
            <v>4077.5</v>
          </cell>
          <cell r="H447">
            <v>470.91999999999996</v>
          </cell>
          <cell r="I447">
            <v>0.29745166666666667</v>
          </cell>
          <cell r="J447">
            <v>0.46094499999999999</v>
          </cell>
          <cell r="K447">
            <v>5.7224999999999998E-2</v>
          </cell>
          <cell r="L447">
            <v>0.7609999999999999</v>
          </cell>
          <cell r="M447">
            <v>2.1363316666666665</v>
          </cell>
          <cell r="N447">
            <v>5.4340000000000006E-2</v>
          </cell>
          <cell r="O447">
            <v>0.24213333333333334</v>
          </cell>
          <cell r="P447">
            <v>0.226635</v>
          </cell>
          <cell r="Q447">
            <v>0.13115499999999999</v>
          </cell>
          <cell r="R447">
            <v>0.81562166666666658</v>
          </cell>
          <cell r="S447">
            <v>3.5515949999999994</v>
          </cell>
          <cell r="T447">
            <v>0</v>
          </cell>
          <cell r="U447">
            <v>4.1374999999999995E-2</v>
          </cell>
          <cell r="V447">
            <v>0.17428666666666667</v>
          </cell>
          <cell r="W447">
            <v>4.5828783333333325</v>
          </cell>
        </row>
        <row r="448">
          <cell r="E448" t="str">
            <v>82115-0E571</v>
          </cell>
          <cell r="F448" t="str">
            <v>82115-0E571</v>
          </cell>
          <cell r="G448">
            <v>4117.5</v>
          </cell>
          <cell r="H448">
            <v>351.19409999999999</v>
          </cell>
          <cell r="I448">
            <v>0.32768999999999998</v>
          </cell>
          <cell r="J448">
            <v>0.60646999999999995</v>
          </cell>
          <cell r="K448">
            <v>0.10910499999999999</v>
          </cell>
          <cell r="L448">
            <v>0.83835166666666661</v>
          </cell>
          <cell r="M448">
            <v>2.0613416666666664</v>
          </cell>
          <cell r="N448">
            <v>6.0940000000000001E-2</v>
          </cell>
          <cell r="O448">
            <v>0.27041999999999999</v>
          </cell>
          <cell r="P448">
            <v>0.23507666666666666</v>
          </cell>
          <cell r="Q448">
            <v>0.12552166666666667</v>
          </cell>
          <cell r="R448">
            <v>1.0432649999999999</v>
          </cell>
          <cell r="S448">
            <v>3.5916516666666665</v>
          </cell>
          <cell r="T448">
            <v>0</v>
          </cell>
          <cell r="U448">
            <v>3.0046666666666666E-2</v>
          </cell>
          <cell r="V448">
            <v>0.195495</v>
          </cell>
          <cell r="W448">
            <v>4.8604583333333329</v>
          </cell>
        </row>
        <row r="449">
          <cell r="E449" t="str">
            <v>82115-0E581</v>
          </cell>
          <cell r="F449" t="str">
            <v>82115-0E581</v>
          </cell>
          <cell r="G449">
            <v>4144.1000000000004</v>
          </cell>
          <cell r="H449">
            <v>364.72910000000002</v>
          </cell>
          <cell r="I449">
            <v>0.33743166666666663</v>
          </cell>
          <cell r="J449">
            <v>0.63015166666666667</v>
          </cell>
          <cell r="K449">
            <v>0.10910499999999999</v>
          </cell>
          <cell r="L449">
            <v>0.85844500000000001</v>
          </cell>
          <cell r="M449">
            <v>2.118125</v>
          </cell>
          <cell r="N449">
            <v>6.1165000000000004E-2</v>
          </cell>
          <cell r="O449">
            <v>0.27232500000000004</v>
          </cell>
          <cell r="P449">
            <v>0.23647166666666666</v>
          </cell>
          <cell r="Q449">
            <v>0.12642166666666668</v>
          </cell>
          <cell r="R449">
            <v>1.0766883333333332</v>
          </cell>
          <cell r="S449">
            <v>3.6729533333333335</v>
          </cell>
          <cell r="T449">
            <v>0</v>
          </cell>
          <cell r="U449">
            <v>3.0046666666666666E-2</v>
          </cell>
          <cell r="V449">
            <v>0.195495</v>
          </cell>
          <cell r="W449">
            <v>4.9751833333333337</v>
          </cell>
        </row>
        <row r="450">
          <cell r="E450" t="str">
            <v>82115-0E591</v>
          </cell>
          <cell r="F450" t="str">
            <v>82115-0E591</v>
          </cell>
          <cell r="G450">
            <v>4254.1000000000004</v>
          </cell>
          <cell r="H450">
            <v>364.72910000000002</v>
          </cell>
          <cell r="I450">
            <v>0.34790500000000002</v>
          </cell>
          <cell r="J450">
            <v>0.66713333333333336</v>
          </cell>
          <cell r="K450">
            <v>0.10910499999999999</v>
          </cell>
          <cell r="L450">
            <v>0.87732833333333327</v>
          </cell>
          <cell r="M450">
            <v>2.1335033333333331</v>
          </cell>
          <cell r="N450">
            <v>6.1165000000000004E-2</v>
          </cell>
          <cell r="O450">
            <v>0.27296500000000001</v>
          </cell>
          <cell r="P450">
            <v>0.23647166666666666</v>
          </cell>
          <cell r="Q450">
            <v>0.12642166666666668</v>
          </cell>
          <cell r="R450">
            <v>1.1241433333333335</v>
          </cell>
          <cell r="S450">
            <v>3.7078549999999999</v>
          </cell>
          <cell r="T450">
            <v>0</v>
          </cell>
          <cell r="U450">
            <v>3.0046666666666666E-2</v>
          </cell>
          <cell r="V450">
            <v>0.195495</v>
          </cell>
          <cell r="W450">
            <v>5.0575399999999995</v>
          </cell>
        </row>
        <row r="451">
          <cell r="E451" t="str">
            <v>82115-0E601</v>
          </cell>
          <cell r="F451" t="str">
            <v>82115-0E601</v>
          </cell>
          <cell r="G451">
            <v>4333.3</v>
          </cell>
          <cell r="H451">
            <v>368.07810000000001</v>
          </cell>
          <cell r="I451">
            <v>0.34073666666666663</v>
          </cell>
          <cell r="J451">
            <v>0.62943333333333329</v>
          </cell>
          <cell r="K451">
            <v>0.10642833333333333</v>
          </cell>
          <cell r="L451">
            <v>0.907725</v>
          </cell>
          <cell r="M451">
            <v>2.1570583333333331</v>
          </cell>
          <cell r="N451">
            <v>6.1165000000000004E-2</v>
          </cell>
          <cell r="O451">
            <v>0.27312666666666663</v>
          </cell>
          <cell r="P451">
            <v>0.23424500000000001</v>
          </cell>
          <cell r="Q451">
            <v>0.12659166666666669</v>
          </cell>
          <cell r="R451">
            <v>1.0765983333333333</v>
          </cell>
          <cell r="S451">
            <v>3.7599116666666665</v>
          </cell>
          <cell r="T451">
            <v>0</v>
          </cell>
          <cell r="U451">
            <v>3.0046666666666666E-2</v>
          </cell>
          <cell r="V451">
            <v>0.17647166666666667</v>
          </cell>
          <cell r="W451">
            <v>5.043028333333333</v>
          </cell>
        </row>
        <row r="452">
          <cell r="E452" t="str">
            <v>82115-0E611</v>
          </cell>
          <cell r="F452" t="str">
            <v>82115-0E611</v>
          </cell>
          <cell r="G452">
            <v>4359.8999999999996</v>
          </cell>
          <cell r="H452">
            <v>381.61309999999997</v>
          </cell>
          <cell r="I452">
            <v>0.35033500000000001</v>
          </cell>
          <cell r="J452">
            <v>0.653115</v>
          </cell>
          <cell r="K452">
            <v>0.10642833333333333</v>
          </cell>
          <cell r="L452">
            <v>0.9278183333333333</v>
          </cell>
          <cell r="M452">
            <v>2.2027450000000002</v>
          </cell>
          <cell r="N452">
            <v>6.1389999999999993E-2</v>
          </cell>
          <cell r="O452">
            <v>0.27503166666666667</v>
          </cell>
          <cell r="P452">
            <v>0.23563833333333331</v>
          </cell>
          <cell r="Q452">
            <v>0.12749333333333335</v>
          </cell>
          <cell r="R452">
            <v>1.1098783333333333</v>
          </cell>
          <cell r="S452">
            <v>3.8301166666666662</v>
          </cell>
          <cell r="T452">
            <v>0</v>
          </cell>
          <cell r="U452">
            <v>3.0046666666666666E-2</v>
          </cell>
          <cell r="V452">
            <v>0.17647166666666667</v>
          </cell>
          <cell r="W452">
            <v>5.1465133333333331</v>
          </cell>
        </row>
        <row r="453">
          <cell r="E453" t="str">
            <v>82115-0E621</v>
          </cell>
          <cell r="F453" t="str">
            <v>82115-0E621</v>
          </cell>
          <cell r="G453">
            <v>4469.8999999999996</v>
          </cell>
          <cell r="H453">
            <v>381.61309999999997</v>
          </cell>
          <cell r="I453">
            <v>0.36080999999999996</v>
          </cell>
          <cell r="J453">
            <v>0.69009833333333337</v>
          </cell>
          <cell r="K453">
            <v>0.10642833333333333</v>
          </cell>
          <cell r="L453">
            <v>0.94670166666666666</v>
          </cell>
          <cell r="M453">
            <v>2.2180266666666668</v>
          </cell>
          <cell r="N453">
            <v>6.1389999999999993E-2</v>
          </cell>
          <cell r="O453">
            <v>0.27567166666666665</v>
          </cell>
          <cell r="P453">
            <v>0.23563833333333331</v>
          </cell>
          <cell r="Q453">
            <v>0.12749333333333335</v>
          </cell>
          <cell r="R453">
            <v>1.1573366666666667</v>
          </cell>
          <cell r="S453">
            <v>3.8649216666666666</v>
          </cell>
          <cell r="T453">
            <v>0</v>
          </cell>
          <cell r="U453">
            <v>3.0046666666666666E-2</v>
          </cell>
          <cell r="V453">
            <v>0.17647166666666667</v>
          </cell>
          <cell r="W453">
            <v>5.2287766666666666</v>
          </cell>
        </row>
        <row r="454">
          <cell r="E454" t="str">
            <v>82115-0EA21</v>
          </cell>
          <cell r="F454" t="str">
            <v>82115-0EA21</v>
          </cell>
          <cell r="G454">
            <v>3835.6</v>
          </cell>
          <cell r="H454">
            <v>440.3125</v>
          </cell>
          <cell r="I454">
            <v>0.27494333333333337</v>
          </cell>
          <cell r="J454">
            <v>0.41435499999999997</v>
          </cell>
          <cell r="K454">
            <v>5.9901666666666666E-2</v>
          </cell>
          <cell r="L454">
            <v>0.67153333333333332</v>
          </cell>
          <cell r="M454">
            <v>2.0057233333333335</v>
          </cell>
          <cell r="N454">
            <v>5.3884999999999995E-2</v>
          </cell>
          <cell r="O454">
            <v>0.23752000000000001</v>
          </cell>
          <cell r="P454">
            <v>0.22606833333333334</v>
          </cell>
          <cell r="Q454">
            <v>0.12918333333333334</v>
          </cell>
          <cell r="R454">
            <v>0.74919999999999998</v>
          </cell>
          <cell r="S454">
            <v>3.3239133333333335</v>
          </cell>
          <cell r="T454">
            <v>0</v>
          </cell>
          <cell r="U454">
            <v>4.1374999999999995E-2</v>
          </cell>
          <cell r="V454">
            <v>0.19007666666666667</v>
          </cell>
          <cell r="W454">
            <v>4.3045650000000002</v>
          </cell>
        </row>
        <row r="455">
          <cell r="E455" t="str">
            <v>82115-0EA31</v>
          </cell>
          <cell r="F455" t="str">
            <v>82115-0EA31</v>
          </cell>
          <cell r="G455">
            <v>4050.9</v>
          </cell>
          <cell r="H455">
            <v>457.07470000000001</v>
          </cell>
          <cell r="I455">
            <v>0.28783500000000001</v>
          </cell>
          <cell r="J455">
            <v>0.43720833333333337</v>
          </cell>
          <cell r="K455">
            <v>5.7224999999999998E-2</v>
          </cell>
          <cell r="L455">
            <v>0.74090666666666671</v>
          </cell>
          <cell r="M455">
            <v>2.0902099999999999</v>
          </cell>
          <cell r="N455">
            <v>5.4115000000000003E-2</v>
          </cell>
          <cell r="O455">
            <v>0.24022833333333335</v>
          </cell>
          <cell r="P455">
            <v>0.22524166666666667</v>
          </cell>
          <cell r="Q455">
            <v>0.13025499999999998</v>
          </cell>
          <cell r="R455">
            <v>0.78226833333333334</v>
          </cell>
          <cell r="S455">
            <v>3.4809566666666667</v>
          </cell>
          <cell r="T455">
            <v>0</v>
          </cell>
          <cell r="U455">
            <v>4.1374999999999995E-2</v>
          </cell>
          <cell r="V455">
            <v>0.17428666666666667</v>
          </cell>
          <cell r="W455">
            <v>4.4788866666666669</v>
          </cell>
        </row>
        <row r="456">
          <cell r="E456" t="str">
            <v>82115-0EA41</v>
          </cell>
          <cell r="F456" t="str">
            <v>82115-0EA41</v>
          </cell>
          <cell r="G456">
            <v>4227.5</v>
          </cell>
          <cell r="H456">
            <v>351.19409999999999</v>
          </cell>
          <cell r="I456">
            <v>0.33816499999999999</v>
          </cell>
          <cell r="J456">
            <v>0.64345333333333332</v>
          </cell>
          <cell r="K456">
            <v>0.10910499999999999</v>
          </cell>
          <cell r="L456">
            <v>0.85723499999999997</v>
          </cell>
          <cell r="M456">
            <v>2.0767199999999999</v>
          </cell>
          <cell r="N456">
            <v>6.0940000000000001E-2</v>
          </cell>
          <cell r="O456">
            <v>0.27106000000000002</v>
          </cell>
          <cell r="P456">
            <v>0.23507666666666666</v>
          </cell>
          <cell r="Q456">
            <v>0.12552166666666667</v>
          </cell>
          <cell r="R456">
            <v>1.0907233333333333</v>
          </cell>
          <cell r="S456">
            <v>3.6265533333333333</v>
          </cell>
          <cell r="T456">
            <v>0</v>
          </cell>
          <cell r="U456">
            <v>3.0046666666666666E-2</v>
          </cell>
          <cell r="V456">
            <v>0.195495</v>
          </cell>
          <cell r="W456">
            <v>4.9428183333333333</v>
          </cell>
        </row>
        <row r="457">
          <cell r="E457" t="str">
            <v>82115-0EA51</v>
          </cell>
          <cell r="F457" t="str">
            <v>82115-0EA51</v>
          </cell>
          <cell r="G457">
            <v>4113.2</v>
          </cell>
          <cell r="H457">
            <v>351.19409999999999</v>
          </cell>
          <cell r="I457">
            <v>0.32705000000000001</v>
          </cell>
          <cell r="J457">
            <v>0.60646999999999995</v>
          </cell>
          <cell r="K457">
            <v>0.10910499999999999</v>
          </cell>
          <cell r="L457">
            <v>0.83743499999999993</v>
          </cell>
          <cell r="M457">
            <v>2.060235</v>
          </cell>
          <cell r="N457">
            <v>6.0940000000000001E-2</v>
          </cell>
          <cell r="O457">
            <v>0.26942333333333335</v>
          </cell>
          <cell r="P457">
            <v>0.23494166666666669</v>
          </cell>
          <cell r="Q457">
            <v>0.12552166666666667</v>
          </cell>
          <cell r="R457">
            <v>1.0426249999999999</v>
          </cell>
          <cell r="S457">
            <v>3.5884966666666669</v>
          </cell>
          <cell r="T457">
            <v>0</v>
          </cell>
          <cell r="U457">
            <v>3.0046666666666666E-2</v>
          </cell>
          <cell r="V457">
            <v>0.195495</v>
          </cell>
          <cell r="W457">
            <v>4.8566633333333336</v>
          </cell>
        </row>
        <row r="458">
          <cell r="E458" t="str">
            <v>82115-0EA61</v>
          </cell>
          <cell r="F458" t="str">
            <v>82115-0EA61</v>
          </cell>
          <cell r="G458">
            <v>4201.7</v>
          </cell>
          <cell r="H458">
            <v>351.19409999999999</v>
          </cell>
          <cell r="I458">
            <v>0.33561999999999997</v>
          </cell>
          <cell r="J458">
            <v>0.63470833333333343</v>
          </cell>
          <cell r="K458">
            <v>0.10910499999999999</v>
          </cell>
          <cell r="L458">
            <v>0.85463166666666668</v>
          </cell>
          <cell r="M458">
            <v>2.0733133333333331</v>
          </cell>
          <cell r="N458">
            <v>6.0940000000000001E-2</v>
          </cell>
          <cell r="O458">
            <v>0.26998333333333335</v>
          </cell>
          <cell r="P458">
            <v>0.23494166666666669</v>
          </cell>
          <cell r="Q458">
            <v>0.12552166666666667</v>
          </cell>
          <cell r="R458">
            <v>1.0794333333333335</v>
          </cell>
          <cell r="S458">
            <v>3.6193316666666666</v>
          </cell>
          <cell r="T458">
            <v>0</v>
          </cell>
          <cell r="U458">
            <v>3.0046666666666666E-2</v>
          </cell>
          <cell r="V458">
            <v>0.195495</v>
          </cell>
          <cell r="W458">
            <v>4.9243066666666664</v>
          </cell>
        </row>
        <row r="459">
          <cell r="E459" t="str">
            <v>82115-0EA71</v>
          </cell>
          <cell r="F459" t="str">
            <v>82115-0EA71</v>
          </cell>
          <cell r="G459">
            <v>4443.3</v>
          </cell>
          <cell r="H459">
            <v>368.07810000000001</v>
          </cell>
          <cell r="I459">
            <v>0.35121000000000002</v>
          </cell>
          <cell r="J459">
            <v>0.66641666666666666</v>
          </cell>
          <cell r="K459">
            <v>0.10642833333333333</v>
          </cell>
          <cell r="L459">
            <v>0.92660833333333337</v>
          </cell>
          <cell r="M459">
            <v>2.1723383333333337</v>
          </cell>
          <cell r="N459">
            <v>6.1165000000000004E-2</v>
          </cell>
          <cell r="O459">
            <v>0.27376666666666666</v>
          </cell>
          <cell r="P459">
            <v>0.23424500000000001</v>
          </cell>
          <cell r="Q459">
            <v>0.12659166666666669</v>
          </cell>
          <cell r="R459">
            <v>1.124055</v>
          </cell>
          <cell r="S459">
            <v>3.7947150000000001</v>
          </cell>
          <cell r="T459">
            <v>0</v>
          </cell>
          <cell r="U459">
            <v>3.0046666666666666E-2</v>
          </cell>
          <cell r="V459">
            <v>0.17647166666666667</v>
          </cell>
          <cell r="W459">
            <v>5.1252883333333337</v>
          </cell>
        </row>
        <row r="460">
          <cell r="E460" t="str">
            <v>82115-0EG41</v>
          </cell>
          <cell r="F460" t="str">
            <v>82115-0EG41</v>
          </cell>
          <cell r="G460">
            <v>4053.3</v>
          </cell>
          <cell r="H460">
            <v>349.12279999999998</v>
          </cell>
          <cell r="I460">
            <v>0.32271833333333333</v>
          </cell>
          <cell r="J460">
            <v>0.59538000000000002</v>
          </cell>
          <cell r="K460">
            <v>0.10421999999999999</v>
          </cell>
          <cell r="L460">
            <v>0.82671000000000006</v>
          </cell>
          <cell r="M460">
            <v>2.0412083333333331</v>
          </cell>
          <cell r="N460">
            <v>6.0695000000000006E-2</v>
          </cell>
          <cell r="O460">
            <v>0.26445000000000002</v>
          </cell>
          <cell r="P460">
            <v>0.23352333333333333</v>
          </cell>
          <cell r="Q460">
            <v>0.12468166666666666</v>
          </cell>
          <cell r="R460">
            <v>1.0223183333333334</v>
          </cell>
          <cell r="S460">
            <v>3.5512683333333328</v>
          </cell>
          <cell r="T460">
            <v>0</v>
          </cell>
          <cell r="U460">
            <v>3.0046666666666666E-2</v>
          </cell>
          <cell r="V460">
            <v>0.195495</v>
          </cell>
          <cell r="W460">
            <v>4.799128333333333</v>
          </cell>
        </row>
      </sheetData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ET"/>
      <sheetName val="STO &amp; mutasi TGL 1 APRIL (2)"/>
      <sheetName val="Sheet1"/>
    </sheetNames>
    <sheetDataSet>
      <sheetData sheetId="0" refreshError="1">
        <row r="676">
          <cell r="C676" t="str">
            <v>GHP967030C</v>
          </cell>
          <cell r="D676" t="str">
            <v>ATENZA</v>
          </cell>
          <cell r="E676">
            <v>2.012</v>
          </cell>
        </row>
        <row r="677">
          <cell r="C677" t="str">
            <v>GHP967030C</v>
          </cell>
          <cell r="D677" t="str">
            <v>ATENZA</v>
          </cell>
          <cell r="E677">
            <v>2.012</v>
          </cell>
        </row>
        <row r="678">
          <cell r="C678" t="str">
            <v>GKJ167030E</v>
          </cell>
          <cell r="D678" t="str">
            <v>ATENZA</v>
          </cell>
          <cell r="E678">
            <v>2.5104000000000002</v>
          </cell>
        </row>
        <row r="679">
          <cell r="C679" t="str">
            <v>GKJ167030F</v>
          </cell>
          <cell r="D679" t="str">
            <v>ATENZA</v>
          </cell>
          <cell r="E679">
            <v>2.5104000000000002</v>
          </cell>
        </row>
        <row r="680">
          <cell r="C680" t="str">
            <v>GKL467030F</v>
          </cell>
          <cell r="D680" t="str">
            <v>ATENZA</v>
          </cell>
          <cell r="E680">
            <v>3.05</v>
          </cell>
        </row>
        <row r="681">
          <cell r="C681" t="str">
            <v>GKL467030G</v>
          </cell>
          <cell r="D681" t="str">
            <v>ATENZA</v>
          </cell>
          <cell r="E681">
            <v>3.05</v>
          </cell>
        </row>
        <row r="682">
          <cell r="C682" t="str">
            <v>GKP567030C</v>
          </cell>
          <cell r="D682" t="str">
            <v>ATENZA</v>
          </cell>
          <cell r="E682">
            <v>3.0472999999999999</v>
          </cell>
        </row>
        <row r="683">
          <cell r="C683" t="str">
            <v>GKP567030C</v>
          </cell>
          <cell r="D683" t="str">
            <v>ATENZA</v>
          </cell>
          <cell r="E683">
            <v>3.0472999999999999</v>
          </cell>
        </row>
        <row r="684">
          <cell r="C684" t="str">
            <v>GKP667030B</v>
          </cell>
          <cell r="D684" t="str">
            <v>ATENZA</v>
          </cell>
          <cell r="E684">
            <v>1.8837999999999999</v>
          </cell>
        </row>
        <row r="685">
          <cell r="C685" t="str">
            <v>GKP667030C</v>
          </cell>
          <cell r="D685" t="str">
            <v>ATENZA</v>
          </cell>
          <cell r="E685">
            <v>1.8837999999999999</v>
          </cell>
        </row>
        <row r="686">
          <cell r="C686" t="str">
            <v>G44P67030E</v>
          </cell>
          <cell r="D686" t="str">
            <v>ATENZA</v>
          </cell>
          <cell r="E686">
            <v>2.5226999999999999</v>
          </cell>
        </row>
        <row r="687">
          <cell r="C687" t="str">
            <v>G44P67030E</v>
          </cell>
          <cell r="D687" t="str">
            <v>ATENZA</v>
          </cell>
          <cell r="E687">
            <v>2.5226999999999999</v>
          </cell>
        </row>
        <row r="688">
          <cell r="C688" t="str">
            <v>GJH467030D</v>
          </cell>
          <cell r="D688" t="str">
            <v>ATENZA</v>
          </cell>
          <cell r="E688">
            <v>2.5091000000000001</v>
          </cell>
        </row>
        <row r="689">
          <cell r="C689" t="str">
            <v>GKL367030F</v>
          </cell>
          <cell r="D689" t="str">
            <v>ATENZA</v>
          </cell>
          <cell r="E689">
            <v>2.7271999999999998</v>
          </cell>
        </row>
        <row r="690">
          <cell r="C690" t="str">
            <v>GKL367030G</v>
          </cell>
          <cell r="D690" t="str">
            <v>ATENZA</v>
          </cell>
          <cell r="E690">
            <v>2.7271999999999998</v>
          </cell>
        </row>
        <row r="691">
          <cell r="C691" t="str">
            <v>GLK267030</v>
          </cell>
          <cell r="D691" t="str">
            <v>ATENZA</v>
          </cell>
          <cell r="E691">
            <v>2.6766999999999999</v>
          </cell>
        </row>
        <row r="692">
          <cell r="C692" t="str">
            <v>GLL367030A</v>
          </cell>
          <cell r="D692" t="str">
            <v>ATENZA</v>
          </cell>
          <cell r="E692">
            <v>2.9624000000000001</v>
          </cell>
        </row>
        <row r="693">
          <cell r="C693" t="str">
            <v>GLL367030B</v>
          </cell>
          <cell r="D693" t="str">
            <v>ATENZA</v>
          </cell>
          <cell r="E693">
            <v>2.9624000000000001</v>
          </cell>
        </row>
        <row r="694">
          <cell r="C694" t="str">
            <v>GLL467030A</v>
          </cell>
          <cell r="D694" t="str">
            <v>ATENZA</v>
          </cell>
          <cell r="E694">
            <v>3.0263</v>
          </cell>
        </row>
        <row r="695">
          <cell r="C695" t="str">
            <v>GLL467030B</v>
          </cell>
          <cell r="D695" t="str">
            <v>ATENZA</v>
          </cell>
          <cell r="E695">
            <v>3.0263</v>
          </cell>
        </row>
        <row r="696">
          <cell r="C696" t="str">
            <v>GLL567030A</v>
          </cell>
          <cell r="D696" t="str">
            <v>ATENZA</v>
          </cell>
          <cell r="E696">
            <v>3.0535999999999999</v>
          </cell>
        </row>
        <row r="697">
          <cell r="C697" t="str">
            <v>GLL567030B</v>
          </cell>
          <cell r="D697" t="str">
            <v>ATENZA</v>
          </cell>
          <cell r="E697">
            <v>3.0535999999999999</v>
          </cell>
        </row>
        <row r="698">
          <cell r="C698" t="str">
            <v>GLW367030</v>
          </cell>
          <cell r="D698" t="str">
            <v>ATENZA</v>
          </cell>
          <cell r="E698">
            <v>2.3138000000000001</v>
          </cell>
        </row>
        <row r="699">
          <cell r="C699" t="str">
            <v>GLW367030</v>
          </cell>
          <cell r="D699" t="str">
            <v>ATENZA</v>
          </cell>
          <cell r="E699">
            <v>2.3138000000000001</v>
          </cell>
        </row>
        <row r="700">
          <cell r="C700" t="str">
            <v>GLW867030B</v>
          </cell>
          <cell r="D700" t="str">
            <v>ATENZA</v>
          </cell>
          <cell r="E700">
            <v>2.6168999999999998</v>
          </cell>
        </row>
        <row r="701">
          <cell r="C701" t="str">
            <v>GLW867030A</v>
          </cell>
          <cell r="D701" t="str">
            <v>ATENZA</v>
          </cell>
          <cell r="E701">
            <v>2.6168999999999998</v>
          </cell>
        </row>
        <row r="702">
          <cell r="C702" t="str">
            <v>GLW967030A</v>
          </cell>
          <cell r="D702" t="str">
            <v>ATENZA</v>
          </cell>
          <cell r="E702">
            <v>2.6408</v>
          </cell>
        </row>
        <row r="703">
          <cell r="C703" t="str">
            <v>GLW967030B</v>
          </cell>
          <cell r="D703" t="str">
            <v>ATENZA</v>
          </cell>
          <cell r="E703">
            <v>2.6408</v>
          </cell>
        </row>
        <row r="704">
          <cell r="C704" t="str">
            <v>GLD267030</v>
          </cell>
          <cell r="D704" t="str">
            <v>ATENZA</v>
          </cell>
          <cell r="E704">
            <v>2.5632999999999999</v>
          </cell>
        </row>
        <row r="705">
          <cell r="C705" t="str">
            <v>GLD467030</v>
          </cell>
          <cell r="D705" t="str">
            <v>ATENZA</v>
          </cell>
          <cell r="E705">
            <v>2.5242</v>
          </cell>
        </row>
        <row r="706">
          <cell r="C706" t="str">
            <v>GLH267030</v>
          </cell>
          <cell r="D706" t="str">
            <v>ATENZA</v>
          </cell>
          <cell r="E706">
            <v>2.0286</v>
          </cell>
        </row>
        <row r="707">
          <cell r="C707" t="str">
            <v>GLH267030</v>
          </cell>
          <cell r="D707" t="str">
            <v>ATENZA</v>
          </cell>
          <cell r="E707">
            <v>2.0286</v>
          </cell>
        </row>
        <row r="708">
          <cell r="C708" t="str">
            <v>GLH467030</v>
          </cell>
          <cell r="D708" t="str">
            <v>ATENZA</v>
          </cell>
          <cell r="E708">
            <v>2.8422999999999998</v>
          </cell>
        </row>
        <row r="709">
          <cell r="C709" t="str">
            <v>GLH467030</v>
          </cell>
          <cell r="D709" t="str">
            <v>ATENZA</v>
          </cell>
          <cell r="E709">
            <v>2.8422999999999998</v>
          </cell>
        </row>
        <row r="710">
          <cell r="C710" t="str">
            <v>G44N67030E</v>
          </cell>
          <cell r="D710" t="str">
            <v>ATENZA</v>
          </cell>
          <cell r="E710">
            <v>2.0975999999999999</v>
          </cell>
        </row>
        <row r="711">
          <cell r="C711" t="str">
            <v>G44N67030E</v>
          </cell>
          <cell r="D711" t="str">
            <v>ATENZA</v>
          </cell>
          <cell r="E711">
            <v>2.0975999999999999</v>
          </cell>
        </row>
        <row r="712">
          <cell r="C712" t="str">
            <v>GKR167030B</v>
          </cell>
          <cell r="D712" t="str">
            <v>ATENZA</v>
          </cell>
          <cell r="E712">
            <v>2.4866000000000001</v>
          </cell>
        </row>
        <row r="713">
          <cell r="C713" t="str">
            <v>GKR167030C</v>
          </cell>
          <cell r="D713" t="str">
            <v>ATENZA</v>
          </cell>
          <cell r="E713">
            <v>2.4866000000000001</v>
          </cell>
        </row>
        <row r="714">
          <cell r="C714" t="str">
            <v>GKR367030B</v>
          </cell>
          <cell r="D714" t="str">
            <v>ATENZA</v>
          </cell>
          <cell r="E714">
            <v>2.4432999999999998</v>
          </cell>
        </row>
        <row r="715">
          <cell r="C715" t="str">
            <v>GKR367030C</v>
          </cell>
          <cell r="D715" t="str">
            <v>ATENZA</v>
          </cell>
          <cell r="E715">
            <v>2.4432999999999998</v>
          </cell>
        </row>
        <row r="716">
          <cell r="C716" t="str">
            <v>GKR567030A</v>
          </cell>
          <cell r="D716" t="str">
            <v>ATENZA</v>
          </cell>
          <cell r="E716">
            <v>2.6389</v>
          </cell>
        </row>
        <row r="717">
          <cell r="C717" t="str">
            <v>GKM367030C</v>
          </cell>
          <cell r="D717" t="str">
            <v>ATENZA</v>
          </cell>
          <cell r="E717">
            <v>2.7240000000000002</v>
          </cell>
        </row>
        <row r="718">
          <cell r="C718" t="str">
            <v>GKM367030C</v>
          </cell>
          <cell r="D718" t="str">
            <v>ATENZA</v>
          </cell>
          <cell r="E718">
            <v>2.7240000000000002</v>
          </cell>
        </row>
        <row r="719">
          <cell r="C719" t="str">
            <v>GKL267030F</v>
          </cell>
          <cell r="D719" t="str">
            <v>ATENZA</v>
          </cell>
          <cell r="E719">
            <v>2.8605</v>
          </cell>
        </row>
        <row r="720">
          <cell r="C720" t="str">
            <v>GKL267030G</v>
          </cell>
          <cell r="D720" t="str">
            <v>ATENZA</v>
          </cell>
          <cell r="E720">
            <v>2.8605</v>
          </cell>
        </row>
        <row r="721">
          <cell r="C721" t="str">
            <v>GHR167030D</v>
          </cell>
          <cell r="D721" t="str">
            <v>ATENZA</v>
          </cell>
          <cell r="E721">
            <v>2.4586999999999999</v>
          </cell>
        </row>
        <row r="722">
          <cell r="C722" t="str">
            <v>GHR167030E</v>
          </cell>
          <cell r="D722" t="str">
            <v>ATENZA</v>
          </cell>
          <cell r="E722">
            <v>2.4586999999999999</v>
          </cell>
        </row>
        <row r="723">
          <cell r="C723" t="str">
            <v>GKP767030B</v>
          </cell>
          <cell r="D723" t="str">
            <v>ATENZA</v>
          </cell>
          <cell r="E723">
            <v>2.4348000000000001</v>
          </cell>
        </row>
        <row r="724">
          <cell r="C724" t="str">
            <v>GKP767030C</v>
          </cell>
          <cell r="D724" t="str">
            <v>ATENZA</v>
          </cell>
          <cell r="E724">
            <v>2.4348000000000001</v>
          </cell>
        </row>
        <row r="725">
          <cell r="C725" t="str">
            <v>GKR967030B</v>
          </cell>
          <cell r="D725" t="str">
            <v>ATENZA</v>
          </cell>
          <cell r="E725">
            <v>2.5899000000000001</v>
          </cell>
        </row>
        <row r="726">
          <cell r="C726" t="str">
            <v>GKR967030B</v>
          </cell>
          <cell r="D726" t="str">
            <v>ATENZA</v>
          </cell>
          <cell r="E726">
            <v>2.5899000000000001</v>
          </cell>
        </row>
        <row r="727">
          <cell r="C727" t="str">
            <v>GKS267030B</v>
          </cell>
          <cell r="D727" t="str">
            <v>ATENZA</v>
          </cell>
          <cell r="E727">
            <v>2.7158000000000002</v>
          </cell>
        </row>
        <row r="728">
          <cell r="C728" t="str">
            <v>GKS267030B</v>
          </cell>
          <cell r="D728" t="str">
            <v>ATENZA</v>
          </cell>
          <cell r="E728">
            <v>2.7158000000000002</v>
          </cell>
        </row>
        <row r="729">
          <cell r="C729" t="str">
            <v>GKS367030B</v>
          </cell>
          <cell r="D729" t="str">
            <v>ATENZA</v>
          </cell>
          <cell r="E729">
            <v>3.0390999999999999</v>
          </cell>
        </row>
        <row r="730">
          <cell r="C730" t="str">
            <v>GKS367030B</v>
          </cell>
          <cell r="D730" t="str">
            <v>ATENZA</v>
          </cell>
          <cell r="E730">
            <v>3.0390999999999999</v>
          </cell>
        </row>
        <row r="731">
          <cell r="C731" t="str">
            <v>GKS467030</v>
          </cell>
          <cell r="D731" t="str">
            <v>ATENZA</v>
          </cell>
          <cell r="E731">
            <v>2.2906</v>
          </cell>
        </row>
        <row r="732">
          <cell r="C732" t="str">
            <v>GKS467030</v>
          </cell>
          <cell r="D732" t="str">
            <v>ATENZA</v>
          </cell>
          <cell r="E732">
            <v>2.2906</v>
          </cell>
        </row>
        <row r="733">
          <cell r="C733" t="str">
            <v>GKS567030</v>
          </cell>
          <cell r="D733" t="str">
            <v>ATENZA</v>
          </cell>
          <cell r="E733">
            <v>2.4356</v>
          </cell>
        </row>
        <row r="734">
          <cell r="C734" t="str">
            <v>GKS567030</v>
          </cell>
          <cell r="D734" t="str">
            <v>ATENZA</v>
          </cell>
          <cell r="E734">
            <v>2.4356</v>
          </cell>
        </row>
        <row r="735">
          <cell r="C735" t="str">
            <v>GKS767030</v>
          </cell>
          <cell r="D735" t="str">
            <v>ATENZA</v>
          </cell>
          <cell r="E735">
            <v>2.4956</v>
          </cell>
        </row>
        <row r="736">
          <cell r="C736" t="str">
            <v>GKS767030</v>
          </cell>
          <cell r="D736" t="str">
            <v>ATENZA</v>
          </cell>
          <cell r="E736">
            <v>2.4956</v>
          </cell>
        </row>
        <row r="737">
          <cell r="C737" t="str">
            <v>GKS967030</v>
          </cell>
          <cell r="D737" t="str">
            <v>ATENZA</v>
          </cell>
          <cell r="E737">
            <v>2.0137999999999998</v>
          </cell>
        </row>
        <row r="738">
          <cell r="C738" t="str">
            <v>GKT367030</v>
          </cell>
          <cell r="D738" t="str">
            <v>ATENZA</v>
          </cell>
          <cell r="E738">
            <v>2.4251999999999998</v>
          </cell>
        </row>
        <row r="739">
          <cell r="C739" t="str">
            <v>GKT867030</v>
          </cell>
          <cell r="D739" t="str">
            <v>ATENZA</v>
          </cell>
          <cell r="E739">
            <v>2.552</v>
          </cell>
        </row>
        <row r="740">
          <cell r="C740" t="str">
            <v>GKT967030</v>
          </cell>
          <cell r="D740" t="str">
            <v>ATENZA</v>
          </cell>
          <cell r="E740">
            <v>2.9380999999999999</v>
          </cell>
        </row>
        <row r="741">
          <cell r="C741" t="str">
            <v>GKT467030</v>
          </cell>
          <cell r="D741" t="str">
            <v>ATENZA</v>
          </cell>
          <cell r="E741">
            <v>2.7484999999999999</v>
          </cell>
        </row>
        <row r="742">
          <cell r="C742" t="str">
            <v>GKT467030</v>
          </cell>
          <cell r="D742" t="str">
            <v>ATENZA</v>
          </cell>
          <cell r="E742">
            <v>2.7484999999999999</v>
          </cell>
        </row>
        <row r="743">
          <cell r="C743" t="str">
            <v>GKT567030</v>
          </cell>
          <cell r="D743" t="str">
            <v>ATENZA</v>
          </cell>
          <cell r="E743">
            <v>2.5448</v>
          </cell>
        </row>
        <row r="744">
          <cell r="C744" t="str">
            <v>GKT567030</v>
          </cell>
          <cell r="D744" t="str">
            <v>ATENZA</v>
          </cell>
          <cell r="E744">
            <v>2.5448</v>
          </cell>
        </row>
        <row r="745">
          <cell r="C745" t="str">
            <v>GKT767030A</v>
          </cell>
          <cell r="D745" t="str">
            <v>ATENZA</v>
          </cell>
          <cell r="E745">
            <v>2.9695999999999998</v>
          </cell>
        </row>
        <row r="746">
          <cell r="C746" t="str">
            <v>GKT767030b</v>
          </cell>
          <cell r="D746" t="str">
            <v>ATENZA</v>
          </cell>
          <cell r="E746">
            <v>2.9695999999999998</v>
          </cell>
        </row>
        <row r="747">
          <cell r="C747" t="str">
            <v>GJR967030A</v>
          </cell>
          <cell r="D747" t="str">
            <v>ATENZA</v>
          </cell>
          <cell r="E747">
            <v>2.0411999999999999</v>
          </cell>
        </row>
        <row r="748">
          <cell r="C748" t="str">
            <v>GJR967030B</v>
          </cell>
          <cell r="D748" t="str">
            <v>ATENZA</v>
          </cell>
          <cell r="E748">
            <v>2.0411999999999999</v>
          </cell>
        </row>
        <row r="749">
          <cell r="C749" t="str">
            <v>GJS167030C</v>
          </cell>
          <cell r="D749" t="str">
            <v>ATENZA</v>
          </cell>
          <cell r="E749">
            <v>2.3576000000000001</v>
          </cell>
        </row>
        <row r="750">
          <cell r="C750" t="str">
            <v>GJS167030B</v>
          </cell>
          <cell r="D750" t="str">
            <v>ATENZA</v>
          </cell>
          <cell r="E750">
            <v>2.3576000000000001</v>
          </cell>
        </row>
        <row r="751">
          <cell r="C751" t="str">
            <v>GJS367030A</v>
          </cell>
          <cell r="D751" t="str">
            <v>ATENZA</v>
          </cell>
          <cell r="E751">
            <v>2.9085000000000001</v>
          </cell>
        </row>
        <row r="752">
          <cell r="C752" t="str">
            <v>GJS367030A</v>
          </cell>
          <cell r="D752" t="str">
            <v>ATENZA</v>
          </cell>
          <cell r="E752">
            <v>2.9085000000000001</v>
          </cell>
        </row>
        <row r="753">
          <cell r="C753" t="str">
            <v>GLE167030A</v>
          </cell>
          <cell r="D753" t="str">
            <v>ATENZA</v>
          </cell>
          <cell r="E753">
            <v>2.5630000000000002</v>
          </cell>
        </row>
        <row r="754">
          <cell r="C754" t="str">
            <v>GLE167030A</v>
          </cell>
          <cell r="D754" t="str">
            <v>ATENZA</v>
          </cell>
          <cell r="E754">
            <v>2.5630000000000002</v>
          </cell>
        </row>
        <row r="755">
          <cell r="C755" t="str">
            <v>GLE567030</v>
          </cell>
          <cell r="D755" t="str">
            <v>ATENZA</v>
          </cell>
          <cell r="E755">
            <v>2.5756999999999999</v>
          </cell>
        </row>
        <row r="756">
          <cell r="C756" t="str">
            <v>GLE567030A</v>
          </cell>
          <cell r="D756" t="str">
            <v>ATENZA</v>
          </cell>
          <cell r="E756">
            <v>2.5756999999999999</v>
          </cell>
        </row>
        <row r="757">
          <cell r="C757" t="str">
            <v>GLJ367030</v>
          </cell>
          <cell r="D757" t="str">
            <v>ATENZA</v>
          </cell>
          <cell r="E757">
            <v>2.1764999999999999</v>
          </cell>
        </row>
        <row r="758">
          <cell r="C758" t="str">
            <v>GLD467030</v>
          </cell>
          <cell r="D758" t="str">
            <v>ATENZA</v>
          </cell>
          <cell r="E758">
            <v>2.5242</v>
          </cell>
        </row>
        <row r="759">
          <cell r="C759" t="str">
            <v>GLJ467030B</v>
          </cell>
          <cell r="D759" t="str">
            <v>ATENZA</v>
          </cell>
          <cell r="E759">
            <v>2.6301999999999999</v>
          </cell>
        </row>
        <row r="760">
          <cell r="C760" t="str">
            <v>GLJ767030A</v>
          </cell>
          <cell r="D760" t="str">
            <v>ATENZA</v>
          </cell>
          <cell r="E760">
            <v>2.4397000000000002</v>
          </cell>
        </row>
        <row r="761">
          <cell r="C761" t="str">
            <v>GLJ867030A</v>
          </cell>
          <cell r="D761" t="str">
            <v>ATENZA</v>
          </cell>
          <cell r="E761">
            <v>2.7629999999999999</v>
          </cell>
        </row>
        <row r="762">
          <cell r="C762" t="str">
            <v>GLJ967030</v>
          </cell>
          <cell r="D762" t="str">
            <v>ATENZA</v>
          </cell>
          <cell r="E762">
            <v>2.5592999999999999</v>
          </cell>
        </row>
        <row r="763">
          <cell r="C763" t="str">
            <v>GLJ967030A</v>
          </cell>
          <cell r="D763" t="str">
            <v>ATENZA</v>
          </cell>
          <cell r="E763">
            <v>2.5592999999999999</v>
          </cell>
        </row>
        <row r="764">
          <cell r="C764" t="str">
            <v>GLK167030</v>
          </cell>
          <cell r="D764" t="str">
            <v>ATENZA</v>
          </cell>
          <cell r="E764">
            <v>2.8923000000000001</v>
          </cell>
        </row>
        <row r="765">
          <cell r="C765" t="str">
            <v>GLK467030A</v>
          </cell>
          <cell r="D765" t="str">
            <v>ATENZA</v>
          </cell>
          <cell r="E765">
            <v>2.9996999999999998</v>
          </cell>
        </row>
        <row r="766">
          <cell r="C766" t="str">
            <v>GLK467030A</v>
          </cell>
          <cell r="D766" t="str">
            <v>ATENZA</v>
          </cell>
          <cell r="E766">
            <v>2.9996999999999998</v>
          </cell>
        </row>
        <row r="767">
          <cell r="C767" t="str">
            <v>GLK667030</v>
          </cell>
          <cell r="D767" t="str">
            <v>ATENZA</v>
          </cell>
          <cell r="E767">
            <v>2.3672</v>
          </cell>
        </row>
        <row r="768">
          <cell r="C768" t="str">
            <v>GLK667030A</v>
          </cell>
          <cell r="D768" t="str">
            <v>ATENZA</v>
          </cell>
          <cell r="E768">
            <v>2.3672</v>
          </cell>
        </row>
        <row r="769">
          <cell r="C769" t="str">
            <v>GLK867030</v>
          </cell>
          <cell r="D769" t="str">
            <v>ATENZA</v>
          </cell>
          <cell r="E769">
            <v>2.9211999999999998</v>
          </cell>
        </row>
        <row r="770">
          <cell r="C770" t="str">
            <v>GLK867030A</v>
          </cell>
          <cell r="D770" t="str">
            <v>ATENZA</v>
          </cell>
          <cell r="E770">
            <v>2.9211999999999998</v>
          </cell>
        </row>
        <row r="771">
          <cell r="C771" t="str">
            <v>GLG967030</v>
          </cell>
          <cell r="D771" t="str">
            <v>ATENZA</v>
          </cell>
          <cell r="E771">
            <v>2.5194999999999999</v>
          </cell>
        </row>
        <row r="772">
          <cell r="C772" t="str">
            <v>GLG967030</v>
          </cell>
          <cell r="D772" t="str">
            <v>ATENZA</v>
          </cell>
          <cell r="E772">
            <v>2.5194999999999999</v>
          </cell>
        </row>
        <row r="773">
          <cell r="C773" t="str">
            <v>GKR867030B</v>
          </cell>
          <cell r="D773" t="str">
            <v>ATENZA</v>
          </cell>
          <cell r="E773">
            <v>2.363</v>
          </cell>
        </row>
        <row r="774">
          <cell r="C774" t="str">
            <v>GKR867030B</v>
          </cell>
          <cell r="D774" t="str">
            <v>ATENZA</v>
          </cell>
          <cell r="E774">
            <v>2.363</v>
          </cell>
        </row>
        <row r="775">
          <cell r="C775" t="str">
            <v>GJN867030</v>
          </cell>
          <cell r="D775" t="str">
            <v>ATENZA</v>
          </cell>
          <cell r="E775">
            <v>2.2240000000000002</v>
          </cell>
        </row>
        <row r="776">
          <cell r="C776" t="str">
            <v>GLJ467030B</v>
          </cell>
          <cell r="D776" t="str">
            <v>ATENZA</v>
          </cell>
          <cell r="E776">
            <v>2.6301999999999999</v>
          </cell>
        </row>
      </sheetData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5">
          <cell r="E5" t="str">
            <v>82113-76120</v>
          </cell>
        </row>
        <row r="303">
          <cell r="E303" t="str">
            <v>BC111-16A40-1</v>
          </cell>
          <cell r="F303">
            <v>146</v>
          </cell>
          <cell r="G303">
            <v>0</v>
          </cell>
          <cell r="H303">
            <v>1.7849999999999999E-3</v>
          </cell>
          <cell r="I303">
            <v>9.5300000000000003E-3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4.3616666666666665E-3</v>
          </cell>
          <cell r="O303">
            <v>3.3433333333333331E-3</v>
          </cell>
          <cell r="P303">
            <v>2.6150000000000001E-3</v>
          </cell>
          <cell r="Q303">
            <v>1.1315E-2</v>
          </cell>
          <cell r="R303">
            <v>1.0319999999999999E-2</v>
          </cell>
          <cell r="S303">
            <v>0</v>
          </cell>
          <cell r="T303">
            <v>0</v>
          </cell>
          <cell r="U303">
            <v>0</v>
          </cell>
          <cell r="V303">
            <v>2.1635000000000001E-2</v>
          </cell>
        </row>
        <row r="304">
          <cell r="E304" t="str">
            <v>BC111-16A40-2</v>
          </cell>
          <cell r="F304">
            <v>122.9</v>
          </cell>
          <cell r="G304">
            <v>0</v>
          </cell>
          <cell r="H304">
            <v>1.6383333333333332E-3</v>
          </cell>
          <cell r="I304">
            <v>9.5300000000000003E-3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4.3616666666666665E-3</v>
          </cell>
          <cell r="O304">
            <v>3.1650000000000003E-3</v>
          </cell>
          <cell r="P304">
            <v>2.4866666666666665E-3</v>
          </cell>
          <cell r="Q304">
            <v>1.1168333333333334E-2</v>
          </cell>
          <cell r="R304">
            <v>1.0013333333333332E-2</v>
          </cell>
          <cell r="S304">
            <v>0</v>
          </cell>
          <cell r="T304">
            <v>0</v>
          </cell>
          <cell r="U304">
            <v>0</v>
          </cell>
          <cell r="V304">
            <v>2.1181666666666668E-2</v>
          </cell>
        </row>
        <row r="305">
          <cell r="E305" t="str">
            <v>BC111-16B41-1</v>
          </cell>
          <cell r="F305">
            <v>325.60000000000002</v>
          </cell>
          <cell r="G305">
            <v>0</v>
          </cell>
          <cell r="H305">
            <v>2.7399999999999998E-3</v>
          </cell>
          <cell r="I305">
            <v>9.5300000000000003E-3</v>
          </cell>
          <cell r="J305">
            <v>0</v>
          </cell>
          <cell r="K305">
            <v>2.463333333333333E-3</v>
          </cell>
          <cell r="L305">
            <v>1.9433333333333332E-3</v>
          </cell>
          <cell r="M305">
            <v>0</v>
          </cell>
          <cell r="N305">
            <v>4.3616666666666665E-3</v>
          </cell>
          <cell r="O305">
            <v>4.1216666666666667E-3</v>
          </cell>
          <cell r="P305">
            <v>3.1716666666666668E-3</v>
          </cell>
          <cell r="Q305">
            <v>1.227E-2</v>
          </cell>
          <cell r="R305">
            <v>1.6061666666666665E-2</v>
          </cell>
          <cell r="S305">
            <v>0</v>
          </cell>
          <cell r="T305">
            <v>0</v>
          </cell>
          <cell r="U305">
            <v>0</v>
          </cell>
          <cell r="V305">
            <v>2.8331666666666665E-2</v>
          </cell>
        </row>
        <row r="306">
          <cell r="E306" t="str">
            <v>BC111-16D11-1</v>
          </cell>
          <cell r="F306">
            <v>182.8</v>
          </cell>
          <cell r="G306">
            <v>0</v>
          </cell>
          <cell r="H306">
            <v>2.241666666666667E-3</v>
          </cell>
          <cell r="I306">
            <v>9.5300000000000003E-3</v>
          </cell>
          <cell r="J306">
            <v>0</v>
          </cell>
          <cell r="K306">
            <v>3.3516666666666669E-3</v>
          </cell>
          <cell r="L306">
            <v>1.9433333333333332E-3</v>
          </cell>
          <cell r="M306">
            <v>0</v>
          </cell>
          <cell r="N306">
            <v>4.3616666666666665E-3</v>
          </cell>
          <cell r="O306">
            <v>3.2783333333333336E-3</v>
          </cell>
          <cell r="P306">
            <v>2.5683333333333331E-3</v>
          </cell>
          <cell r="Q306">
            <v>1.1771666666666666E-2</v>
          </cell>
          <cell r="R306">
            <v>1.5503333333333334E-2</v>
          </cell>
          <cell r="S306">
            <v>0</v>
          </cell>
          <cell r="T306">
            <v>0</v>
          </cell>
          <cell r="U306">
            <v>0</v>
          </cell>
          <cell r="V306">
            <v>2.7275000000000001E-2</v>
          </cell>
        </row>
        <row r="307">
          <cell r="E307" t="str">
            <v>BC111-16F01-1</v>
          </cell>
          <cell r="F307">
            <v>322.7</v>
          </cell>
          <cell r="G307">
            <v>0</v>
          </cell>
          <cell r="H307">
            <v>2.7533333333333338E-3</v>
          </cell>
          <cell r="I307">
            <v>9.5300000000000003E-3</v>
          </cell>
          <cell r="J307">
            <v>0</v>
          </cell>
          <cell r="K307">
            <v>2.5883333333333331E-3</v>
          </cell>
          <cell r="L307">
            <v>1.9433333333333332E-3</v>
          </cell>
          <cell r="M307">
            <v>0</v>
          </cell>
          <cell r="N307">
            <v>4.3616666666666665E-3</v>
          </cell>
          <cell r="O307">
            <v>4.1050000000000001E-3</v>
          </cell>
          <cell r="P307">
            <v>3.16E-3</v>
          </cell>
          <cell r="Q307">
            <v>1.2283333333333334E-2</v>
          </cell>
          <cell r="R307">
            <v>1.6158333333333334E-2</v>
          </cell>
          <cell r="S307">
            <v>0</v>
          </cell>
          <cell r="T307">
            <v>0</v>
          </cell>
          <cell r="U307">
            <v>0</v>
          </cell>
          <cell r="V307">
            <v>2.8441666666666667E-2</v>
          </cell>
        </row>
        <row r="308">
          <cell r="E308" t="str">
            <v>BC111-16J40-1</v>
          </cell>
          <cell r="F308">
            <v>1.5199</v>
          </cell>
          <cell r="G308">
            <v>0</v>
          </cell>
          <cell r="H308">
            <v>2.241666666666667E-3</v>
          </cell>
          <cell r="I308">
            <v>9.5300000000000003E-3</v>
          </cell>
          <cell r="J308">
            <v>0</v>
          </cell>
          <cell r="K308">
            <v>3.3516666666666669E-3</v>
          </cell>
          <cell r="L308">
            <v>0</v>
          </cell>
          <cell r="M308">
            <v>0</v>
          </cell>
          <cell r="N308">
            <v>4.3616666666666665E-3</v>
          </cell>
          <cell r="O308">
            <v>3.2783333333333336E-3</v>
          </cell>
          <cell r="P308">
            <v>2.5683333333333331E-3</v>
          </cell>
          <cell r="Q308">
            <v>1.1771666666666666E-2</v>
          </cell>
          <cell r="R308">
            <v>1.3559999999999999E-2</v>
          </cell>
          <cell r="S308">
            <v>0</v>
          </cell>
          <cell r="T308">
            <v>0</v>
          </cell>
          <cell r="U308">
            <v>0</v>
          </cell>
          <cell r="V308">
            <v>2.5331666666666666E-2</v>
          </cell>
        </row>
        <row r="309">
          <cell r="E309" t="str">
            <v>BC111-16P60-1</v>
          </cell>
          <cell r="F309">
            <v>1.5817000000000001</v>
          </cell>
          <cell r="G309">
            <v>0</v>
          </cell>
          <cell r="H309">
            <v>2.7316666666666665E-3</v>
          </cell>
          <cell r="I309">
            <v>9.5300000000000003E-3</v>
          </cell>
          <cell r="J309">
            <v>0</v>
          </cell>
          <cell r="K309">
            <v>2.463333333333333E-3</v>
          </cell>
          <cell r="L309">
            <v>0</v>
          </cell>
          <cell r="M309">
            <v>0</v>
          </cell>
          <cell r="N309">
            <v>4.3616666666666665E-3</v>
          </cell>
          <cell r="O309">
            <v>4.1099999999999999E-3</v>
          </cell>
          <cell r="P309">
            <v>3.1650000000000003E-3</v>
          </cell>
          <cell r="Q309">
            <v>1.2261666666666667E-2</v>
          </cell>
          <cell r="R309">
            <v>1.4100000000000001E-2</v>
          </cell>
          <cell r="S309">
            <v>0</v>
          </cell>
          <cell r="T309">
            <v>0</v>
          </cell>
          <cell r="U309">
            <v>0</v>
          </cell>
          <cell r="V309">
            <v>2.6361666666666669E-2</v>
          </cell>
        </row>
        <row r="310">
          <cell r="E310" t="str">
            <v>BC111-16R30-1</v>
          </cell>
          <cell r="F310">
            <v>1.5199</v>
          </cell>
          <cell r="G310">
            <v>0</v>
          </cell>
          <cell r="H310">
            <v>2.241666666666667E-3</v>
          </cell>
          <cell r="I310">
            <v>9.5300000000000003E-3</v>
          </cell>
          <cell r="J310">
            <v>0</v>
          </cell>
          <cell r="K310">
            <v>3.3516666666666669E-3</v>
          </cell>
          <cell r="L310">
            <v>0</v>
          </cell>
          <cell r="M310">
            <v>0</v>
          </cell>
          <cell r="N310">
            <v>4.3616666666666665E-3</v>
          </cell>
          <cell r="O310">
            <v>3.2783333333333336E-3</v>
          </cell>
          <cell r="P310">
            <v>2.5683333333333331E-3</v>
          </cell>
          <cell r="Q310">
            <v>1.1771666666666666E-2</v>
          </cell>
          <cell r="R310">
            <v>1.3559999999999999E-2</v>
          </cell>
          <cell r="S310">
            <v>0</v>
          </cell>
          <cell r="T310">
            <v>0</v>
          </cell>
          <cell r="U310">
            <v>0</v>
          </cell>
          <cell r="V310">
            <v>2.5331666666666666E-2</v>
          </cell>
        </row>
        <row r="311">
          <cell r="E311" t="str">
            <v>BC111-16R90-1</v>
          </cell>
          <cell r="F311">
            <v>1.5895999999999999</v>
          </cell>
          <cell r="G311">
            <v>0</v>
          </cell>
          <cell r="H311">
            <v>2.7516666666666666E-3</v>
          </cell>
          <cell r="I311">
            <v>9.5300000000000003E-3</v>
          </cell>
          <cell r="J311">
            <v>0</v>
          </cell>
          <cell r="K311">
            <v>2.5883333333333331E-3</v>
          </cell>
          <cell r="L311">
            <v>0</v>
          </cell>
          <cell r="M311">
            <v>0</v>
          </cell>
          <cell r="N311">
            <v>4.3616666666666665E-3</v>
          </cell>
          <cell r="O311">
            <v>4.103333333333333E-3</v>
          </cell>
          <cell r="P311">
            <v>3.1583333333333333E-3</v>
          </cell>
          <cell r="Q311">
            <v>1.2281666666666666E-2</v>
          </cell>
          <cell r="R311">
            <v>1.4211666666666664E-2</v>
          </cell>
          <cell r="S311">
            <v>0</v>
          </cell>
          <cell r="T311">
            <v>0</v>
          </cell>
          <cell r="U311">
            <v>0</v>
          </cell>
          <cell r="V311">
            <v>2.6493333333333331E-2</v>
          </cell>
        </row>
        <row r="312">
          <cell r="E312" t="str">
            <v>BC111-1HQ61-1</v>
          </cell>
          <cell r="F312">
            <v>182.8</v>
          </cell>
          <cell r="G312">
            <v>0</v>
          </cell>
          <cell r="H312">
            <v>2.241666666666667E-3</v>
          </cell>
          <cell r="I312">
            <v>9.5300000000000003E-3</v>
          </cell>
          <cell r="J312">
            <v>0</v>
          </cell>
          <cell r="K312">
            <v>3.3516666666666669E-3</v>
          </cell>
          <cell r="L312">
            <v>1.9433333333333332E-3</v>
          </cell>
          <cell r="M312">
            <v>0</v>
          </cell>
          <cell r="N312">
            <v>4.3616666666666665E-3</v>
          </cell>
          <cell r="O312">
            <v>3.2783333333333336E-3</v>
          </cell>
          <cell r="P312">
            <v>2.5683333333333331E-3</v>
          </cell>
          <cell r="Q312">
            <v>1.1771666666666666E-2</v>
          </cell>
          <cell r="R312">
            <v>1.5503333333333334E-2</v>
          </cell>
          <cell r="S312">
            <v>0</v>
          </cell>
          <cell r="T312">
            <v>0</v>
          </cell>
          <cell r="U312">
            <v>0</v>
          </cell>
          <cell r="V312">
            <v>2.7275000000000001E-2</v>
          </cell>
        </row>
        <row r="313">
          <cell r="E313" t="str">
            <v>BC111-1HR01-1</v>
          </cell>
          <cell r="F313">
            <v>182.8</v>
          </cell>
          <cell r="G313">
            <v>0</v>
          </cell>
          <cell r="H313">
            <v>2.241666666666667E-3</v>
          </cell>
          <cell r="I313">
            <v>9.5300000000000003E-3</v>
          </cell>
          <cell r="J313">
            <v>0</v>
          </cell>
          <cell r="K313">
            <v>3.3516666666666669E-3</v>
          </cell>
          <cell r="L313">
            <v>1.9433333333333332E-3</v>
          </cell>
          <cell r="M313">
            <v>0</v>
          </cell>
          <cell r="N313">
            <v>4.3616666666666665E-3</v>
          </cell>
          <cell r="O313">
            <v>3.2783333333333336E-3</v>
          </cell>
          <cell r="P313">
            <v>2.5683333333333331E-3</v>
          </cell>
          <cell r="Q313">
            <v>1.1771666666666666E-2</v>
          </cell>
          <cell r="R313">
            <v>1.5503333333333334E-2</v>
          </cell>
          <cell r="S313">
            <v>0</v>
          </cell>
          <cell r="T313">
            <v>0</v>
          </cell>
          <cell r="U313">
            <v>0</v>
          </cell>
          <cell r="V313">
            <v>2.7275000000000001E-2</v>
          </cell>
        </row>
        <row r="314">
          <cell r="E314" t="str">
            <v>BC111-1HY10-1</v>
          </cell>
          <cell r="F314">
            <v>144.19999999999999</v>
          </cell>
          <cell r="G314">
            <v>0</v>
          </cell>
          <cell r="H314">
            <v>1.7749999999999999E-3</v>
          </cell>
          <cell r="I314">
            <v>9.5300000000000003E-3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4.3616666666666665E-3</v>
          </cell>
          <cell r="O314">
            <v>3.3300000000000001E-3</v>
          </cell>
          <cell r="P314">
            <v>2.6050000000000001E-3</v>
          </cell>
          <cell r="Q314">
            <v>1.1305000000000001E-2</v>
          </cell>
          <cell r="R314">
            <v>1.0296666666666666E-2</v>
          </cell>
          <cell r="S314">
            <v>0</v>
          </cell>
          <cell r="T314">
            <v>0</v>
          </cell>
          <cell r="U314">
            <v>0</v>
          </cell>
          <cell r="V314">
            <v>2.1601666666666665E-2</v>
          </cell>
        </row>
        <row r="315">
          <cell r="E315" t="str">
            <v>BC111-1HY10-2</v>
          </cell>
          <cell r="F315">
            <v>119.6</v>
          </cell>
          <cell r="G315">
            <v>0</v>
          </cell>
          <cell r="H315">
            <v>1.6166666666666666E-3</v>
          </cell>
          <cell r="I315">
            <v>9.5300000000000003E-3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4.3616666666666665E-3</v>
          </cell>
          <cell r="O315">
            <v>3.1383333333333333E-3</v>
          </cell>
          <cell r="P315">
            <v>2.4666666666666665E-3</v>
          </cell>
          <cell r="Q315">
            <v>1.1146666666666668E-2</v>
          </cell>
          <cell r="R315">
            <v>9.9666666666666653E-3</v>
          </cell>
          <cell r="S315">
            <v>0</v>
          </cell>
          <cell r="T315">
            <v>0</v>
          </cell>
          <cell r="U315">
            <v>0</v>
          </cell>
          <cell r="V315">
            <v>2.1113333333333331E-2</v>
          </cell>
        </row>
        <row r="316">
          <cell r="E316" t="str">
            <v>BC111-2FE72-1</v>
          </cell>
          <cell r="F316">
            <v>100.1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2.5296666666666669E-2</v>
          </cell>
          <cell r="U316">
            <v>0</v>
          </cell>
          <cell r="V316">
            <v>2.5296666666666669E-2</v>
          </cell>
        </row>
        <row r="317">
          <cell r="E317" t="str">
            <v>BC111-2FE72-2</v>
          </cell>
          <cell r="F317">
            <v>328.3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1.9763333333333334E-2</v>
          </cell>
          <cell r="U317">
            <v>0</v>
          </cell>
          <cell r="V317">
            <v>1.9763333333333334E-2</v>
          </cell>
        </row>
        <row r="318">
          <cell r="E318" t="str">
            <v>BC111-47V60-1</v>
          </cell>
          <cell r="F318">
            <v>182.8</v>
          </cell>
          <cell r="G318">
            <v>0</v>
          </cell>
          <cell r="H318">
            <v>2.2383333333333335E-3</v>
          </cell>
          <cell r="I318">
            <v>9.5300000000000003E-3</v>
          </cell>
          <cell r="J318">
            <v>0</v>
          </cell>
          <cell r="K318">
            <v>3.3366666666666666E-3</v>
          </cell>
          <cell r="L318">
            <v>1.9433333333333332E-3</v>
          </cell>
          <cell r="M318">
            <v>0</v>
          </cell>
          <cell r="N318">
            <v>4.3616666666666665E-3</v>
          </cell>
          <cell r="O318">
            <v>3.2783333333333336E-3</v>
          </cell>
          <cell r="P318">
            <v>2.5683333333333331E-3</v>
          </cell>
          <cell r="Q318">
            <v>1.1768333333333334E-2</v>
          </cell>
          <cell r="R318">
            <v>1.5488333333333333E-2</v>
          </cell>
          <cell r="S318">
            <v>0</v>
          </cell>
          <cell r="T318">
            <v>0</v>
          </cell>
          <cell r="U318">
            <v>0</v>
          </cell>
          <cell r="V318">
            <v>2.7256666666666665E-2</v>
          </cell>
        </row>
        <row r="319">
          <cell r="E319" t="str">
            <v>BC111-4EB50-1</v>
          </cell>
          <cell r="F319">
            <v>182.8</v>
          </cell>
          <cell r="G319">
            <v>0</v>
          </cell>
          <cell r="H319">
            <v>2.2383333333333335E-3</v>
          </cell>
          <cell r="I319">
            <v>9.5300000000000003E-3</v>
          </cell>
          <cell r="J319">
            <v>0</v>
          </cell>
          <cell r="K319">
            <v>3.3366666666666666E-3</v>
          </cell>
          <cell r="L319">
            <v>1.9433333333333332E-3</v>
          </cell>
          <cell r="M319">
            <v>0</v>
          </cell>
          <cell r="N319">
            <v>4.3616666666666665E-3</v>
          </cell>
          <cell r="O319">
            <v>3.2783333333333336E-3</v>
          </cell>
          <cell r="P319">
            <v>2.5683333333333331E-3</v>
          </cell>
          <cell r="Q319">
            <v>1.1768333333333334E-2</v>
          </cell>
          <cell r="R319">
            <v>1.5488333333333333E-2</v>
          </cell>
          <cell r="S319">
            <v>0</v>
          </cell>
          <cell r="T319">
            <v>0</v>
          </cell>
          <cell r="U319">
            <v>0</v>
          </cell>
          <cell r="V319">
            <v>2.7256666666666665E-2</v>
          </cell>
        </row>
        <row r="320">
          <cell r="E320" t="str">
            <v>BC111-4EE80-1</v>
          </cell>
          <cell r="F320">
            <v>323.5</v>
          </cell>
          <cell r="G320">
            <v>0</v>
          </cell>
          <cell r="H320">
            <v>2.7300000000000002E-3</v>
          </cell>
          <cell r="I320">
            <v>9.5300000000000003E-3</v>
          </cell>
          <cell r="J320">
            <v>0</v>
          </cell>
          <cell r="K320">
            <v>2.463333333333333E-3</v>
          </cell>
          <cell r="L320">
            <v>1.9433333333333332E-3</v>
          </cell>
          <cell r="M320">
            <v>0</v>
          </cell>
          <cell r="N320">
            <v>4.3616666666666665E-3</v>
          </cell>
          <cell r="O320">
            <v>4.1099999999999999E-3</v>
          </cell>
          <cell r="P320">
            <v>3.1633333333333331E-3</v>
          </cell>
          <cell r="Q320">
            <v>1.226E-2</v>
          </cell>
          <cell r="R320">
            <v>1.6041666666666666E-2</v>
          </cell>
          <cell r="S320">
            <v>0</v>
          </cell>
          <cell r="T320">
            <v>0</v>
          </cell>
          <cell r="U320">
            <v>0</v>
          </cell>
          <cell r="V320">
            <v>2.8301666666666666E-2</v>
          </cell>
        </row>
        <row r="321">
          <cell r="E321" t="str">
            <v>BC111-4EW40-1</v>
          </cell>
          <cell r="F321">
            <v>321.39999999999998</v>
          </cell>
          <cell r="G321">
            <v>0</v>
          </cell>
          <cell r="H321">
            <v>2.7366666666666668E-3</v>
          </cell>
          <cell r="I321">
            <v>9.5300000000000003E-3</v>
          </cell>
          <cell r="J321">
            <v>0</v>
          </cell>
          <cell r="K321">
            <v>2.5416666666666665E-3</v>
          </cell>
          <cell r="L321">
            <v>1.9433333333333332E-3</v>
          </cell>
          <cell r="M321">
            <v>0</v>
          </cell>
          <cell r="N321">
            <v>4.3616666666666665E-3</v>
          </cell>
          <cell r="O321">
            <v>4.0966666666666669E-3</v>
          </cell>
          <cell r="P321">
            <v>3.1549999999999998E-3</v>
          </cell>
          <cell r="Q321">
            <v>1.2266666666666667E-2</v>
          </cell>
          <cell r="R321">
            <v>1.6098333333333333E-2</v>
          </cell>
          <cell r="S321">
            <v>0</v>
          </cell>
          <cell r="T321">
            <v>0</v>
          </cell>
          <cell r="U321">
            <v>0</v>
          </cell>
          <cell r="V321">
            <v>2.8365000000000001E-2</v>
          </cell>
        </row>
        <row r="322">
          <cell r="E322" t="str">
            <v>BC111-5A841-2</v>
          </cell>
          <cell r="F322">
            <v>454.3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2.5536666666666666E-2</v>
          </cell>
          <cell r="U322">
            <v>0</v>
          </cell>
          <cell r="V322">
            <v>2.5536666666666666E-2</v>
          </cell>
        </row>
        <row r="323">
          <cell r="E323" t="str">
            <v>BC111-5A843-2</v>
          </cell>
          <cell r="F323">
            <v>454.3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2.5536666666666666E-2</v>
          </cell>
          <cell r="U323">
            <v>0</v>
          </cell>
          <cell r="V323">
            <v>2.5536666666666666E-2</v>
          </cell>
        </row>
        <row r="324">
          <cell r="E324" t="str">
            <v>BC111-5A852-2</v>
          </cell>
          <cell r="F324">
            <v>453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2.5515000000000003E-2</v>
          </cell>
          <cell r="U324">
            <v>0</v>
          </cell>
          <cell r="V324">
            <v>2.5515000000000003E-2</v>
          </cell>
        </row>
        <row r="325">
          <cell r="E325" t="str">
            <v>BC111-5A881-2</v>
          </cell>
          <cell r="F325">
            <v>454.3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2.5536666666666666E-2</v>
          </cell>
          <cell r="U325">
            <v>0</v>
          </cell>
          <cell r="V325">
            <v>2.5536666666666666E-2</v>
          </cell>
        </row>
        <row r="326">
          <cell r="E326" t="str">
            <v>BC111-5A883-2</v>
          </cell>
          <cell r="F326">
            <v>454.3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2.5536666666666666E-2</v>
          </cell>
          <cell r="U326">
            <v>0</v>
          </cell>
          <cell r="V326">
            <v>2.5536666666666666E-2</v>
          </cell>
        </row>
        <row r="327">
          <cell r="E327" t="str">
            <v>BC111-5AA02-2</v>
          </cell>
          <cell r="F327">
            <v>455.6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2.5555000000000001E-2</v>
          </cell>
          <cell r="U327">
            <v>0</v>
          </cell>
          <cell r="V327">
            <v>2.5555000000000001E-2</v>
          </cell>
        </row>
        <row r="328">
          <cell r="E328" t="str">
            <v>BC111-5AA03-2</v>
          </cell>
          <cell r="F328">
            <v>455.6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2.5555000000000001E-2</v>
          </cell>
          <cell r="U328">
            <v>0</v>
          </cell>
          <cell r="V328">
            <v>2.5555000000000001E-2</v>
          </cell>
        </row>
        <row r="329">
          <cell r="E329" t="str">
            <v>BC111-5AC33-2</v>
          </cell>
          <cell r="F329">
            <v>453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2.5515000000000003E-2</v>
          </cell>
          <cell r="U329">
            <v>0</v>
          </cell>
          <cell r="V329">
            <v>2.5515000000000003E-2</v>
          </cell>
        </row>
        <row r="330">
          <cell r="E330" t="str">
            <v>BC111-5DR50-1</v>
          </cell>
          <cell r="F330">
            <v>72</v>
          </cell>
          <cell r="G330">
            <v>0</v>
          </cell>
          <cell r="H330">
            <v>8.8666666666666657E-4</v>
          </cell>
          <cell r="I330">
            <v>9.5300000000000003E-3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4.3616666666666665E-3</v>
          </cell>
          <cell r="O330">
            <v>3.1749999999999999E-3</v>
          </cell>
          <cell r="P330">
            <v>2.4933333333333335E-3</v>
          </cell>
          <cell r="Q330">
            <v>1.0416666666666666E-2</v>
          </cell>
          <cell r="R330">
            <v>1.0030000000000001E-2</v>
          </cell>
          <cell r="S330">
            <v>0</v>
          </cell>
          <cell r="T330">
            <v>0</v>
          </cell>
          <cell r="U330">
            <v>0</v>
          </cell>
          <cell r="V330">
            <v>2.0446666666666669E-2</v>
          </cell>
        </row>
        <row r="331">
          <cell r="E331" t="str">
            <v>BC111-5DR50-2</v>
          </cell>
          <cell r="F331">
            <v>106.4</v>
          </cell>
          <cell r="G331">
            <v>0</v>
          </cell>
          <cell r="H331">
            <v>1.5316666666666666E-3</v>
          </cell>
          <cell r="I331">
            <v>9.5300000000000003E-3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4.3616666666666665E-3</v>
          </cell>
          <cell r="O331">
            <v>3.1116666666666667E-3</v>
          </cell>
          <cell r="P331">
            <v>2.4483333333333332E-3</v>
          </cell>
          <cell r="Q331">
            <v>1.1061666666666668E-2</v>
          </cell>
          <cell r="R331">
            <v>9.9216666666666672E-3</v>
          </cell>
          <cell r="S331">
            <v>0</v>
          </cell>
          <cell r="T331">
            <v>0</v>
          </cell>
          <cell r="U331">
            <v>0</v>
          </cell>
          <cell r="V331">
            <v>2.0983333333333333E-2</v>
          </cell>
        </row>
        <row r="332">
          <cell r="E332" t="str">
            <v>BC111-62062-2</v>
          </cell>
          <cell r="F332">
            <v>454.3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2.5536666666666666E-2</v>
          </cell>
          <cell r="U332">
            <v>0</v>
          </cell>
          <cell r="V332">
            <v>2.5536666666666666E-2</v>
          </cell>
        </row>
        <row r="333">
          <cell r="E333" t="str">
            <v>BC111-62064-2</v>
          </cell>
          <cell r="F333">
            <v>454.31400000000002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2.5536666666666666E-2</v>
          </cell>
          <cell r="U333">
            <v>0</v>
          </cell>
          <cell r="V333">
            <v>2.5536666666666666E-2</v>
          </cell>
        </row>
        <row r="334">
          <cell r="E334" t="str">
            <v>BC111-62092-2</v>
          </cell>
          <cell r="F334">
            <v>454.3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2.5536666666666666E-2</v>
          </cell>
          <cell r="U334">
            <v>0</v>
          </cell>
          <cell r="V334">
            <v>2.5536666666666666E-2</v>
          </cell>
        </row>
        <row r="335">
          <cell r="E335" t="str">
            <v>BC111-62215-2</v>
          </cell>
          <cell r="F335">
            <v>454.31400000000002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2.5536666666666666E-2</v>
          </cell>
          <cell r="U335">
            <v>0</v>
          </cell>
          <cell r="V335">
            <v>2.5536666666666666E-2</v>
          </cell>
        </row>
        <row r="336">
          <cell r="E336" t="str">
            <v>BC111-V1020-1</v>
          </cell>
          <cell r="F336">
            <v>128.19999999999999</v>
          </cell>
          <cell r="G336">
            <v>0</v>
          </cell>
          <cell r="H336">
            <v>1.4683333333333332E-3</v>
          </cell>
          <cell r="I336">
            <v>9.5300000000000003E-3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4.3616666666666665E-3</v>
          </cell>
          <cell r="O336">
            <v>2.9566666666666669E-3</v>
          </cell>
          <cell r="P336">
            <v>2.3366666666666666E-3</v>
          </cell>
          <cell r="Q336">
            <v>1.0998333333333334E-2</v>
          </cell>
          <cell r="R336">
            <v>9.6550000000000004E-3</v>
          </cell>
          <cell r="S336">
            <v>0</v>
          </cell>
          <cell r="T336">
            <v>0</v>
          </cell>
          <cell r="U336">
            <v>0</v>
          </cell>
          <cell r="V336">
            <v>2.0653333333333336E-2</v>
          </cell>
        </row>
        <row r="337">
          <cell r="E337" t="str">
            <v>BC111-V1100-1</v>
          </cell>
          <cell r="F337">
            <v>136.6</v>
          </cell>
          <cell r="G337">
            <v>0</v>
          </cell>
          <cell r="H337">
            <v>1.5083333333333333E-3</v>
          </cell>
          <cell r="I337">
            <v>9.5300000000000003E-3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4.3616666666666665E-3</v>
          </cell>
          <cell r="O337">
            <v>3.0066666666666666E-3</v>
          </cell>
          <cell r="P337">
            <v>2.3733333333333332E-3</v>
          </cell>
          <cell r="Q337">
            <v>1.1038333333333334E-2</v>
          </cell>
          <cell r="R337">
            <v>9.7416666666666658E-3</v>
          </cell>
          <cell r="S337">
            <v>0</v>
          </cell>
          <cell r="T337">
            <v>0</v>
          </cell>
          <cell r="U337">
            <v>0</v>
          </cell>
          <cell r="V337">
            <v>2.078E-2</v>
          </cell>
        </row>
        <row r="338">
          <cell r="E338" t="str">
            <v>BC111-V3650-2</v>
          </cell>
          <cell r="F338">
            <v>343.8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2.0068333333333334E-2</v>
          </cell>
          <cell r="U338">
            <v>0</v>
          </cell>
          <cell r="V338">
            <v>2.0068333333333334E-2</v>
          </cell>
        </row>
        <row r="339">
          <cell r="E339" t="str">
            <v>BC111-V3881-1</v>
          </cell>
          <cell r="F339">
            <v>64.7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1.4525E-2</v>
          </cell>
          <cell r="U339">
            <v>0</v>
          </cell>
          <cell r="V339">
            <v>1.4525E-2</v>
          </cell>
        </row>
        <row r="340">
          <cell r="E340" t="str">
            <v>BC111-V3891-1</v>
          </cell>
          <cell r="F340">
            <v>144.80000000000001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2.1613333333333335E-2</v>
          </cell>
          <cell r="U340">
            <v>0</v>
          </cell>
          <cell r="V340">
            <v>2.1613333333333335E-2</v>
          </cell>
        </row>
        <row r="341">
          <cell r="E341" t="str">
            <v>BC111-V3891-2</v>
          </cell>
          <cell r="F341">
            <v>164.6</v>
          </cell>
          <cell r="G341">
            <v>0</v>
          </cell>
          <cell r="H341">
            <v>1.2700000000000001E-3</v>
          </cell>
          <cell r="I341">
            <v>7.0400000000000003E-3</v>
          </cell>
          <cell r="J341">
            <v>0</v>
          </cell>
          <cell r="K341">
            <v>1.9033333333333333E-3</v>
          </cell>
          <cell r="L341">
            <v>0</v>
          </cell>
          <cell r="M341">
            <v>0</v>
          </cell>
          <cell r="N341">
            <v>3.7633333333333334E-3</v>
          </cell>
          <cell r="O341">
            <v>4.3416666666666664E-3</v>
          </cell>
          <cell r="P341">
            <v>3.4266666666666668E-3</v>
          </cell>
          <cell r="Q341">
            <v>8.3099999999999997E-3</v>
          </cell>
          <cell r="R341">
            <v>1.3435000000000001E-2</v>
          </cell>
          <cell r="S341">
            <v>0</v>
          </cell>
          <cell r="T341">
            <v>0</v>
          </cell>
          <cell r="U341">
            <v>0</v>
          </cell>
          <cell r="V341">
            <v>2.1745E-2</v>
          </cell>
        </row>
        <row r="342">
          <cell r="E342" t="str">
            <v>BC111-V3891-6</v>
          </cell>
          <cell r="F342">
            <v>348.6</v>
          </cell>
          <cell r="G342">
            <v>0</v>
          </cell>
          <cell r="H342">
            <v>3.3933333333333333E-3</v>
          </cell>
          <cell r="I342">
            <v>9.5300000000000003E-3</v>
          </cell>
          <cell r="J342">
            <v>0</v>
          </cell>
          <cell r="K342">
            <v>2.4166666666666664E-3</v>
          </cell>
          <cell r="L342">
            <v>1.9433333333333332E-3</v>
          </cell>
          <cell r="M342">
            <v>0</v>
          </cell>
          <cell r="N342">
            <v>4.3616666666666665E-3</v>
          </cell>
          <cell r="O342">
            <v>4.9300000000000004E-3</v>
          </cell>
          <cell r="P342">
            <v>3.7516666666666666E-3</v>
          </cell>
          <cell r="Q342">
            <v>1.2923333333333334E-2</v>
          </cell>
          <cell r="R342">
            <v>1.7403333333333333E-2</v>
          </cell>
          <cell r="S342">
            <v>0</v>
          </cell>
          <cell r="T342">
            <v>0</v>
          </cell>
          <cell r="U342">
            <v>0</v>
          </cell>
          <cell r="V342">
            <v>3.0326666666666668E-2</v>
          </cell>
        </row>
        <row r="343">
          <cell r="E343" t="str">
            <v>BC121-35G70-1</v>
          </cell>
          <cell r="F343">
            <v>338.4</v>
          </cell>
          <cell r="G343">
            <v>0</v>
          </cell>
          <cell r="H343">
            <v>2.6133333333333334E-3</v>
          </cell>
          <cell r="I343">
            <v>9.5300000000000003E-3</v>
          </cell>
          <cell r="J343">
            <v>0</v>
          </cell>
          <cell r="K343">
            <v>2.463333333333333E-3</v>
          </cell>
          <cell r="L343">
            <v>0</v>
          </cell>
          <cell r="M343">
            <v>0</v>
          </cell>
          <cell r="N343">
            <v>4.3616666666666665E-3</v>
          </cell>
          <cell r="O343">
            <v>4.0483333333333335E-3</v>
          </cell>
          <cell r="P343">
            <v>3.1199999999999999E-3</v>
          </cell>
          <cell r="Q343">
            <v>1.2143333333333334E-2</v>
          </cell>
          <cell r="R343">
            <v>1.3993333333333332E-2</v>
          </cell>
          <cell r="S343">
            <v>0</v>
          </cell>
          <cell r="T343">
            <v>0</v>
          </cell>
          <cell r="U343">
            <v>0</v>
          </cell>
          <cell r="V343">
            <v>2.6136666666666666E-2</v>
          </cell>
        </row>
        <row r="344">
          <cell r="E344" t="str">
            <v>BC121-35G90-1</v>
          </cell>
          <cell r="F344">
            <v>453.1</v>
          </cell>
          <cell r="G344">
            <v>0</v>
          </cell>
          <cell r="H344">
            <v>2.6199999999999999E-3</v>
          </cell>
          <cell r="I344">
            <v>9.5300000000000003E-3</v>
          </cell>
          <cell r="J344">
            <v>0</v>
          </cell>
          <cell r="K344">
            <v>2.463333333333333E-3</v>
          </cell>
          <cell r="L344">
            <v>0</v>
          </cell>
          <cell r="M344">
            <v>0</v>
          </cell>
          <cell r="N344">
            <v>4.3616666666666665E-3</v>
          </cell>
          <cell r="O344">
            <v>4.0566666666666668E-3</v>
          </cell>
          <cell r="P344">
            <v>3.1250000000000002E-3</v>
          </cell>
          <cell r="Q344">
            <v>1.2150000000000001E-2</v>
          </cell>
          <cell r="R344">
            <v>1.4006666666666667E-2</v>
          </cell>
          <cell r="S344">
            <v>0</v>
          </cell>
          <cell r="T344">
            <v>0</v>
          </cell>
          <cell r="U344">
            <v>0</v>
          </cell>
          <cell r="V344">
            <v>2.6156666666666668E-2</v>
          </cell>
        </row>
        <row r="345">
          <cell r="E345" t="str">
            <v>BC121-35K80-1</v>
          </cell>
          <cell r="F345">
            <v>341.2</v>
          </cell>
          <cell r="G345">
            <v>0</v>
          </cell>
          <cell r="H345">
            <v>2.6266666666666665E-3</v>
          </cell>
          <cell r="I345">
            <v>9.5300000000000003E-3</v>
          </cell>
          <cell r="J345">
            <v>0</v>
          </cell>
          <cell r="K345">
            <v>2.463333333333333E-3</v>
          </cell>
          <cell r="L345">
            <v>0</v>
          </cell>
          <cell r="M345">
            <v>0</v>
          </cell>
          <cell r="N345">
            <v>4.3616666666666665E-3</v>
          </cell>
          <cell r="O345">
            <v>4.065E-3</v>
          </cell>
          <cell r="P345">
            <v>3.1316666666666667E-3</v>
          </cell>
          <cell r="Q345">
            <v>1.2156666666666666E-2</v>
          </cell>
          <cell r="R345">
            <v>1.4021666666666667E-2</v>
          </cell>
          <cell r="S345">
            <v>0</v>
          </cell>
          <cell r="T345">
            <v>0</v>
          </cell>
          <cell r="U345">
            <v>0</v>
          </cell>
          <cell r="V345">
            <v>2.6178333333333331E-2</v>
          </cell>
        </row>
        <row r="346">
          <cell r="E346" t="str">
            <v>BC121-6AM60-1</v>
          </cell>
          <cell r="F346">
            <v>376</v>
          </cell>
          <cell r="G346">
            <v>0</v>
          </cell>
          <cell r="H346">
            <v>2.5583333333333335E-3</v>
          </cell>
          <cell r="I346">
            <v>1.1366666666666667E-2</v>
          </cell>
          <cell r="J346">
            <v>0</v>
          </cell>
          <cell r="K346">
            <v>2.3699999999999997E-3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1.3925E-2</v>
          </cell>
          <cell r="R346">
            <v>2.3699999999999997E-3</v>
          </cell>
          <cell r="S346">
            <v>0</v>
          </cell>
          <cell r="T346">
            <v>0</v>
          </cell>
          <cell r="U346">
            <v>0</v>
          </cell>
          <cell r="V346">
            <v>1.6295E-2</v>
          </cell>
        </row>
        <row r="347">
          <cell r="E347" t="str">
            <v>BC121-6B220-1</v>
          </cell>
          <cell r="F347">
            <v>196.7</v>
          </cell>
          <cell r="G347">
            <v>0</v>
          </cell>
          <cell r="H347">
            <v>1.6566666666666667E-3</v>
          </cell>
          <cell r="I347">
            <v>8.946666666666667E-3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1.0603333333333334E-2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1.0603333333333334E-2</v>
          </cell>
        </row>
        <row r="348">
          <cell r="E348" t="str">
            <v>BC121-6B260-1</v>
          </cell>
          <cell r="F348">
            <v>282</v>
          </cell>
          <cell r="G348">
            <v>0</v>
          </cell>
          <cell r="H348">
            <v>2.7099999999999997E-3</v>
          </cell>
          <cell r="I348">
            <v>1.1366666666666666E-2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1.4076666666666664E-2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1.4076666666666664E-2</v>
          </cell>
        </row>
        <row r="349">
          <cell r="E349" t="str">
            <v>BC121-6B370-1</v>
          </cell>
          <cell r="F349">
            <v>196.7</v>
          </cell>
          <cell r="G349">
            <v>0</v>
          </cell>
          <cell r="H349">
            <v>2.725E-3</v>
          </cell>
          <cell r="I349">
            <v>8.9466666666666497E-3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1.167166666666665E-2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1.167166666666665E-2</v>
          </cell>
        </row>
        <row r="350">
          <cell r="E350" t="str">
            <v>BC121-6B370-2</v>
          </cell>
          <cell r="F350">
            <v>196.7</v>
          </cell>
          <cell r="G350">
            <v>0</v>
          </cell>
          <cell r="H350">
            <v>2.725E-3</v>
          </cell>
          <cell r="I350">
            <v>8.9466666666666497E-3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1.167166666666665E-2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1.167166666666665E-2</v>
          </cell>
        </row>
        <row r="351">
          <cell r="E351" t="str">
            <v>DC111-2FE72</v>
          </cell>
          <cell r="F351">
            <v>124.1</v>
          </cell>
          <cell r="G351">
            <v>0</v>
          </cell>
          <cell r="H351">
            <v>2.0100000000000001E-3</v>
          </cell>
          <cell r="I351">
            <v>9.5300000000000003E-3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4.4416666666666667E-3</v>
          </cell>
          <cell r="O351">
            <v>4.8516666666666673E-3</v>
          </cell>
          <cell r="P351">
            <v>3.6949999999999999E-3</v>
          </cell>
          <cell r="Q351">
            <v>1.154E-2</v>
          </cell>
          <cell r="R351">
            <v>1.2988333333333334E-2</v>
          </cell>
          <cell r="S351">
            <v>0</v>
          </cell>
          <cell r="T351">
            <v>0</v>
          </cell>
          <cell r="U351">
            <v>0</v>
          </cell>
          <cell r="V351">
            <v>2.4528333333333333E-2</v>
          </cell>
        </row>
        <row r="352">
          <cell r="E352" t="str">
            <v>DC111-2FK53</v>
          </cell>
          <cell r="F352">
            <v>124.1</v>
          </cell>
          <cell r="G352">
            <v>0</v>
          </cell>
          <cell r="H352">
            <v>2.0100000000000001E-3</v>
          </cell>
          <cell r="I352">
            <v>9.5300000000000003E-3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4.4416666666666667E-3</v>
          </cell>
          <cell r="O352">
            <v>4.8516666666666673E-3</v>
          </cell>
          <cell r="P352">
            <v>3.6949999999999999E-3</v>
          </cell>
          <cell r="Q352">
            <v>1.154E-2</v>
          </cell>
          <cell r="R352">
            <v>1.2988333333333334E-2</v>
          </cell>
          <cell r="S352">
            <v>0</v>
          </cell>
          <cell r="T352">
            <v>0</v>
          </cell>
          <cell r="U352">
            <v>0</v>
          </cell>
          <cell r="V352">
            <v>2.4528333333333333E-2</v>
          </cell>
        </row>
        <row r="353">
          <cell r="E353" t="str">
            <v>DC111-V3650</v>
          </cell>
          <cell r="F353">
            <v>142.1</v>
          </cell>
          <cell r="G353">
            <v>0</v>
          </cell>
          <cell r="H353">
            <v>2.1183333333333332E-3</v>
          </cell>
          <cell r="I353">
            <v>5.9316666666666667E-3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3.8433333333333332E-3</v>
          </cell>
          <cell r="O353">
            <v>5.1033333333333339E-3</v>
          </cell>
          <cell r="P353">
            <v>3.9716666666666667E-3</v>
          </cell>
          <cell r="Q353">
            <v>8.0499999999999999E-3</v>
          </cell>
          <cell r="R353">
            <v>1.2918333333333334E-2</v>
          </cell>
          <cell r="S353">
            <v>0</v>
          </cell>
          <cell r="T353">
            <v>0</v>
          </cell>
          <cell r="U353">
            <v>0</v>
          </cell>
          <cell r="V353">
            <v>2.0968333333333332E-2</v>
          </cell>
        </row>
        <row r="354">
          <cell r="E354" t="str">
            <v>DC111-V3881</v>
          </cell>
          <cell r="F354">
            <v>104.1</v>
          </cell>
          <cell r="G354">
            <v>0</v>
          </cell>
          <cell r="H354">
            <v>1.8916666666666667E-3</v>
          </cell>
          <cell r="I354">
            <v>9.5300000000000003E-3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4.4416666666666667E-3</v>
          </cell>
          <cell r="O354">
            <v>4.4250000000000001E-3</v>
          </cell>
          <cell r="P354">
            <v>3.3899999999999998E-3</v>
          </cell>
          <cell r="Q354">
            <v>1.1421666666666667E-2</v>
          </cell>
          <cell r="R354">
            <v>1.2256666666666666E-2</v>
          </cell>
          <cell r="S354">
            <v>0</v>
          </cell>
          <cell r="T354">
            <v>0</v>
          </cell>
          <cell r="U354">
            <v>0</v>
          </cell>
          <cell r="V354">
            <v>2.3678333333333332E-2</v>
          </cell>
        </row>
        <row r="355">
          <cell r="E355" t="str">
            <v>DC111-V3891</v>
          </cell>
          <cell r="F355">
            <v>150.9</v>
          </cell>
          <cell r="G355">
            <v>0</v>
          </cell>
          <cell r="H355">
            <v>2.1700000000000001E-3</v>
          </cell>
          <cell r="I355">
            <v>9.5300000000000003E-3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4.4416666666666667E-3</v>
          </cell>
          <cell r="O355">
            <v>5.4233333333333338E-3</v>
          </cell>
          <cell r="P355">
            <v>4.1050000000000001E-3</v>
          </cell>
          <cell r="Q355">
            <v>1.17E-2</v>
          </cell>
          <cell r="R355">
            <v>1.397E-2</v>
          </cell>
          <cell r="S355">
            <v>0</v>
          </cell>
          <cell r="T355">
            <v>0</v>
          </cell>
          <cell r="U355">
            <v>0</v>
          </cell>
          <cell r="V355">
            <v>2.5669999999999998E-2</v>
          </cell>
        </row>
        <row r="356">
          <cell r="E356" t="str">
            <v>DC111-V3A41</v>
          </cell>
          <cell r="F356">
            <v>117.5</v>
          </cell>
          <cell r="G356">
            <v>0</v>
          </cell>
          <cell r="H356">
            <v>1.9716666666666667E-3</v>
          </cell>
          <cell r="I356">
            <v>9.5300000000000003E-3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4.4416666666666667E-3</v>
          </cell>
          <cell r="O356">
            <v>4.711666666666667E-3</v>
          </cell>
          <cell r="P356">
            <v>3.5950000000000001E-3</v>
          </cell>
          <cell r="Q356">
            <v>1.1501666666666667E-2</v>
          </cell>
          <cell r="R356">
            <v>1.2748333333333334E-2</v>
          </cell>
          <cell r="S356">
            <v>0</v>
          </cell>
          <cell r="T356">
            <v>0</v>
          </cell>
          <cell r="U356">
            <v>0</v>
          </cell>
          <cell r="V356">
            <v>2.4250000000000001E-2</v>
          </cell>
        </row>
        <row r="357">
          <cell r="E357" t="str">
            <v>JN111-62063-3</v>
          </cell>
          <cell r="F357">
            <v>0</v>
          </cell>
          <cell r="G357">
            <v>59.1</v>
          </cell>
          <cell r="H357">
            <v>2.5700000000000002E-3</v>
          </cell>
          <cell r="I357">
            <v>1.1366666666666666E-2</v>
          </cell>
          <cell r="J357">
            <v>0</v>
          </cell>
          <cell r="K357">
            <v>2.3699999999999997E-3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1.3936666666666667E-2</v>
          </cell>
          <cell r="R357">
            <v>2.3699999999999997E-3</v>
          </cell>
          <cell r="S357">
            <v>0</v>
          </cell>
          <cell r="T357">
            <v>0</v>
          </cell>
          <cell r="U357">
            <v>0</v>
          </cell>
          <cell r="V357">
            <v>1.6306666666666667E-2</v>
          </cell>
        </row>
        <row r="358">
          <cell r="E358" t="str">
            <v>JN111-62063-4</v>
          </cell>
          <cell r="F358">
            <v>0</v>
          </cell>
          <cell r="G358">
            <v>59.1</v>
          </cell>
          <cell r="H358">
            <v>5.7999999999999996E-3</v>
          </cell>
          <cell r="I358">
            <v>1.43E-2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2.01E-2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2.01E-2</v>
          </cell>
        </row>
        <row r="359">
          <cell r="E359" t="str">
            <v>JN111-62064-1</v>
          </cell>
          <cell r="F359">
            <v>0</v>
          </cell>
          <cell r="G359">
            <v>177.65459999999999</v>
          </cell>
          <cell r="H359">
            <v>4.6466666666666661E-3</v>
          </cell>
          <cell r="I359">
            <v>1.1551666666666667E-2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3.7633333333333334E-3</v>
          </cell>
          <cell r="O359">
            <v>6.698333333333333E-3</v>
          </cell>
          <cell r="P359">
            <v>5.1149999999999998E-3</v>
          </cell>
          <cell r="Q359">
            <v>1.6198333333333332E-2</v>
          </cell>
          <cell r="R359">
            <v>1.5576666666666666E-2</v>
          </cell>
          <cell r="S359">
            <v>0</v>
          </cell>
          <cell r="T359">
            <v>0</v>
          </cell>
          <cell r="U359">
            <v>0</v>
          </cell>
          <cell r="V359">
            <v>3.1774999999999998E-2</v>
          </cell>
        </row>
        <row r="360">
          <cell r="E360" t="str">
            <v>JN111-62064-3</v>
          </cell>
          <cell r="F360">
            <v>0</v>
          </cell>
          <cell r="G360">
            <v>142.13550000000001</v>
          </cell>
          <cell r="H360">
            <v>3.8866666666666663E-3</v>
          </cell>
          <cell r="I360">
            <v>9.5300000000000003E-3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4.3616666666666665E-3</v>
          </cell>
          <cell r="O360">
            <v>5.9066666666666668E-3</v>
          </cell>
          <cell r="P360">
            <v>4.4516666666666671E-3</v>
          </cell>
          <cell r="Q360">
            <v>1.3416666666666667E-2</v>
          </cell>
          <cell r="R360">
            <v>1.472E-2</v>
          </cell>
          <cell r="S360">
            <v>0</v>
          </cell>
          <cell r="T360">
            <v>0</v>
          </cell>
          <cell r="U360">
            <v>0</v>
          </cell>
          <cell r="V360">
            <v>2.8136666666666667E-2</v>
          </cell>
        </row>
        <row r="361">
          <cell r="E361" t="str">
            <v>JN111-62093-3</v>
          </cell>
          <cell r="F361">
            <v>0</v>
          </cell>
          <cell r="G361">
            <v>59.1</v>
          </cell>
          <cell r="H361">
            <v>2.5700000000000002E-3</v>
          </cell>
          <cell r="I361">
            <v>1.1366666666666666E-2</v>
          </cell>
          <cell r="J361">
            <v>0</v>
          </cell>
          <cell r="K361">
            <v>2.3699999999999997E-3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1.3936666666666667E-2</v>
          </cell>
          <cell r="R361">
            <v>2.3699999999999997E-3</v>
          </cell>
          <cell r="S361">
            <v>0</v>
          </cell>
          <cell r="T361">
            <v>0</v>
          </cell>
          <cell r="U361">
            <v>0</v>
          </cell>
          <cell r="V361">
            <v>1.6306666666666667E-2</v>
          </cell>
        </row>
        <row r="362">
          <cell r="E362" t="str">
            <v>JN111-62093-4</v>
          </cell>
          <cell r="F362">
            <v>0</v>
          </cell>
          <cell r="G362">
            <v>59.1</v>
          </cell>
          <cell r="H362">
            <v>4.45E-3</v>
          </cell>
          <cell r="I362">
            <v>1.43E-2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1.8749999999999999E-2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1.8749999999999999E-2</v>
          </cell>
        </row>
      </sheetData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STP Term 68"/>
      <sheetName val="Summary STP"/>
      <sheetName val="Calender"/>
      <sheetName val="SPP (Actual)"/>
      <sheetName val="SPP (Plan)"/>
      <sheetName val="Simulasi J48P"/>
      <sheetName val="VAR"/>
      <sheetName val="Graph"/>
      <sheetName val="Simulasi UL"/>
      <sheetName val="Simulasi AL"/>
      <sheetName val=" Simulasi J61A"/>
      <sheetName val=" Simulasi 358W"/>
      <sheetName val=" Simulasi L42A"/>
      <sheetName val="Simulasi P42D (LHD)"/>
      <sheetName val="Simulasi Teana &amp; HEV"/>
      <sheetName val="Simulasi L42C &amp; P42D (RHD)"/>
      <sheetName val="Simulasi GM Holden"/>
      <sheetName val="Prod Cap"/>
    </sheetNames>
    <sheetDataSet>
      <sheetData sheetId="0" refreshError="1"/>
      <sheetData sheetId="1" refreshError="1"/>
      <sheetData sheetId="2" refreshError="1">
        <row r="224">
          <cell r="A224" t="str">
            <v>JUN</v>
          </cell>
          <cell r="B224">
            <v>20</v>
          </cell>
          <cell r="C224">
            <v>4</v>
          </cell>
          <cell r="D224">
            <v>1</v>
          </cell>
          <cell r="E224">
            <v>5</v>
          </cell>
          <cell r="F224" t="str">
            <v>05/28 - 06/03</v>
          </cell>
          <cell r="I224" t="str">
            <v>28/MAY ~ 24/JUN</v>
          </cell>
        </row>
        <row r="225">
          <cell r="D225">
            <v>2</v>
          </cell>
          <cell r="E225">
            <v>5</v>
          </cell>
          <cell r="F225" t="str">
            <v>06/04 - 06/10</v>
          </cell>
        </row>
        <row r="226">
          <cell r="D226">
            <v>3</v>
          </cell>
          <cell r="E226">
            <v>5</v>
          </cell>
          <cell r="F226" t="str">
            <v>06/11 - 06/17</v>
          </cell>
        </row>
        <row r="227">
          <cell r="D227">
            <v>4</v>
          </cell>
          <cell r="E227">
            <v>5</v>
          </cell>
          <cell r="F227" t="str">
            <v>06/18 - 06/24</v>
          </cell>
        </row>
        <row r="229">
          <cell r="A229" t="str">
            <v>JUL</v>
          </cell>
          <cell r="B229">
            <v>24</v>
          </cell>
          <cell r="C229">
            <v>5</v>
          </cell>
          <cell r="D229">
            <v>1</v>
          </cell>
          <cell r="E229">
            <v>5</v>
          </cell>
          <cell r="F229" t="str">
            <v>06/25 - 07/01</v>
          </cell>
          <cell r="I229" t="str">
            <v>25/JUN ~ 29/JUL</v>
          </cell>
        </row>
        <row r="230">
          <cell r="D230">
            <v>2</v>
          </cell>
          <cell r="E230">
            <v>5</v>
          </cell>
          <cell r="F230" t="str">
            <v>07/02 - 07/08</v>
          </cell>
        </row>
        <row r="231">
          <cell r="D231">
            <v>3</v>
          </cell>
          <cell r="E231">
            <v>5</v>
          </cell>
          <cell r="F231" t="str">
            <v>07/09 - 07/15</v>
          </cell>
        </row>
        <row r="232">
          <cell r="D232">
            <v>4</v>
          </cell>
          <cell r="E232">
            <v>5</v>
          </cell>
          <cell r="F232" t="str">
            <v>07/16 - 07/22</v>
          </cell>
        </row>
        <row r="233">
          <cell r="D233">
            <v>5</v>
          </cell>
          <cell r="E233">
            <v>4</v>
          </cell>
          <cell r="F233" t="str">
            <v>07/23 - 07/29</v>
          </cell>
        </row>
        <row r="234">
          <cell r="A234" t="str">
            <v>AUG</v>
          </cell>
          <cell r="B234">
            <v>18</v>
          </cell>
          <cell r="C234">
            <v>4</v>
          </cell>
          <cell r="D234">
            <v>1</v>
          </cell>
          <cell r="E234">
            <v>4</v>
          </cell>
          <cell r="F234" t="str">
            <v>07/31 - 08/05</v>
          </cell>
          <cell r="I234" t="str">
            <v>31/JUL ~ 26/AUG</v>
          </cell>
        </row>
        <row r="235">
          <cell r="D235">
            <v>2</v>
          </cell>
          <cell r="E235">
            <v>5</v>
          </cell>
          <cell r="F235" t="str">
            <v>08/06 - 08/12</v>
          </cell>
        </row>
        <row r="236">
          <cell r="D236">
            <v>3</v>
          </cell>
          <cell r="E236">
            <v>4</v>
          </cell>
          <cell r="F236" t="str">
            <v>08/13 - 08/19</v>
          </cell>
        </row>
        <row r="237">
          <cell r="D237">
            <v>4</v>
          </cell>
          <cell r="E237">
            <v>5</v>
          </cell>
          <cell r="F237" t="str">
            <v>08/20 - 08/26</v>
          </cell>
        </row>
        <row r="239">
          <cell r="A239" t="str">
            <v>SEP</v>
          </cell>
          <cell r="B239">
            <v>23</v>
          </cell>
          <cell r="C239">
            <v>5</v>
          </cell>
          <cell r="D239">
            <v>1</v>
          </cell>
          <cell r="E239">
            <v>5</v>
          </cell>
          <cell r="F239" t="str">
            <v>08/27 - 09/02</v>
          </cell>
          <cell r="I239" t="str">
            <v>27/AUG ~ 26/SEP</v>
          </cell>
        </row>
        <row r="240">
          <cell r="D240">
            <v>2</v>
          </cell>
          <cell r="E240">
            <v>5</v>
          </cell>
          <cell r="F240" t="str">
            <v>09/03 - 09/09</v>
          </cell>
        </row>
        <row r="241">
          <cell r="D241">
            <v>3</v>
          </cell>
          <cell r="E241">
            <v>5</v>
          </cell>
          <cell r="F241" t="str">
            <v>09/10 - 08/16</v>
          </cell>
        </row>
        <row r="242">
          <cell r="D242">
            <v>4</v>
          </cell>
          <cell r="E242">
            <v>5</v>
          </cell>
          <cell r="F242" t="str">
            <v>09/17 - 09/23</v>
          </cell>
        </row>
        <row r="243">
          <cell r="D243">
            <v>5</v>
          </cell>
          <cell r="E243">
            <v>3</v>
          </cell>
          <cell r="F243" t="str">
            <v>09/24 - 09/26</v>
          </cell>
        </row>
        <row r="244">
          <cell r="A244" t="str">
            <v>OCT</v>
          </cell>
          <cell r="B244">
            <v>18</v>
          </cell>
          <cell r="C244">
            <v>2</v>
          </cell>
          <cell r="D244">
            <v>1</v>
          </cell>
          <cell r="E244">
            <v>2</v>
          </cell>
          <cell r="F244" t="str">
            <v>10/06 - 10/07</v>
          </cell>
          <cell r="I244" t="str">
            <v>06/OCT ~ 28/OCT</v>
          </cell>
        </row>
        <row r="245">
          <cell r="D245">
            <v>2</v>
          </cell>
          <cell r="E245">
            <v>6</v>
          </cell>
          <cell r="F245" t="str">
            <v>10/08 - 10/14</v>
          </cell>
        </row>
        <row r="246">
          <cell r="D246">
            <v>3</v>
          </cell>
          <cell r="E246">
            <v>5</v>
          </cell>
          <cell r="F246" t="str">
            <v>10/15 - 10/21</v>
          </cell>
        </row>
        <row r="247">
          <cell r="D247">
            <v>4</v>
          </cell>
          <cell r="E247">
            <v>5</v>
          </cell>
          <cell r="F247" t="str">
            <v>10/22 - 10/28</v>
          </cell>
        </row>
        <row r="249">
          <cell r="A249" t="str">
            <v>NOV</v>
          </cell>
          <cell r="B249">
            <v>20</v>
          </cell>
          <cell r="C249">
            <v>4</v>
          </cell>
          <cell r="D249">
            <v>1</v>
          </cell>
          <cell r="E249">
            <v>5</v>
          </cell>
          <cell r="F249" t="str">
            <v>10/29 - 11/04</v>
          </cell>
          <cell r="I249" t="str">
            <v>29/OCT ~ 25/NOV</v>
          </cell>
        </row>
        <row r="250">
          <cell r="D250">
            <v>2</v>
          </cell>
          <cell r="E250">
            <v>5</v>
          </cell>
          <cell r="F250" t="str">
            <v>11/05 - 11/11</v>
          </cell>
        </row>
        <row r="251">
          <cell r="D251">
            <v>3</v>
          </cell>
          <cell r="E251">
            <v>5</v>
          </cell>
          <cell r="F251" t="str">
            <v>11/12 - 11/18</v>
          </cell>
        </row>
        <row r="252">
          <cell r="D252">
            <v>4</v>
          </cell>
          <cell r="E252">
            <v>5</v>
          </cell>
          <cell r="F252" t="str">
            <v>11/19 - 11/25</v>
          </cell>
        </row>
        <row r="254">
          <cell r="A254" t="str">
            <v>DEC</v>
          </cell>
          <cell r="B254">
            <v>23</v>
          </cell>
          <cell r="C254">
            <v>3</v>
          </cell>
          <cell r="D254">
            <v>1</v>
          </cell>
          <cell r="E254">
            <v>6</v>
          </cell>
          <cell r="F254" t="str">
            <v>11/26 - 12/02</v>
          </cell>
          <cell r="I254" t="str">
            <v>26/NOV ~ 30/DEC</v>
          </cell>
        </row>
        <row r="255">
          <cell r="D255">
            <v>2</v>
          </cell>
          <cell r="E255">
            <v>4</v>
          </cell>
          <cell r="F255" t="str">
            <v>12/03 - 12/09</v>
          </cell>
        </row>
        <row r="256">
          <cell r="D256">
            <v>3</v>
          </cell>
          <cell r="E256">
            <v>5</v>
          </cell>
          <cell r="F256" t="str">
            <v>12/10 - 12/16</v>
          </cell>
        </row>
        <row r="257">
          <cell r="D257">
            <v>4</v>
          </cell>
          <cell r="E257">
            <v>6</v>
          </cell>
          <cell r="F257" t="str">
            <v>12/17 - 12/23</v>
          </cell>
        </row>
        <row r="258">
          <cell r="D258">
            <v>5</v>
          </cell>
          <cell r="E258">
            <v>2</v>
          </cell>
          <cell r="F258" t="str">
            <v>12/24 - 12/30</v>
          </cell>
        </row>
        <row r="260">
          <cell r="A260">
            <v>2009</v>
          </cell>
        </row>
        <row r="261">
          <cell r="B261" t="str">
            <v xml:space="preserve">       TOTAL DAYS =</v>
          </cell>
          <cell r="F261">
            <v>244</v>
          </cell>
        </row>
        <row r="262">
          <cell r="A262" t="str">
            <v>JAN</v>
          </cell>
          <cell r="B262">
            <v>17</v>
          </cell>
          <cell r="C262">
            <v>4</v>
          </cell>
          <cell r="D262">
            <v>1</v>
          </cell>
          <cell r="E262">
            <v>3</v>
          </cell>
          <cell r="F262" t="str">
            <v>12/31- 01/06</v>
          </cell>
          <cell r="I262" t="str">
            <v>31/DEC ~ 27/JAN</v>
          </cell>
        </row>
        <row r="263">
          <cell r="D263">
            <v>2</v>
          </cell>
          <cell r="E263">
            <v>5</v>
          </cell>
          <cell r="F263" t="str">
            <v>01/07- 01/13</v>
          </cell>
        </row>
        <row r="264">
          <cell r="D264">
            <v>3</v>
          </cell>
          <cell r="E264">
            <v>5</v>
          </cell>
          <cell r="F264" t="str">
            <v>01/14 - 01/20</v>
          </cell>
        </row>
        <row r="265">
          <cell r="D265">
            <v>4</v>
          </cell>
          <cell r="E265">
            <v>4</v>
          </cell>
          <cell r="F265" t="str">
            <v>01/21 - 01/27</v>
          </cell>
        </row>
        <row r="267">
          <cell r="A267" t="str">
            <v>FEB</v>
          </cell>
          <cell r="B267">
            <v>20</v>
          </cell>
          <cell r="C267">
            <v>4</v>
          </cell>
          <cell r="D267">
            <v>1</v>
          </cell>
          <cell r="E267">
            <v>5</v>
          </cell>
          <cell r="F267" t="str">
            <v>01/28 - 02/03</v>
          </cell>
          <cell r="I267" t="str">
            <v>28/JAN ~ 24/FEB</v>
          </cell>
        </row>
        <row r="268">
          <cell r="D268">
            <v>2</v>
          </cell>
          <cell r="E268">
            <v>5</v>
          </cell>
          <cell r="F268" t="str">
            <v>02/04 - 02/10</v>
          </cell>
        </row>
        <row r="269">
          <cell r="D269">
            <v>3</v>
          </cell>
          <cell r="E269">
            <v>5</v>
          </cell>
          <cell r="F269" t="str">
            <v>02/11 - 02/17</v>
          </cell>
        </row>
        <row r="270">
          <cell r="D270">
            <v>4</v>
          </cell>
          <cell r="E270">
            <v>5</v>
          </cell>
          <cell r="F270" t="str">
            <v>02/18 - 02/24</v>
          </cell>
        </row>
        <row r="272">
          <cell r="A272" t="str">
            <v>MAR</v>
          </cell>
          <cell r="B272">
            <v>23</v>
          </cell>
          <cell r="C272">
            <v>5</v>
          </cell>
          <cell r="D272">
            <v>1</v>
          </cell>
          <cell r="E272">
            <v>5</v>
          </cell>
          <cell r="F272" t="str">
            <v>02/25 - 03/03</v>
          </cell>
          <cell r="I272" t="str">
            <v>25/FEB ~ 31/MAR</v>
          </cell>
        </row>
        <row r="273">
          <cell r="D273">
            <v>2</v>
          </cell>
          <cell r="E273">
            <v>4</v>
          </cell>
          <cell r="F273" t="str">
            <v>03/04 - 03/10</v>
          </cell>
        </row>
        <row r="274">
          <cell r="D274">
            <v>3</v>
          </cell>
          <cell r="E274">
            <v>5</v>
          </cell>
          <cell r="F274" t="str">
            <v>03/11 - 03/17</v>
          </cell>
        </row>
        <row r="275">
          <cell r="D275">
            <v>4</v>
          </cell>
          <cell r="E275">
            <v>5</v>
          </cell>
          <cell r="F275" t="str">
            <v>03/18 - 03/24</v>
          </cell>
        </row>
        <row r="276">
          <cell r="D276">
            <v>5</v>
          </cell>
          <cell r="E276">
            <v>4</v>
          </cell>
          <cell r="F276" t="str">
            <v>03/25 - 03/31</v>
          </cell>
        </row>
        <row r="277">
          <cell r="A277" t="str">
            <v>APR</v>
          </cell>
          <cell r="B277">
            <v>19</v>
          </cell>
          <cell r="C277">
            <v>4</v>
          </cell>
          <cell r="D277">
            <v>1</v>
          </cell>
          <cell r="E277">
            <v>5</v>
          </cell>
          <cell r="F277" t="str">
            <v>04/01 - 04/07</v>
          </cell>
          <cell r="I277" t="str">
            <v>01/APR ~ 28/APR</v>
          </cell>
        </row>
        <row r="278">
          <cell r="D278">
            <v>2</v>
          </cell>
          <cell r="E278">
            <v>4</v>
          </cell>
          <cell r="F278" t="str">
            <v>04/08 - 04/14</v>
          </cell>
        </row>
        <row r="279">
          <cell r="D279">
            <v>3</v>
          </cell>
          <cell r="E279">
            <v>5</v>
          </cell>
          <cell r="F279" t="str">
            <v>04/15 - 04/21</v>
          </cell>
        </row>
        <row r="280">
          <cell r="D280">
            <v>4</v>
          </cell>
          <cell r="E280">
            <v>5</v>
          </cell>
          <cell r="F280" t="str">
            <v>04/22 - 04/28</v>
          </cell>
        </row>
        <row r="282">
          <cell r="A282" t="str">
            <v>MAY</v>
          </cell>
          <cell r="B282">
            <v>19</v>
          </cell>
          <cell r="C282">
            <v>3</v>
          </cell>
          <cell r="D282">
            <v>1</v>
          </cell>
          <cell r="E282">
            <v>5</v>
          </cell>
          <cell r="F282" t="str">
            <v>04/29 - 05/05</v>
          </cell>
          <cell r="I282" t="str">
            <v>29/APR ~ 26/MAY</v>
          </cell>
        </row>
        <row r="283">
          <cell r="D283">
            <v>2</v>
          </cell>
          <cell r="E283">
            <v>5</v>
          </cell>
          <cell r="F283" t="str">
            <v>05/06 - 05/12</v>
          </cell>
        </row>
        <row r="284">
          <cell r="D284">
            <v>3</v>
          </cell>
          <cell r="E284">
            <v>5</v>
          </cell>
          <cell r="F284" t="str">
            <v>05/13 - 05/19</v>
          </cell>
        </row>
        <row r="285">
          <cell r="D285">
            <v>4</v>
          </cell>
          <cell r="E285">
            <v>4</v>
          </cell>
          <cell r="F285" t="str">
            <v>05/20 - 05/26</v>
          </cell>
        </row>
        <row r="287">
          <cell r="A287" t="str">
            <v>JUN</v>
          </cell>
          <cell r="B287">
            <v>25</v>
          </cell>
          <cell r="C287">
            <v>5</v>
          </cell>
          <cell r="D287">
            <v>1</v>
          </cell>
          <cell r="E287">
            <v>5</v>
          </cell>
          <cell r="F287" t="str">
            <v>05/27 - 06/02</v>
          </cell>
          <cell r="I287" t="str">
            <v>27/MAY ~ 30/JUN</v>
          </cell>
        </row>
        <row r="288">
          <cell r="D288">
            <v>2</v>
          </cell>
          <cell r="E288">
            <v>5</v>
          </cell>
          <cell r="F288" t="str">
            <v>06/03 - 06/09</v>
          </cell>
        </row>
        <row r="289">
          <cell r="D289">
            <v>3</v>
          </cell>
          <cell r="E289">
            <v>5</v>
          </cell>
          <cell r="F289" t="str">
            <v>06/10 - 06/16</v>
          </cell>
        </row>
        <row r="290">
          <cell r="D290">
            <v>4</v>
          </cell>
          <cell r="E290">
            <v>5</v>
          </cell>
          <cell r="F290" t="str">
            <v>06/17 - 06/23</v>
          </cell>
        </row>
        <row r="291">
          <cell r="D291">
            <v>5</v>
          </cell>
          <cell r="E291">
            <v>5</v>
          </cell>
          <cell r="F291" t="str">
            <v>06/24 - 06/30</v>
          </cell>
        </row>
        <row r="292">
          <cell r="A292" t="str">
            <v>JUL</v>
          </cell>
          <cell r="B292">
            <v>19</v>
          </cell>
          <cell r="C292">
            <v>4</v>
          </cell>
          <cell r="D292">
            <v>1</v>
          </cell>
          <cell r="E292">
            <v>5</v>
          </cell>
          <cell r="F292" t="str">
            <v>07/01 - 07/07</v>
          </cell>
          <cell r="I292" t="str">
            <v>01/JUL ~ 28/JUL</v>
          </cell>
        </row>
        <row r="293">
          <cell r="D293">
            <v>2</v>
          </cell>
          <cell r="E293">
            <v>5</v>
          </cell>
          <cell r="F293" t="str">
            <v>07/08 - 07/14</v>
          </cell>
        </row>
        <row r="294">
          <cell r="D294">
            <v>3</v>
          </cell>
          <cell r="E294">
            <v>4</v>
          </cell>
          <cell r="F294" t="str">
            <v>07/15 - 07/21</v>
          </cell>
        </row>
        <row r="295">
          <cell r="D295">
            <v>4</v>
          </cell>
          <cell r="E295">
            <v>5</v>
          </cell>
          <cell r="F295" t="str">
            <v>07/22 - 07/28</v>
          </cell>
        </row>
        <row r="297">
          <cell r="A297" t="str">
            <v>AUG</v>
          </cell>
          <cell r="B297">
            <v>19</v>
          </cell>
          <cell r="C297">
            <v>4</v>
          </cell>
          <cell r="D297">
            <v>1</v>
          </cell>
          <cell r="E297">
            <v>5</v>
          </cell>
          <cell r="F297" t="str">
            <v>07/29 - 08/04</v>
          </cell>
          <cell r="I297" t="str">
            <v>29/JUL ~ 25/AUG</v>
          </cell>
        </row>
        <row r="298">
          <cell r="D298">
            <v>2</v>
          </cell>
          <cell r="E298">
            <v>5</v>
          </cell>
          <cell r="F298" t="str">
            <v>08/05 - 08/11</v>
          </cell>
        </row>
        <row r="299">
          <cell r="D299">
            <v>3</v>
          </cell>
          <cell r="E299">
            <v>4</v>
          </cell>
          <cell r="F299" t="str">
            <v>08/12 - 08/18</v>
          </cell>
        </row>
        <row r="300">
          <cell r="D300">
            <v>4</v>
          </cell>
          <cell r="E300">
            <v>5</v>
          </cell>
          <cell r="F300" t="str">
            <v>08/19 - 08/25</v>
          </cell>
        </row>
        <row r="302">
          <cell r="A302" t="str">
            <v>SEP</v>
          </cell>
          <cell r="B302">
            <v>21</v>
          </cell>
          <cell r="C302">
            <v>4</v>
          </cell>
          <cell r="D302">
            <v>1</v>
          </cell>
          <cell r="E302">
            <v>5</v>
          </cell>
          <cell r="F302" t="str">
            <v>08/26 - 09/01</v>
          </cell>
          <cell r="I302" t="str">
            <v>26/AUG ~ 29/SEP</v>
          </cell>
        </row>
        <row r="303">
          <cell r="D303">
            <v>2</v>
          </cell>
          <cell r="E303">
            <v>5</v>
          </cell>
          <cell r="F303" t="str">
            <v>09/02 - 09/08</v>
          </cell>
        </row>
        <row r="304">
          <cell r="D304">
            <v>3</v>
          </cell>
          <cell r="E304">
            <v>5</v>
          </cell>
          <cell r="F304" t="str">
            <v>09/09 - 09/15</v>
          </cell>
        </row>
        <row r="305">
          <cell r="D305">
            <v>4</v>
          </cell>
          <cell r="E305">
            <v>6</v>
          </cell>
          <cell r="F305" t="str">
            <v>09/16 - 09/29</v>
          </cell>
        </row>
        <row r="307">
          <cell r="A307" t="str">
            <v>OCT</v>
          </cell>
          <cell r="B307">
            <v>20</v>
          </cell>
          <cell r="C307">
            <v>4</v>
          </cell>
          <cell r="D307">
            <v>1</v>
          </cell>
          <cell r="E307">
            <v>5</v>
          </cell>
          <cell r="F307" t="str">
            <v>09/30 - 10/06</v>
          </cell>
          <cell r="I307" t="str">
            <v>30/SEP ~ 27/OCT</v>
          </cell>
        </row>
        <row r="308">
          <cell r="D308">
            <v>2</v>
          </cell>
          <cell r="E308">
            <v>5</v>
          </cell>
          <cell r="F308" t="str">
            <v>10/07 - 10/13</v>
          </cell>
        </row>
        <row r="309">
          <cell r="D309">
            <v>3</v>
          </cell>
          <cell r="E309">
            <v>5</v>
          </cell>
          <cell r="F309" t="str">
            <v>10/14 - 10/20</v>
          </cell>
        </row>
        <row r="310">
          <cell r="D310">
            <v>4</v>
          </cell>
          <cell r="E310">
            <v>5</v>
          </cell>
          <cell r="F310" t="str">
            <v>10/21 - 10/27</v>
          </cell>
        </row>
        <row r="312">
          <cell r="A312" t="str">
            <v>NOV</v>
          </cell>
          <cell r="B312">
            <v>20</v>
          </cell>
          <cell r="C312">
            <v>4</v>
          </cell>
          <cell r="D312">
            <v>1</v>
          </cell>
          <cell r="E312">
            <v>5</v>
          </cell>
          <cell r="F312" t="str">
            <v>10/28 - 11/03</v>
          </cell>
          <cell r="I312" t="str">
            <v>28/OCT ~ 24/NOV</v>
          </cell>
        </row>
        <row r="313">
          <cell r="D313">
            <v>2</v>
          </cell>
          <cell r="E313">
            <v>5</v>
          </cell>
          <cell r="F313" t="str">
            <v>11/04 - 11/10</v>
          </cell>
        </row>
        <row r="314">
          <cell r="D314">
            <v>3</v>
          </cell>
          <cell r="E314">
            <v>5</v>
          </cell>
          <cell r="F314" t="str">
            <v>11/11 - 11/17</v>
          </cell>
        </row>
        <row r="315">
          <cell r="D315">
            <v>4</v>
          </cell>
          <cell r="E315">
            <v>5</v>
          </cell>
          <cell r="F315" t="str">
            <v>11/18 - 11/24</v>
          </cell>
        </row>
        <row r="317">
          <cell r="A317" t="str">
            <v>DEC</v>
          </cell>
          <cell r="B317">
            <v>22</v>
          </cell>
          <cell r="C317">
            <v>5</v>
          </cell>
          <cell r="D317">
            <v>1</v>
          </cell>
          <cell r="E317">
            <v>4</v>
          </cell>
          <cell r="F317" t="str">
            <v>11/25 - 12/01</v>
          </cell>
          <cell r="I317" t="str">
            <v>25/NOV ~ 29/DEC</v>
          </cell>
        </row>
        <row r="318">
          <cell r="D318">
            <v>2</v>
          </cell>
          <cell r="E318">
            <v>5</v>
          </cell>
          <cell r="F318" t="str">
            <v>12/02 - 12/08</v>
          </cell>
        </row>
        <row r="319">
          <cell r="D319">
            <v>3</v>
          </cell>
          <cell r="E319">
            <v>5</v>
          </cell>
          <cell r="F319" t="str">
            <v>12/09 - 12/15</v>
          </cell>
        </row>
        <row r="320">
          <cell r="D320">
            <v>4</v>
          </cell>
          <cell r="E320">
            <v>5</v>
          </cell>
          <cell r="F320" t="str">
            <v>12/16 - 12/22</v>
          </cell>
        </row>
        <row r="321">
          <cell r="D321">
            <v>5</v>
          </cell>
          <cell r="E321">
            <v>3</v>
          </cell>
          <cell r="F321" t="str">
            <v>12/23 - 12/29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</sheetNames>
    <sheetDataSet>
      <sheetData sheetId="0" refreshError="1">
        <row r="6">
          <cell r="B6" t="str">
            <v>GDL1  67030B</v>
          </cell>
          <cell r="C6">
            <v>0</v>
          </cell>
        </row>
        <row r="7">
          <cell r="B7" t="str">
            <v>GDL1  67030C</v>
          </cell>
          <cell r="C7" t="str">
            <v>080</v>
          </cell>
        </row>
        <row r="8">
          <cell r="B8" t="str">
            <v>GDL2  67030B</v>
          </cell>
          <cell r="C8">
            <v>0</v>
          </cell>
        </row>
        <row r="9">
          <cell r="B9" t="str">
            <v>GDL2  67030C</v>
          </cell>
          <cell r="C9" t="str">
            <v>080</v>
          </cell>
        </row>
        <row r="10">
          <cell r="B10" t="str">
            <v>GDL2  67030D</v>
          </cell>
          <cell r="C10">
            <v>130</v>
          </cell>
        </row>
        <row r="11">
          <cell r="B11" t="str">
            <v>GDL3  67030B</v>
          </cell>
          <cell r="C11">
            <v>0</v>
          </cell>
        </row>
        <row r="12">
          <cell r="B12" t="str">
            <v>GDL3  67030C</v>
          </cell>
          <cell r="C12" t="str">
            <v>080</v>
          </cell>
        </row>
        <row r="13">
          <cell r="B13" t="str">
            <v>GDL4  67030B</v>
          </cell>
          <cell r="C13">
            <v>0</v>
          </cell>
        </row>
        <row r="14">
          <cell r="B14" t="str">
            <v>GDL4  67030C</v>
          </cell>
          <cell r="C14" t="str">
            <v>080</v>
          </cell>
        </row>
        <row r="15">
          <cell r="B15" t="str">
            <v>GDL5  67030B</v>
          </cell>
          <cell r="C15">
            <v>0</v>
          </cell>
        </row>
        <row r="16">
          <cell r="B16" t="str">
            <v>GDL5  67030C</v>
          </cell>
          <cell r="C16" t="str">
            <v>080</v>
          </cell>
        </row>
        <row r="17">
          <cell r="B17" t="str">
            <v>GDL6  67030B</v>
          </cell>
          <cell r="C17">
            <v>0</v>
          </cell>
        </row>
        <row r="18">
          <cell r="B18" t="str">
            <v>GDL6  67030C</v>
          </cell>
          <cell r="C18" t="str">
            <v>080</v>
          </cell>
        </row>
        <row r="19">
          <cell r="B19" t="str">
            <v>GDL7  67030B</v>
          </cell>
          <cell r="C19" t="e">
            <v>#N/A</v>
          </cell>
        </row>
        <row r="20">
          <cell r="B20" t="str">
            <v>GDL7  67030C</v>
          </cell>
          <cell r="C20" t="e">
            <v>#N/A</v>
          </cell>
        </row>
        <row r="21">
          <cell r="B21" t="str">
            <v>GDL8  67030B</v>
          </cell>
          <cell r="C21" t="e">
            <v>#N/A</v>
          </cell>
        </row>
        <row r="22">
          <cell r="B22" t="str">
            <v>GDL8  67030C</v>
          </cell>
          <cell r="C22" t="e">
            <v>#N/A</v>
          </cell>
        </row>
        <row r="23">
          <cell r="B23" t="str">
            <v>GES1  67030B</v>
          </cell>
          <cell r="C23">
            <v>0</v>
          </cell>
        </row>
        <row r="24">
          <cell r="B24" t="str">
            <v>GES1  67030C</v>
          </cell>
          <cell r="C24" t="str">
            <v>080</v>
          </cell>
        </row>
        <row r="25">
          <cell r="B25" t="str">
            <v>GES1  67030E</v>
          </cell>
          <cell r="C25">
            <v>130</v>
          </cell>
        </row>
        <row r="26">
          <cell r="B26" t="str">
            <v>GES2  67030B</v>
          </cell>
          <cell r="C26">
            <v>0</v>
          </cell>
        </row>
        <row r="27">
          <cell r="B27" t="str">
            <v>GES2  67030C</v>
          </cell>
          <cell r="C27" t="str">
            <v>080</v>
          </cell>
        </row>
        <row r="28">
          <cell r="B28" t="str">
            <v>GES2  67030D</v>
          </cell>
          <cell r="C28" t="str">
            <v>120</v>
          </cell>
        </row>
        <row r="29">
          <cell r="B29" t="str">
            <v>GES3  67030B</v>
          </cell>
          <cell r="C29">
            <v>0</v>
          </cell>
        </row>
        <row r="30">
          <cell r="B30" t="str">
            <v>GES3  67030C</v>
          </cell>
          <cell r="C30" t="str">
            <v>080</v>
          </cell>
        </row>
        <row r="31">
          <cell r="B31" t="str">
            <v>GES3  67030D</v>
          </cell>
          <cell r="C31" t="str">
            <v>120</v>
          </cell>
        </row>
        <row r="32">
          <cell r="B32" t="str">
            <v>GES4  67030B</v>
          </cell>
          <cell r="C32">
            <v>0</v>
          </cell>
        </row>
        <row r="33">
          <cell r="B33" t="str">
            <v>GES4  67030C</v>
          </cell>
          <cell r="C33" t="str">
            <v>080</v>
          </cell>
        </row>
        <row r="34">
          <cell r="B34" t="str">
            <v>GES4  67030D</v>
          </cell>
          <cell r="C34" t="str">
            <v>120</v>
          </cell>
        </row>
        <row r="35">
          <cell r="B35" t="str">
            <v>GES7  67030B</v>
          </cell>
          <cell r="C35">
            <v>0</v>
          </cell>
        </row>
        <row r="36">
          <cell r="B36" t="str">
            <v>GES7  67030C</v>
          </cell>
          <cell r="C36">
            <v>0</v>
          </cell>
        </row>
        <row r="37">
          <cell r="B37" t="str">
            <v>GES5  67030B</v>
          </cell>
          <cell r="C37">
            <v>0</v>
          </cell>
        </row>
        <row r="38">
          <cell r="B38" t="str">
            <v>GES5  67030C</v>
          </cell>
          <cell r="C38" t="str">
            <v>080</v>
          </cell>
        </row>
        <row r="39">
          <cell r="B39" t="str">
            <v>GES5  67030D</v>
          </cell>
          <cell r="C39" t="str">
            <v>120</v>
          </cell>
        </row>
        <row r="40">
          <cell r="B40" t="str">
            <v>GES6  67030B</v>
          </cell>
          <cell r="C40">
            <v>0</v>
          </cell>
        </row>
        <row r="41">
          <cell r="B41" t="str">
            <v>GES6  67030C</v>
          </cell>
          <cell r="C41" t="str">
            <v>080</v>
          </cell>
        </row>
        <row r="42">
          <cell r="B42" t="str">
            <v>GES6  67030D</v>
          </cell>
          <cell r="C42" t="str">
            <v>120</v>
          </cell>
        </row>
        <row r="43">
          <cell r="B43" t="str">
            <v>GES8  67030B</v>
          </cell>
          <cell r="C43">
            <v>0</v>
          </cell>
        </row>
        <row r="44">
          <cell r="B44" t="str">
            <v>GES8  67030C</v>
          </cell>
          <cell r="C44">
            <v>0</v>
          </cell>
        </row>
        <row r="45">
          <cell r="B45" t="str">
            <v>GES9  67030A</v>
          </cell>
          <cell r="C45">
            <v>0</v>
          </cell>
        </row>
        <row r="46">
          <cell r="B46" t="str">
            <v>GES9  67030B</v>
          </cell>
          <cell r="C46" t="str">
            <v>080</v>
          </cell>
        </row>
        <row r="47">
          <cell r="B47" t="str">
            <v>GES9  67030C</v>
          </cell>
          <cell r="C47" t="str">
            <v>120</v>
          </cell>
        </row>
        <row r="48">
          <cell r="B48" t="str">
            <v>GDN1  67030B</v>
          </cell>
          <cell r="C48" t="str">
            <v>060</v>
          </cell>
        </row>
        <row r="49">
          <cell r="B49" t="str">
            <v>GDN3  67030B</v>
          </cell>
          <cell r="C49" t="str">
            <v>060</v>
          </cell>
        </row>
        <row r="50">
          <cell r="B50" t="str">
            <v>GDN3  67030C</v>
          </cell>
          <cell r="C50">
            <v>110</v>
          </cell>
        </row>
        <row r="51">
          <cell r="B51" t="str">
            <v>GDN4  67030B</v>
          </cell>
          <cell r="C51" t="str">
            <v>060</v>
          </cell>
        </row>
        <row r="52">
          <cell r="B52" t="str">
            <v>GDN5  67030B</v>
          </cell>
          <cell r="C52" t="str">
            <v>060</v>
          </cell>
        </row>
        <row r="53">
          <cell r="B53" t="str">
            <v>GEV3  67030B</v>
          </cell>
          <cell r="C53">
            <v>0</v>
          </cell>
        </row>
        <row r="54">
          <cell r="B54" t="str">
            <v>GEV4  67030B</v>
          </cell>
          <cell r="C54">
            <v>0</v>
          </cell>
        </row>
        <row r="55">
          <cell r="B55" t="str">
            <v>GEV5  67030B</v>
          </cell>
          <cell r="C55" t="str">
            <v>060</v>
          </cell>
        </row>
        <row r="56">
          <cell r="B56" t="str">
            <v>GEV5  67030C</v>
          </cell>
          <cell r="C56">
            <v>100</v>
          </cell>
        </row>
        <row r="57">
          <cell r="B57" t="str">
            <v>GEV6  67030B</v>
          </cell>
          <cell r="C57" t="str">
            <v>060</v>
          </cell>
        </row>
        <row r="58">
          <cell r="B58" t="str">
            <v>GEV6  67030C</v>
          </cell>
          <cell r="C58">
            <v>100</v>
          </cell>
        </row>
        <row r="59">
          <cell r="B59" t="str">
            <v>G39A  67030A</v>
          </cell>
          <cell r="C59" t="str">
            <v>050</v>
          </cell>
        </row>
        <row r="60">
          <cell r="B60" t="str">
            <v>G39D  67030B</v>
          </cell>
          <cell r="C60" t="str">
            <v>050</v>
          </cell>
        </row>
        <row r="61">
          <cell r="B61" t="str">
            <v>G39E  67030B</v>
          </cell>
          <cell r="C61" t="str">
            <v>050</v>
          </cell>
        </row>
        <row r="62">
          <cell r="B62" t="str">
            <v>G39E  67030C</v>
          </cell>
          <cell r="C62" t="str">
            <v>090</v>
          </cell>
        </row>
        <row r="63">
          <cell r="B63" t="str">
            <v>G39F  67030B</v>
          </cell>
          <cell r="C63">
            <v>0</v>
          </cell>
        </row>
        <row r="64">
          <cell r="B64" t="str">
            <v>G39G  67030B</v>
          </cell>
          <cell r="C64">
            <v>0</v>
          </cell>
        </row>
        <row r="65">
          <cell r="B65" t="str">
            <v>G39K  67030B</v>
          </cell>
          <cell r="C65">
            <v>0</v>
          </cell>
        </row>
        <row r="66">
          <cell r="B66" t="str">
            <v>G40A  67030B</v>
          </cell>
          <cell r="C66" t="str">
            <v>050</v>
          </cell>
        </row>
        <row r="67">
          <cell r="B67" t="str">
            <v>G40A  67030C</v>
          </cell>
          <cell r="C67" t="str">
            <v>090</v>
          </cell>
        </row>
        <row r="68">
          <cell r="B68" t="str">
            <v>G40B  67030B</v>
          </cell>
          <cell r="C68" t="str">
            <v>050</v>
          </cell>
        </row>
        <row r="69">
          <cell r="B69" t="str">
            <v>G40B  67030C</v>
          </cell>
          <cell r="C69" t="str">
            <v>090</v>
          </cell>
        </row>
        <row r="70">
          <cell r="B70" t="str">
            <v>G40D  67030B</v>
          </cell>
          <cell r="C70" t="str">
            <v>050</v>
          </cell>
        </row>
        <row r="71">
          <cell r="B71" t="str">
            <v>G40D  67030C</v>
          </cell>
          <cell r="C71" t="str">
            <v>090</v>
          </cell>
        </row>
        <row r="72">
          <cell r="B72" t="str">
            <v>G40E  67030B</v>
          </cell>
          <cell r="C72">
            <v>0</v>
          </cell>
        </row>
        <row r="73">
          <cell r="B73" t="str">
            <v>G40E  67030C</v>
          </cell>
          <cell r="C73">
            <v>0</v>
          </cell>
        </row>
        <row r="74">
          <cell r="B74" t="str">
            <v>G39L  67030A</v>
          </cell>
          <cell r="C74">
            <v>0</v>
          </cell>
        </row>
        <row r="75">
          <cell r="B75" t="str">
            <v>G40F  67030A</v>
          </cell>
          <cell r="C75" t="str">
            <v>050</v>
          </cell>
        </row>
        <row r="76">
          <cell r="B76" t="str">
            <v>G40H  67030A</v>
          </cell>
          <cell r="C76" t="str">
            <v>050</v>
          </cell>
        </row>
        <row r="77">
          <cell r="B77" t="str">
            <v>G40L  67030A</v>
          </cell>
          <cell r="C77" t="str">
            <v>050</v>
          </cell>
        </row>
        <row r="78">
          <cell r="B78" t="str">
            <v>GGT1  67030</v>
          </cell>
          <cell r="C78" t="str">
            <v>040</v>
          </cell>
        </row>
        <row r="79">
          <cell r="B79" t="str">
            <v>GGT2  67030</v>
          </cell>
          <cell r="C79" t="str">
            <v>040</v>
          </cell>
        </row>
        <row r="80">
          <cell r="B80" t="str">
            <v>GGT3  67030</v>
          </cell>
          <cell r="C80" t="str">
            <v>040</v>
          </cell>
        </row>
        <row r="81">
          <cell r="B81" t="str">
            <v>GGT4  67030</v>
          </cell>
          <cell r="C81">
            <v>0</v>
          </cell>
        </row>
        <row r="82">
          <cell r="B82" t="str">
            <v>GGT5  67030A</v>
          </cell>
          <cell r="C82" t="str">
            <v>050</v>
          </cell>
        </row>
        <row r="83">
          <cell r="B83" t="str">
            <v>GGT5  67030B</v>
          </cell>
        </row>
        <row r="84">
          <cell r="B84" t="str">
            <v>GGS1  67030A</v>
          </cell>
          <cell r="C84">
            <v>0</v>
          </cell>
        </row>
        <row r="85">
          <cell r="B85" t="str">
            <v>GGS2  67030A</v>
          </cell>
          <cell r="C85" t="str">
            <v>050</v>
          </cell>
        </row>
        <row r="86">
          <cell r="B86" t="str">
            <v>GGS2  67030B</v>
          </cell>
          <cell r="C86" t="str">
            <v>120</v>
          </cell>
        </row>
        <row r="87">
          <cell r="B87" t="str">
            <v>GGS3  67030A</v>
          </cell>
          <cell r="C87" t="str">
            <v>050</v>
          </cell>
        </row>
        <row r="88">
          <cell r="B88" t="str">
            <v>GGS3  67030B</v>
          </cell>
          <cell r="C88" t="str">
            <v>120</v>
          </cell>
        </row>
        <row r="89">
          <cell r="B89" t="str">
            <v>GGS5  67030</v>
          </cell>
          <cell r="C89" t="str">
            <v>040</v>
          </cell>
        </row>
        <row r="90">
          <cell r="B90" t="str">
            <v>GGS5  67030A</v>
          </cell>
          <cell r="C90" t="str">
            <v>120</v>
          </cell>
        </row>
        <row r="91">
          <cell r="B91" t="str">
            <v>GGS7  67030</v>
          </cell>
          <cell r="C91" t="str">
            <v>040</v>
          </cell>
        </row>
        <row r="92">
          <cell r="B92" t="str">
            <v>GGS7  67030A</v>
          </cell>
          <cell r="C92" t="str">
            <v>120</v>
          </cell>
        </row>
        <row r="93">
          <cell r="B93" t="str">
            <v>GGS8  67030A</v>
          </cell>
          <cell r="C93" t="str">
            <v>050</v>
          </cell>
        </row>
        <row r="94">
          <cell r="B94" t="str">
            <v>GGS8  67030B</v>
          </cell>
          <cell r="C94" t="str">
            <v>120</v>
          </cell>
        </row>
        <row r="95">
          <cell r="B95" t="str">
            <v>GGR1  67030</v>
          </cell>
          <cell r="C95" t="str">
            <v>040</v>
          </cell>
        </row>
        <row r="96">
          <cell r="B96" t="str">
            <v>GGR2  67030</v>
          </cell>
          <cell r="C96" t="str">
            <v>040</v>
          </cell>
        </row>
        <row r="97">
          <cell r="B97" t="str">
            <v>GGR3  67030</v>
          </cell>
          <cell r="C97">
            <v>0</v>
          </cell>
        </row>
        <row r="98">
          <cell r="B98" t="str">
            <v>GGR4  67030A</v>
          </cell>
          <cell r="C98" t="str">
            <v>050</v>
          </cell>
        </row>
        <row r="99">
          <cell r="B99" t="str">
            <v>GGR4  67030B</v>
          </cell>
          <cell r="C99" t="str">
            <v>120</v>
          </cell>
        </row>
        <row r="100">
          <cell r="B100" t="str">
            <v>GGV2  67030</v>
          </cell>
          <cell r="C100" t="str">
            <v>030</v>
          </cell>
        </row>
        <row r="101">
          <cell r="B101" t="str">
            <v>GGV3  67030</v>
          </cell>
          <cell r="C101" t="str">
            <v>030</v>
          </cell>
        </row>
        <row r="102">
          <cell r="B102" t="str">
            <v>GGV4  67030A</v>
          </cell>
          <cell r="C102" t="str">
            <v>030</v>
          </cell>
        </row>
        <row r="103">
          <cell r="B103" t="str">
            <v>GGV4  67030B</v>
          </cell>
          <cell r="C103" t="str">
            <v>080</v>
          </cell>
        </row>
        <row r="104">
          <cell r="B104" t="str">
            <v>GGV5  67030A</v>
          </cell>
          <cell r="C104" t="str">
            <v>030</v>
          </cell>
        </row>
        <row r="105">
          <cell r="B105" t="str">
            <v>GGV5  67030B</v>
          </cell>
          <cell r="C105" t="str">
            <v>080</v>
          </cell>
        </row>
        <row r="106">
          <cell r="B106" t="str">
            <v>GGV6  67030A</v>
          </cell>
          <cell r="C106" t="str">
            <v>030</v>
          </cell>
        </row>
        <row r="107">
          <cell r="B107" t="str">
            <v>GGV6  67030B</v>
          </cell>
          <cell r="C107" t="str">
            <v>080</v>
          </cell>
        </row>
        <row r="108">
          <cell r="B108" t="str">
            <v>G42A  67030</v>
          </cell>
          <cell r="C108" t="str">
            <v>090</v>
          </cell>
        </row>
        <row r="109">
          <cell r="B109" t="str">
            <v>GKB5  67030A</v>
          </cell>
          <cell r="C109" t="str">
            <v>130</v>
          </cell>
        </row>
        <row r="110">
          <cell r="B110" t="str">
            <v>GKB6  67030</v>
          </cell>
          <cell r="C110" t="str">
            <v>120</v>
          </cell>
        </row>
        <row r="111">
          <cell r="B111" t="str">
            <v>GKC5  67030A</v>
          </cell>
          <cell r="C111" t="str">
            <v>110</v>
          </cell>
        </row>
        <row r="112">
          <cell r="B112" t="str">
            <v>GKD1  67030</v>
          </cell>
          <cell r="C112" t="str">
            <v>120</v>
          </cell>
        </row>
      </sheetData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vered_Sheet1"/>
      <sheetName val="XXXXXX"/>
      <sheetName val="XXXXXXXX"/>
      <sheetName val="XXXXXXXXXX"/>
      <sheetName val="XXXXXXXXX0"/>
      <sheetName val="QTY "/>
      <sheetName val="GUM UMH"/>
      <sheetName val="AS400 JEMBATAN"/>
      <sheetName val="AS400 TRANSFER"/>
      <sheetName val="WEEK"/>
      <sheetName val="AS4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STP Term 68"/>
      <sheetName val="Summary STP Term 69"/>
      <sheetName val="Summary STP"/>
      <sheetName val="Calender"/>
      <sheetName val="VAR (2 Week)"/>
      <sheetName val="VAR (MO 2 month)"/>
      <sheetName val="SPP (Actual)"/>
      <sheetName val="SPP (Plan)"/>
      <sheetName val="Graph"/>
      <sheetName val="Simulasi GM Holden"/>
      <sheetName val="Simulasi UL"/>
      <sheetName val="Simulasi Teana &amp; HEV &amp; P42D-YD"/>
      <sheetName val=" Simulasi L42A"/>
      <sheetName val="Simulasi J48P new"/>
      <sheetName val="Simulasi J48P"/>
      <sheetName val="Simulasi J61A &amp; front&amp;P42D(LHD)"/>
      <sheetName val="Simulasi J42H"/>
      <sheetName val="Simulasi J74G"/>
      <sheetName val="Simulasi  J61S "/>
      <sheetName val="Simulasi J61A ( EC &amp; UK)"/>
      <sheetName val=" Simulasi J61S"/>
      <sheetName val="Simulasi L42C &amp; P42D (RHD)"/>
      <sheetName val="Simulasi AL"/>
      <sheetName val=" Simulasi 433W"/>
      <sheetName val="P42D LHD"/>
      <sheetName val=" Simulasi 358W"/>
      <sheetName val="L53E"/>
      <sheetName val="D51G"/>
      <sheetName val="Prod Cap"/>
    </sheetNames>
    <sheetDataSet>
      <sheetData sheetId="0" refreshError="1"/>
      <sheetData sheetId="1" refreshError="1"/>
      <sheetData sheetId="2" refreshError="1"/>
      <sheetData sheetId="3" refreshError="1">
        <row r="324">
          <cell r="A324" t="str">
            <v>JAN</v>
          </cell>
          <cell r="B324">
            <v>22</v>
          </cell>
          <cell r="C324">
            <v>4</v>
          </cell>
          <cell r="D324">
            <v>1</v>
          </cell>
          <cell r="E324">
            <v>7</v>
          </cell>
          <cell r="F324" t="str">
            <v>12/30- 01/08</v>
          </cell>
          <cell r="G324">
            <v>0</v>
          </cell>
          <cell r="H324">
            <v>0</v>
          </cell>
          <cell r="I324" t="str">
            <v>30/DEC ~ 29/JAN</v>
          </cell>
        </row>
        <row r="325">
          <cell r="A325">
            <v>0</v>
          </cell>
          <cell r="B325">
            <v>0</v>
          </cell>
          <cell r="C325">
            <v>0</v>
          </cell>
          <cell r="D325">
            <v>2</v>
          </cell>
          <cell r="E325">
            <v>5</v>
          </cell>
          <cell r="F325" t="str">
            <v>01/11- 01/15</v>
          </cell>
          <cell r="G325">
            <v>0</v>
          </cell>
          <cell r="H325">
            <v>0</v>
          </cell>
          <cell r="I325">
            <v>0</v>
          </cell>
        </row>
        <row r="326">
          <cell r="A326">
            <v>0</v>
          </cell>
          <cell r="B326">
            <v>0</v>
          </cell>
          <cell r="C326">
            <v>0</v>
          </cell>
          <cell r="D326">
            <v>3</v>
          </cell>
          <cell r="E326">
            <v>5</v>
          </cell>
          <cell r="F326" t="str">
            <v>01/18 - 01/22</v>
          </cell>
          <cell r="G326">
            <v>0</v>
          </cell>
          <cell r="H326">
            <v>0</v>
          </cell>
          <cell r="I326">
            <v>0</v>
          </cell>
        </row>
        <row r="327">
          <cell r="A327">
            <v>0</v>
          </cell>
          <cell r="B327">
            <v>0</v>
          </cell>
          <cell r="C327">
            <v>0</v>
          </cell>
          <cell r="D327">
            <v>4</v>
          </cell>
          <cell r="E327">
            <v>5</v>
          </cell>
          <cell r="F327" t="str">
            <v>01/25 - 01/29</v>
          </cell>
          <cell r="G327">
            <v>0</v>
          </cell>
          <cell r="H327">
            <v>0</v>
          </cell>
          <cell r="I327">
            <v>0</v>
          </cell>
        </row>
        <row r="328">
          <cell r="A328">
            <v>0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FEB</v>
          </cell>
          <cell r="B329">
            <v>19</v>
          </cell>
          <cell r="C329">
            <v>4</v>
          </cell>
          <cell r="D329">
            <v>1</v>
          </cell>
          <cell r="E329">
            <v>5</v>
          </cell>
          <cell r="F329" t="str">
            <v>02/01 - 02/05</v>
          </cell>
          <cell r="G329">
            <v>0</v>
          </cell>
          <cell r="H329">
            <v>0</v>
          </cell>
          <cell r="I329" t="str">
            <v>02/FEB ~ 25/FEB</v>
          </cell>
        </row>
        <row r="330">
          <cell r="A330">
            <v>0</v>
          </cell>
          <cell r="B330">
            <v>0</v>
          </cell>
          <cell r="C330">
            <v>0</v>
          </cell>
          <cell r="D330">
            <v>2</v>
          </cell>
          <cell r="E330">
            <v>5</v>
          </cell>
          <cell r="F330" t="str">
            <v>02/08 - 02/12</v>
          </cell>
          <cell r="G330">
            <v>0</v>
          </cell>
          <cell r="H330">
            <v>0</v>
          </cell>
          <cell r="I330">
            <v>0</v>
          </cell>
        </row>
        <row r="331">
          <cell r="A331">
            <v>0</v>
          </cell>
          <cell r="B331">
            <v>0</v>
          </cell>
          <cell r="C331">
            <v>0</v>
          </cell>
          <cell r="D331">
            <v>3</v>
          </cell>
          <cell r="E331">
            <v>5</v>
          </cell>
          <cell r="F331" t="str">
            <v>02/15 - 02/19</v>
          </cell>
          <cell r="G331">
            <v>0</v>
          </cell>
          <cell r="H331">
            <v>0</v>
          </cell>
          <cell r="I331">
            <v>0</v>
          </cell>
        </row>
        <row r="332">
          <cell r="A332">
            <v>0</v>
          </cell>
          <cell r="B332">
            <v>0</v>
          </cell>
          <cell r="C332">
            <v>0</v>
          </cell>
          <cell r="D332">
            <v>4</v>
          </cell>
          <cell r="E332">
            <v>4</v>
          </cell>
          <cell r="F332" t="str">
            <v>02/22 - 02/25</v>
          </cell>
          <cell r="G332">
            <v>0</v>
          </cell>
          <cell r="H332">
            <v>0</v>
          </cell>
          <cell r="I332">
            <v>0</v>
          </cell>
        </row>
        <row r="333">
          <cell r="A333">
            <v>0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MAR</v>
          </cell>
          <cell r="B334">
            <v>23</v>
          </cell>
          <cell r="C334">
            <v>5</v>
          </cell>
          <cell r="D334">
            <v>1</v>
          </cell>
          <cell r="E334">
            <v>5</v>
          </cell>
          <cell r="F334" t="str">
            <v>03/01 - 03/05</v>
          </cell>
          <cell r="G334">
            <v>0</v>
          </cell>
          <cell r="H334">
            <v>0</v>
          </cell>
          <cell r="I334" t="str">
            <v>01/MAR ~ 4/APR</v>
          </cell>
        </row>
        <row r="335">
          <cell r="A335">
            <v>0</v>
          </cell>
          <cell r="B335">
            <v>0</v>
          </cell>
          <cell r="C335">
            <v>0</v>
          </cell>
          <cell r="D335">
            <v>2</v>
          </cell>
          <cell r="E335">
            <v>5</v>
          </cell>
          <cell r="F335" t="str">
            <v>03/08 - 03/12</v>
          </cell>
          <cell r="G335">
            <v>0</v>
          </cell>
          <cell r="H335">
            <v>0</v>
          </cell>
          <cell r="I335">
            <v>0</v>
          </cell>
        </row>
        <row r="336">
          <cell r="A336">
            <v>0</v>
          </cell>
          <cell r="B336">
            <v>0</v>
          </cell>
          <cell r="C336">
            <v>0</v>
          </cell>
          <cell r="D336">
            <v>3</v>
          </cell>
          <cell r="E336">
            <v>4</v>
          </cell>
          <cell r="F336" t="str">
            <v>03/17 - 03/20</v>
          </cell>
          <cell r="G336">
            <v>0</v>
          </cell>
          <cell r="H336">
            <v>0</v>
          </cell>
          <cell r="I336">
            <v>0</v>
          </cell>
        </row>
        <row r="337">
          <cell r="A337">
            <v>0</v>
          </cell>
          <cell r="B337">
            <v>0</v>
          </cell>
          <cell r="C337">
            <v>0</v>
          </cell>
          <cell r="D337">
            <v>4</v>
          </cell>
          <cell r="E337">
            <v>5</v>
          </cell>
          <cell r="F337" t="str">
            <v>03/22 - 03/26</v>
          </cell>
          <cell r="G337">
            <v>0</v>
          </cell>
          <cell r="H337">
            <v>0</v>
          </cell>
          <cell r="I337">
            <v>0</v>
          </cell>
        </row>
        <row r="338">
          <cell r="A338">
            <v>0</v>
          </cell>
          <cell r="B338">
            <v>0</v>
          </cell>
          <cell r="C338">
            <v>0</v>
          </cell>
          <cell r="D338">
            <v>5</v>
          </cell>
          <cell r="E338">
            <v>4</v>
          </cell>
          <cell r="F338" t="str">
            <v>03/29 - 04/01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APR</v>
          </cell>
          <cell r="B339">
            <v>20</v>
          </cell>
          <cell r="C339">
            <v>4</v>
          </cell>
          <cell r="D339">
            <v>1</v>
          </cell>
          <cell r="E339">
            <v>5</v>
          </cell>
          <cell r="F339" t="str">
            <v>04/05 - 04/09</v>
          </cell>
          <cell r="G339">
            <v>0</v>
          </cell>
          <cell r="H339">
            <v>0</v>
          </cell>
          <cell r="I339" t="str">
            <v>05/APR ~ 30/APR</v>
          </cell>
        </row>
        <row r="340">
          <cell r="A340">
            <v>0</v>
          </cell>
          <cell r="B340">
            <v>0</v>
          </cell>
          <cell r="C340">
            <v>0</v>
          </cell>
          <cell r="D340">
            <v>2</v>
          </cell>
          <cell r="E340">
            <v>5</v>
          </cell>
          <cell r="F340" t="str">
            <v>04/12 - 04/16</v>
          </cell>
          <cell r="G340">
            <v>0</v>
          </cell>
          <cell r="H340">
            <v>0</v>
          </cell>
          <cell r="I340">
            <v>0</v>
          </cell>
        </row>
        <row r="341">
          <cell r="A341">
            <v>0</v>
          </cell>
          <cell r="B341">
            <v>0</v>
          </cell>
          <cell r="C341">
            <v>0</v>
          </cell>
          <cell r="D341">
            <v>3</v>
          </cell>
          <cell r="E341">
            <v>5</v>
          </cell>
          <cell r="F341" t="str">
            <v>04/19 - 04/23</v>
          </cell>
          <cell r="G341">
            <v>0</v>
          </cell>
          <cell r="H341">
            <v>0</v>
          </cell>
          <cell r="I341">
            <v>0</v>
          </cell>
        </row>
        <row r="342">
          <cell r="A342">
            <v>0</v>
          </cell>
          <cell r="B342">
            <v>0</v>
          </cell>
          <cell r="C342">
            <v>0</v>
          </cell>
          <cell r="D342">
            <v>4</v>
          </cell>
          <cell r="E342">
            <v>5</v>
          </cell>
          <cell r="F342" t="str">
            <v>04/26 - 04/30</v>
          </cell>
          <cell r="G342">
            <v>0</v>
          </cell>
          <cell r="H342">
            <v>0</v>
          </cell>
          <cell r="I342">
            <v>0</v>
          </cell>
        </row>
        <row r="343">
          <cell r="A343">
            <v>0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MAY</v>
          </cell>
          <cell r="B344">
            <v>17</v>
          </cell>
          <cell r="C344">
            <v>4</v>
          </cell>
          <cell r="D344">
            <v>1</v>
          </cell>
          <cell r="E344">
            <v>5</v>
          </cell>
          <cell r="F344" t="str">
            <v>05/03 - 05/07</v>
          </cell>
          <cell r="G344">
            <v>0</v>
          </cell>
          <cell r="H344">
            <v>0</v>
          </cell>
          <cell r="I344" t="str">
            <v>03/MAY ~ 27/MAY</v>
          </cell>
        </row>
        <row r="345">
          <cell r="A345">
            <v>0</v>
          </cell>
          <cell r="B345">
            <v>0</v>
          </cell>
          <cell r="C345">
            <v>0</v>
          </cell>
          <cell r="D345">
            <v>2</v>
          </cell>
          <cell r="E345">
            <v>3</v>
          </cell>
          <cell r="F345" t="str">
            <v>05/10 - 05/12</v>
          </cell>
          <cell r="G345">
            <v>0</v>
          </cell>
          <cell r="H345">
            <v>0</v>
          </cell>
          <cell r="I345">
            <v>0</v>
          </cell>
        </row>
        <row r="346">
          <cell r="A346">
            <v>0</v>
          </cell>
          <cell r="B346">
            <v>0</v>
          </cell>
          <cell r="C346">
            <v>0</v>
          </cell>
          <cell r="D346">
            <v>3</v>
          </cell>
          <cell r="E346">
            <v>5</v>
          </cell>
          <cell r="F346" t="str">
            <v>05/17 - 05/21</v>
          </cell>
          <cell r="G346">
            <v>0</v>
          </cell>
          <cell r="H346">
            <v>0</v>
          </cell>
          <cell r="I346">
            <v>0</v>
          </cell>
        </row>
        <row r="347">
          <cell r="A347">
            <v>0</v>
          </cell>
          <cell r="B347">
            <v>0</v>
          </cell>
          <cell r="C347">
            <v>0</v>
          </cell>
          <cell r="D347">
            <v>4</v>
          </cell>
          <cell r="E347">
            <v>4</v>
          </cell>
          <cell r="F347" t="str">
            <v>05/24 - 05/27</v>
          </cell>
          <cell r="G347">
            <v>0</v>
          </cell>
          <cell r="H347">
            <v>0</v>
          </cell>
          <cell r="I347">
            <v>0</v>
          </cell>
        </row>
        <row r="348">
          <cell r="A348">
            <v>0</v>
          </cell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JUN</v>
          </cell>
          <cell r="B349">
            <v>25</v>
          </cell>
          <cell r="C349">
            <v>5</v>
          </cell>
          <cell r="D349">
            <v>1</v>
          </cell>
          <cell r="E349">
            <v>5</v>
          </cell>
          <cell r="F349" t="str">
            <v>05/31 - 06/04</v>
          </cell>
          <cell r="G349">
            <v>0</v>
          </cell>
          <cell r="H349">
            <v>0</v>
          </cell>
          <cell r="I349" t="str">
            <v>31/MAY ~ 2/JUL</v>
          </cell>
        </row>
        <row r="350">
          <cell r="A350">
            <v>0</v>
          </cell>
          <cell r="B350">
            <v>0</v>
          </cell>
          <cell r="C350">
            <v>0</v>
          </cell>
          <cell r="D350">
            <v>2</v>
          </cell>
          <cell r="E350">
            <v>5</v>
          </cell>
          <cell r="F350" t="str">
            <v>06/07 - 06/11</v>
          </cell>
          <cell r="G350">
            <v>0</v>
          </cell>
          <cell r="H350">
            <v>0</v>
          </cell>
          <cell r="I350">
            <v>0</v>
          </cell>
        </row>
        <row r="351">
          <cell r="A351">
            <v>0</v>
          </cell>
          <cell r="B351">
            <v>0</v>
          </cell>
          <cell r="C351">
            <v>0</v>
          </cell>
          <cell r="D351">
            <v>3</v>
          </cell>
          <cell r="E351">
            <v>5</v>
          </cell>
          <cell r="F351" t="str">
            <v>06/14 - 06/18</v>
          </cell>
          <cell r="G351">
            <v>0</v>
          </cell>
          <cell r="H351">
            <v>0</v>
          </cell>
          <cell r="I351">
            <v>0</v>
          </cell>
        </row>
        <row r="352">
          <cell r="A352">
            <v>0</v>
          </cell>
          <cell r="B352">
            <v>0</v>
          </cell>
          <cell r="C352">
            <v>0</v>
          </cell>
          <cell r="D352">
            <v>4</v>
          </cell>
          <cell r="E352">
            <v>5</v>
          </cell>
          <cell r="F352" t="str">
            <v>06/21 - 06/25</v>
          </cell>
          <cell r="G352">
            <v>0</v>
          </cell>
          <cell r="H352">
            <v>0</v>
          </cell>
          <cell r="I352">
            <v>0</v>
          </cell>
        </row>
        <row r="353">
          <cell r="A353">
            <v>0</v>
          </cell>
          <cell r="B353">
            <v>0</v>
          </cell>
          <cell r="C353">
            <v>0</v>
          </cell>
          <cell r="D353">
            <v>5</v>
          </cell>
          <cell r="E353">
            <v>5</v>
          </cell>
          <cell r="F353" t="str">
            <v>06/28 - 07/02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JUL</v>
          </cell>
          <cell r="B354">
            <v>20</v>
          </cell>
          <cell r="C354">
            <v>4</v>
          </cell>
          <cell r="D354">
            <v>1</v>
          </cell>
          <cell r="E354">
            <v>5</v>
          </cell>
          <cell r="F354" t="str">
            <v>07/05 - 07/09</v>
          </cell>
          <cell r="G354">
            <v>0</v>
          </cell>
          <cell r="H354">
            <v>0</v>
          </cell>
          <cell r="I354" t="str">
            <v>05/JUL ~ 30/JUL</v>
          </cell>
        </row>
        <row r="355">
          <cell r="A355">
            <v>0</v>
          </cell>
          <cell r="B355">
            <v>0</v>
          </cell>
          <cell r="C355">
            <v>0</v>
          </cell>
          <cell r="D355">
            <v>2</v>
          </cell>
          <cell r="E355">
            <v>5</v>
          </cell>
          <cell r="F355" t="str">
            <v>07/12 - 07/16</v>
          </cell>
          <cell r="G355">
            <v>0</v>
          </cell>
          <cell r="H355">
            <v>0</v>
          </cell>
          <cell r="I355">
            <v>0</v>
          </cell>
        </row>
        <row r="356">
          <cell r="A356">
            <v>0</v>
          </cell>
          <cell r="B356">
            <v>0</v>
          </cell>
          <cell r="C356">
            <v>0</v>
          </cell>
          <cell r="D356">
            <v>3</v>
          </cell>
          <cell r="E356">
            <v>5</v>
          </cell>
          <cell r="F356" t="str">
            <v>07/19 - 07/23</v>
          </cell>
          <cell r="G356">
            <v>0</v>
          </cell>
          <cell r="H356">
            <v>0</v>
          </cell>
          <cell r="I356">
            <v>0</v>
          </cell>
        </row>
        <row r="357">
          <cell r="A357">
            <v>0</v>
          </cell>
          <cell r="B357">
            <v>0</v>
          </cell>
          <cell r="C357">
            <v>0</v>
          </cell>
          <cell r="D357">
            <v>4</v>
          </cell>
          <cell r="E357">
            <v>5</v>
          </cell>
          <cell r="F357" t="str">
            <v>07/26 - 07/30</v>
          </cell>
          <cell r="G357">
            <v>0</v>
          </cell>
          <cell r="H357">
            <v>0</v>
          </cell>
          <cell r="I357">
            <v>0</v>
          </cell>
        </row>
        <row r="358">
          <cell r="A358">
            <v>0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AUG</v>
          </cell>
          <cell r="B359">
            <v>19</v>
          </cell>
          <cell r="C359">
            <v>4</v>
          </cell>
          <cell r="D359">
            <v>1</v>
          </cell>
          <cell r="E359">
            <v>5</v>
          </cell>
          <cell r="F359" t="str">
            <v>08/02 - 08/06</v>
          </cell>
          <cell r="G359">
            <v>0</v>
          </cell>
          <cell r="H359">
            <v>0</v>
          </cell>
          <cell r="I359" t="str">
            <v>02/AUG ~ 27/AUG</v>
          </cell>
        </row>
        <row r="360">
          <cell r="A360">
            <v>0</v>
          </cell>
          <cell r="B360">
            <v>0</v>
          </cell>
          <cell r="C360">
            <v>0</v>
          </cell>
          <cell r="D360">
            <v>2</v>
          </cell>
          <cell r="E360">
            <v>5</v>
          </cell>
          <cell r="F360" t="str">
            <v>08/09 - 08/13</v>
          </cell>
          <cell r="G360">
            <v>0</v>
          </cell>
          <cell r="H360">
            <v>0</v>
          </cell>
          <cell r="I360">
            <v>0</v>
          </cell>
        </row>
        <row r="361">
          <cell r="A361">
            <v>0</v>
          </cell>
          <cell r="B361">
            <v>0</v>
          </cell>
          <cell r="C361">
            <v>0</v>
          </cell>
          <cell r="D361">
            <v>3</v>
          </cell>
          <cell r="E361">
            <v>4</v>
          </cell>
          <cell r="F361" t="str">
            <v>08/18 - 08/21</v>
          </cell>
          <cell r="G361">
            <v>0</v>
          </cell>
          <cell r="H361">
            <v>0</v>
          </cell>
          <cell r="I361">
            <v>0</v>
          </cell>
        </row>
        <row r="362">
          <cell r="A362">
            <v>0</v>
          </cell>
          <cell r="B362">
            <v>0</v>
          </cell>
          <cell r="C362">
            <v>0</v>
          </cell>
          <cell r="D362">
            <v>4</v>
          </cell>
          <cell r="E362">
            <v>5</v>
          </cell>
          <cell r="F362" t="str">
            <v>08/23 - 08/27</v>
          </cell>
          <cell r="G362">
            <v>0</v>
          </cell>
          <cell r="H362">
            <v>0</v>
          </cell>
          <cell r="I362">
            <v>0</v>
          </cell>
        </row>
        <row r="363">
          <cell r="A363">
            <v>0</v>
          </cell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SEP</v>
          </cell>
          <cell r="B364">
            <v>22</v>
          </cell>
          <cell r="C364">
            <v>5</v>
          </cell>
          <cell r="D364">
            <v>1</v>
          </cell>
          <cell r="E364">
            <v>5</v>
          </cell>
          <cell r="F364" t="str">
            <v>08/30 - 09/03</v>
          </cell>
          <cell r="G364">
            <v>0</v>
          </cell>
          <cell r="H364">
            <v>0</v>
          </cell>
          <cell r="I364" t="str">
            <v>30/AUG ~ 01/OCT</v>
          </cell>
        </row>
        <row r="365">
          <cell r="A365">
            <v>0</v>
          </cell>
          <cell r="B365">
            <v>0</v>
          </cell>
          <cell r="C365">
            <v>0</v>
          </cell>
          <cell r="D365">
            <v>2</v>
          </cell>
          <cell r="E365">
            <v>2</v>
          </cell>
          <cell r="F365" t="str">
            <v>09/06 - 09/07</v>
          </cell>
          <cell r="G365">
            <v>0</v>
          </cell>
          <cell r="H365">
            <v>0</v>
          </cell>
          <cell r="I365">
            <v>0</v>
          </cell>
        </row>
        <row r="366">
          <cell r="A366">
            <v>0</v>
          </cell>
          <cell r="B366">
            <v>0</v>
          </cell>
          <cell r="C366">
            <v>0</v>
          </cell>
          <cell r="D366">
            <v>3</v>
          </cell>
          <cell r="E366">
            <v>5</v>
          </cell>
          <cell r="F366" t="str">
            <v>09/14 - 09/18</v>
          </cell>
          <cell r="G366">
            <v>0</v>
          </cell>
          <cell r="H366">
            <v>0</v>
          </cell>
          <cell r="I366">
            <v>0</v>
          </cell>
        </row>
        <row r="367">
          <cell r="A367">
            <v>0</v>
          </cell>
          <cell r="B367">
            <v>0</v>
          </cell>
          <cell r="C367">
            <v>0</v>
          </cell>
          <cell r="D367">
            <v>4</v>
          </cell>
          <cell r="E367">
            <v>5</v>
          </cell>
          <cell r="F367" t="str">
            <v>09/20 - 09/24</v>
          </cell>
          <cell r="G367">
            <v>0</v>
          </cell>
          <cell r="H367">
            <v>0</v>
          </cell>
          <cell r="I367">
            <v>0</v>
          </cell>
        </row>
        <row r="368">
          <cell r="A368">
            <v>0</v>
          </cell>
          <cell r="B368">
            <v>0</v>
          </cell>
          <cell r="C368">
            <v>0</v>
          </cell>
          <cell r="D368">
            <v>5</v>
          </cell>
          <cell r="E368">
            <v>5</v>
          </cell>
          <cell r="F368" t="str">
            <v>09/27 - 10/01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OCT</v>
          </cell>
          <cell r="B369">
            <v>20</v>
          </cell>
          <cell r="C369">
            <v>4</v>
          </cell>
          <cell r="D369">
            <v>1</v>
          </cell>
          <cell r="E369">
            <v>5</v>
          </cell>
          <cell r="F369" t="str">
            <v>10/04 - 10/08</v>
          </cell>
          <cell r="G369">
            <v>0</v>
          </cell>
          <cell r="H369">
            <v>0</v>
          </cell>
          <cell r="I369" t="str">
            <v>04/OCT ~ 29/OCT</v>
          </cell>
        </row>
        <row r="370">
          <cell r="A370">
            <v>0</v>
          </cell>
          <cell r="B370">
            <v>0</v>
          </cell>
          <cell r="C370">
            <v>0</v>
          </cell>
          <cell r="D370">
            <v>2</v>
          </cell>
          <cell r="E370">
            <v>5</v>
          </cell>
          <cell r="F370" t="str">
            <v>10/11 - 10/15</v>
          </cell>
          <cell r="G370">
            <v>0</v>
          </cell>
          <cell r="H370">
            <v>0</v>
          </cell>
          <cell r="I370">
            <v>0</v>
          </cell>
        </row>
        <row r="371">
          <cell r="A371">
            <v>0</v>
          </cell>
          <cell r="B371">
            <v>0</v>
          </cell>
          <cell r="C371">
            <v>0</v>
          </cell>
          <cell r="D371">
            <v>3</v>
          </cell>
          <cell r="E371">
            <v>5</v>
          </cell>
          <cell r="F371" t="str">
            <v>10/18 - 10/22</v>
          </cell>
          <cell r="G371">
            <v>0</v>
          </cell>
          <cell r="H371">
            <v>0</v>
          </cell>
          <cell r="I371">
            <v>0</v>
          </cell>
        </row>
        <row r="372">
          <cell r="A372">
            <v>0</v>
          </cell>
          <cell r="B372">
            <v>0</v>
          </cell>
          <cell r="C372">
            <v>0</v>
          </cell>
          <cell r="D372">
            <v>4</v>
          </cell>
          <cell r="E372">
            <v>5</v>
          </cell>
          <cell r="F372" t="str">
            <v>10/25 - 10/29</v>
          </cell>
          <cell r="G372">
            <v>0</v>
          </cell>
          <cell r="H372">
            <v>0</v>
          </cell>
          <cell r="I372">
            <v>0</v>
          </cell>
        </row>
        <row r="373">
          <cell r="A373">
            <v>0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NOV</v>
          </cell>
          <cell r="B374">
            <v>23</v>
          </cell>
          <cell r="C374">
            <v>5</v>
          </cell>
          <cell r="D374">
            <v>1</v>
          </cell>
          <cell r="E374">
            <v>5</v>
          </cell>
          <cell r="F374" t="str">
            <v>11/01 - 11/05</v>
          </cell>
          <cell r="G374">
            <v>0</v>
          </cell>
          <cell r="H374">
            <v>0</v>
          </cell>
          <cell r="I374" t="str">
            <v>01/NOV ~ 03/DEC</v>
          </cell>
        </row>
        <row r="375">
          <cell r="A375">
            <v>0</v>
          </cell>
          <cell r="B375">
            <v>0</v>
          </cell>
          <cell r="C375">
            <v>0</v>
          </cell>
          <cell r="D375">
            <v>2</v>
          </cell>
          <cell r="E375">
            <v>5</v>
          </cell>
          <cell r="F375" t="str">
            <v>11/08 - 11/12</v>
          </cell>
          <cell r="G375">
            <v>0</v>
          </cell>
          <cell r="H375">
            <v>0</v>
          </cell>
          <cell r="I375">
            <v>0</v>
          </cell>
        </row>
        <row r="376">
          <cell r="A376">
            <v>0</v>
          </cell>
          <cell r="B376">
            <v>0</v>
          </cell>
          <cell r="C376">
            <v>0</v>
          </cell>
          <cell r="D376">
            <v>3</v>
          </cell>
          <cell r="E376">
            <v>3</v>
          </cell>
          <cell r="F376" t="str">
            <v>11/18 - 11/20</v>
          </cell>
          <cell r="G376">
            <v>0</v>
          </cell>
          <cell r="H376">
            <v>0</v>
          </cell>
          <cell r="I376">
            <v>0</v>
          </cell>
        </row>
        <row r="377">
          <cell r="A377">
            <v>0</v>
          </cell>
          <cell r="B377">
            <v>0</v>
          </cell>
          <cell r="C377">
            <v>0</v>
          </cell>
          <cell r="D377">
            <v>4</v>
          </cell>
          <cell r="E377">
            <v>5</v>
          </cell>
          <cell r="F377" t="str">
            <v>11/22 - 12/26</v>
          </cell>
          <cell r="G377">
            <v>0</v>
          </cell>
          <cell r="H377">
            <v>0</v>
          </cell>
          <cell r="I377">
            <v>0</v>
          </cell>
        </row>
        <row r="378">
          <cell r="A378">
            <v>0</v>
          </cell>
          <cell r="B378">
            <v>0</v>
          </cell>
          <cell r="C378">
            <v>0</v>
          </cell>
          <cell r="D378">
            <v>5</v>
          </cell>
          <cell r="E378">
            <v>5</v>
          </cell>
          <cell r="F378" t="str">
            <v>11/29 - 12/03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DEC</v>
          </cell>
          <cell r="B379">
            <v>19</v>
          </cell>
          <cell r="C379">
            <v>4</v>
          </cell>
          <cell r="D379">
            <v>1</v>
          </cell>
          <cell r="E379">
            <v>4</v>
          </cell>
          <cell r="F379" t="str">
            <v>12/08 - 12/11</v>
          </cell>
          <cell r="G379">
            <v>0</v>
          </cell>
          <cell r="H379">
            <v>0</v>
          </cell>
          <cell r="I379" t="str">
            <v>08/DEC ~ 31/DEC</v>
          </cell>
        </row>
        <row r="380">
          <cell r="A380">
            <v>0</v>
          </cell>
          <cell r="B380">
            <v>0</v>
          </cell>
          <cell r="C380">
            <v>0</v>
          </cell>
          <cell r="D380">
            <v>2</v>
          </cell>
          <cell r="E380">
            <v>5</v>
          </cell>
          <cell r="F380" t="str">
            <v>12/13 - 12/17</v>
          </cell>
          <cell r="G380">
            <v>0</v>
          </cell>
          <cell r="H380">
            <v>0</v>
          </cell>
          <cell r="I380">
            <v>0</v>
          </cell>
        </row>
        <row r="381">
          <cell r="A381">
            <v>0</v>
          </cell>
          <cell r="B381">
            <v>0</v>
          </cell>
          <cell r="C381">
            <v>0</v>
          </cell>
          <cell r="D381">
            <v>3</v>
          </cell>
          <cell r="E381">
            <v>5</v>
          </cell>
          <cell r="F381" t="str">
            <v>12/20 - 12/24</v>
          </cell>
          <cell r="G381">
            <v>0</v>
          </cell>
          <cell r="H381">
            <v>0</v>
          </cell>
          <cell r="I381">
            <v>0</v>
          </cell>
        </row>
        <row r="382">
          <cell r="A382">
            <v>0</v>
          </cell>
          <cell r="B382">
            <v>0</v>
          </cell>
          <cell r="C382">
            <v>0</v>
          </cell>
          <cell r="D382">
            <v>4</v>
          </cell>
          <cell r="E382">
            <v>5</v>
          </cell>
          <cell r="F382" t="str">
            <v>12/27 - 12/31</v>
          </cell>
          <cell r="G382">
            <v>0</v>
          </cell>
          <cell r="H382">
            <v>0</v>
          </cell>
          <cell r="I382">
            <v>0</v>
          </cell>
        </row>
        <row r="383">
          <cell r="A383">
            <v>0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STP Term 68"/>
      <sheetName val="Summary STP Term 69"/>
      <sheetName val="Summary STP"/>
      <sheetName val="Calender"/>
      <sheetName val="VAR (2 Week)"/>
      <sheetName val="VAR (MO 2 month)"/>
      <sheetName val="SPP (Actual)"/>
      <sheetName val="SPP (Plan)"/>
      <sheetName val="Graph"/>
      <sheetName val=" L42A"/>
      <sheetName val="L53E"/>
      <sheetName val="L42C &amp; P42D (RHD)"/>
      <sheetName val="GM Holden"/>
      <sheetName val="Simulasi UL"/>
      <sheetName val="L42F &amp; HEV &amp; P42D-YD"/>
      <sheetName val="Simulasi J48P new"/>
      <sheetName val="Simulasi J48P"/>
      <sheetName val="Simulasi J61A &amp; front&amp;P42D(LHD)"/>
      <sheetName val="J42H"/>
      <sheetName val="J74G"/>
      <sheetName val="J74G (IP 3 team)"/>
      <sheetName val="J61S "/>
      <sheetName val="Simulasi J61A ( EC &amp; UK)"/>
      <sheetName val=" Simulasi J61S"/>
      <sheetName val="Simulasi AL"/>
      <sheetName val="377A"/>
      <sheetName val="P42D LHD"/>
      <sheetName val=" Simulasi 358W"/>
      <sheetName val="D51G"/>
      <sheetName val="Prod Cap"/>
    </sheetNames>
    <sheetDataSet>
      <sheetData sheetId="0" refreshError="1"/>
      <sheetData sheetId="1" refreshError="1"/>
      <sheetData sheetId="2" refreshError="1"/>
      <sheetData sheetId="3" refreshError="1">
        <row r="386">
          <cell r="A386" t="str">
            <v>JAN</v>
          </cell>
          <cell r="B386">
            <v>21</v>
          </cell>
          <cell r="C386">
            <v>4</v>
          </cell>
          <cell r="D386">
            <v>1</v>
          </cell>
          <cell r="E386">
            <v>5</v>
          </cell>
          <cell r="F386" t="str">
            <v>01/03- 01/07</v>
          </cell>
          <cell r="G386">
            <v>0</v>
          </cell>
          <cell r="H386">
            <v>0</v>
          </cell>
          <cell r="I386" t="str">
            <v>03/JAN~ 31/JAN</v>
          </cell>
        </row>
        <row r="387">
          <cell r="A387">
            <v>0</v>
          </cell>
          <cell r="B387">
            <v>0</v>
          </cell>
          <cell r="C387">
            <v>0</v>
          </cell>
          <cell r="D387">
            <v>2</v>
          </cell>
          <cell r="E387">
            <v>5</v>
          </cell>
          <cell r="F387" t="str">
            <v>01/10- 01/14</v>
          </cell>
          <cell r="G387">
            <v>0</v>
          </cell>
          <cell r="H387">
            <v>0</v>
          </cell>
          <cell r="I387">
            <v>0</v>
          </cell>
        </row>
        <row r="388">
          <cell r="A388">
            <v>0</v>
          </cell>
          <cell r="B388">
            <v>0</v>
          </cell>
          <cell r="C388">
            <v>0</v>
          </cell>
          <cell r="D388">
            <v>3</v>
          </cell>
          <cell r="E388">
            <v>5</v>
          </cell>
          <cell r="F388" t="str">
            <v>01/17 - 01/21</v>
          </cell>
          <cell r="G388">
            <v>0</v>
          </cell>
          <cell r="H388">
            <v>0</v>
          </cell>
          <cell r="I388">
            <v>0</v>
          </cell>
        </row>
        <row r="389">
          <cell r="A389">
            <v>0</v>
          </cell>
          <cell r="B389">
            <v>0</v>
          </cell>
          <cell r="C389">
            <v>0</v>
          </cell>
          <cell r="D389">
            <v>4</v>
          </cell>
          <cell r="E389">
            <v>6</v>
          </cell>
          <cell r="F389" t="str">
            <v>01/24 - 01/31</v>
          </cell>
          <cell r="G389">
            <v>0</v>
          </cell>
          <cell r="H389">
            <v>0</v>
          </cell>
          <cell r="I389">
            <v>0</v>
          </cell>
        </row>
        <row r="390">
          <cell r="A390">
            <v>0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FEB</v>
          </cell>
          <cell r="B391">
            <v>19</v>
          </cell>
          <cell r="C391">
            <v>4</v>
          </cell>
          <cell r="D391">
            <v>1</v>
          </cell>
          <cell r="E391">
            <v>4</v>
          </cell>
          <cell r="F391" t="str">
            <v>02/01 - 02/05</v>
          </cell>
          <cell r="G391">
            <v>0</v>
          </cell>
          <cell r="H391">
            <v>0</v>
          </cell>
          <cell r="I391" t="str">
            <v>01/FEB ~ 28/FEB</v>
          </cell>
        </row>
        <row r="392">
          <cell r="A392">
            <v>0</v>
          </cell>
          <cell r="B392">
            <v>0</v>
          </cell>
          <cell r="C392">
            <v>0</v>
          </cell>
          <cell r="D392">
            <v>2</v>
          </cell>
          <cell r="E392">
            <v>5</v>
          </cell>
          <cell r="F392" t="str">
            <v>02/07 - 02/11</v>
          </cell>
          <cell r="G392">
            <v>0</v>
          </cell>
          <cell r="H392">
            <v>0</v>
          </cell>
          <cell r="I392">
            <v>0</v>
          </cell>
        </row>
        <row r="393">
          <cell r="A393">
            <v>0</v>
          </cell>
          <cell r="B393">
            <v>0</v>
          </cell>
          <cell r="C393">
            <v>0</v>
          </cell>
          <cell r="D393">
            <v>3</v>
          </cell>
          <cell r="E393">
            <v>4</v>
          </cell>
          <cell r="F393" t="str">
            <v>02/14 - 02/18</v>
          </cell>
          <cell r="G393">
            <v>0</v>
          </cell>
          <cell r="H393">
            <v>0</v>
          </cell>
          <cell r="I393">
            <v>0</v>
          </cell>
        </row>
        <row r="394">
          <cell r="A394">
            <v>0</v>
          </cell>
          <cell r="B394">
            <v>0</v>
          </cell>
          <cell r="C394">
            <v>0</v>
          </cell>
          <cell r="D394">
            <v>4</v>
          </cell>
          <cell r="E394">
            <v>6</v>
          </cell>
          <cell r="F394" t="str">
            <v>02/21 - 02/28</v>
          </cell>
          <cell r="G394">
            <v>0</v>
          </cell>
          <cell r="H394">
            <v>0</v>
          </cell>
          <cell r="I394">
            <v>0</v>
          </cell>
        </row>
        <row r="395">
          <cell r="A395">
            <v>0</v>
          </cell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MAR</v>
          </cell>
          <cell r="B396">
            <v>22</v>
          </cell>
          <cell r="C396">
            <v>5</v>
          </cell>
          <cell r="D396">
            <v>1</v>
          </cell>
          <cell r="E396">
            <v>3</v>
          </cell>
          <cell r="F396" t="str">
            <v>03/01 - 03/04</v>
          </cell>
          <cell r="G396">
            <v>0</v>
          </cell>
          <cell r="H396">
            <v>0</v>
          </cell>
          <cell r="I396" t="str">
            <v>01/MAR ~ 31/MAR</v>
          </cell>
        </row>
        <row r="397">
          <cell r="A397">
            <v>0</v>
          </cell>
          <cell r="B397">
            <v>0</v>
          </cell>
          <cell r="C397">
            <v>0</v>
          </cell>
          <cell r="D397">
            <v>2</v>
          </cell>
          <cell r="E397">
            <v>5</v>
          </cell>
          <cell r="F397" t="str">
            <v>03/07 - 03/11</v>
          </cell>
          <cell r="G397">
            <v>0</v>
          </cell>
          <cell r="H397">
            <v>0</v>
          </cell>
          <cell r="I397">
            <v>0</v>
          </cell>
        </row>
        <row r="398">
          <cell r="A398">
            <v>0</v>
          </cell>
          <cell r="B398">
            <v>0</v>
          </cell>
          <cell r="C398">
            <v>0</v>
          </cell>
          <cell r="D398">
            <v>3</v>
          </cell>
          <cell r="E398">
            <v>5</v>
          </cell>
          <cell r="F398" t="str">
            <v>03/14 - 03/18</v>
          </cell>
          <cell r="G398">
            <v>0</v>
          </cell>
          <cell r="H398">
            <v>0</v>
          </cell>
          <cell r="I398">
            <v>0</v>
          </cell>
        </row>
        <row r="399">
          <cell r="A399">
            <v>0</v>
          </cell>
          <cell r="B399">
            <v>0</v>
          </cell>
          <cell r="C399">
            <v>0</v>
          </cell>
          <cell r="D399">
            <v>4</v>
          </cell>
          <cell r="E399">
            <v>5</v>
          </cell>
          <cell r="F399" t="str">
            <v>03/21 - 03/25</v>
          </cell>
          <cell r="G399">
            <v>0</v>
          </cell>
          <cell r="H399">
            <v>0</v>
          </cell>
          <cell r="I399">
            <v>0</v>
          </cell>
        </row>
        <row r="400">
          <cell r="A400">
            <v>0</v>
          </cell>
          <cell r="B400">
            <v>0</v>
          </cell>
          <cell r="C400">
            <v>0</v>
          </cell>
          <cell r="D400">
            <v>5</v>
          </cell>
          <cell r="E400">
            <v>4</v>
          </cell>
          <cell r="F400" t="str">
            <v>03/28 - 03/31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APR</v>
          </cell>
          <cell r="B401">
            <v>19</v>
          </cell>
          <cell r="C401">
            <v>4</v>
          </cell>
          <cell r="D401">
            <v>1</v>
          </cell>
          <cell r="E401">
            <v>5</v>
          </cell>
          <cell r="F401" t="str">
            <v>04/01 - 04/09</v>
          </cell>
          <cell r="G401">
            <v>0</v>
          </cell>
          <cell r="H401">
            <v>0</v>
          </cell>
          <cell r="I401" t="str">
            <v>01/APR ~ 29/APR</v>
          </cell>
        </row>
        <row r="402">
          <cell r="A402">
            <v>0</v>
          </cell>
          <cell r="B402">
            <v>0</v>
          </cell>
          <cell r="C402">
            <v>0</v>
          </cell>
          <cell r="D402">
            <v>2</v>
          </cell>
          <cell r="E402">
            <v>5</v>
          </cell>
          <cell r="F402" t="str">
            <v>04/11 - 04/15</v>
          </cell>
          <cell r="G402">
            <v>0</v>
          </cell>
          <cell r="H402">
            <v>0</v>
          </cell>
          <cell r="I402">
            <v>0</v>
          </cell>
        </row>
        <row r="403">
          <cell r="A403">
            <v>0</v>
          </cell>
          <cell r="B403">
            <v>0</v>
          </cell>
          <cell r="C403">
            <v>0</v>
          </cell>
          <cell r="D403">
            <v>3</v>
          </cell>
          <cell r="E403">
            <v>4</v>
          </cell>
          <cell r="F403" t="str">
            <v>03/18 - 04/22</v>
          </cell>
          <cell r="G403">
            <v>0</v>
          </cell>
          <cell r="H403">
            <v>0</v>
          </cell>
          <cell r="I403">
            <v>0</v>
          </cell>
        </row>
        <row r="404">
          <cell r="A404">
            <v>0</v>
          </cell>
          <cell r="B404">
            <v>0</v>
          </cell>
          <cell r="C404">
            <v>0</v>
          </cell>
          <cell r="D404">
            <v>4</v>
          </cell>
          <cell r="E404">
            <v>5</v>
          </cell>
          <cell r="F404" t="str">
            <v>04/25 - 04/29</v>
          </cell>
          <cell r="G404">
            <v>0</v>
          </cell>
          <cell r="H404">
            <v>0</v>
          </cell>
          <cell r="I404">
            <v>0</v>
          </cell>
        </row>
        <row r="405">
          <cell r="A405">
            <v>0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MAY</v>
          </cell>
          <cell r="B406">
            <v>21</v>
          </cell>
          <cell r="C406">
            <v>4</v>
          </cell>
          <cell r="D406">
            <v>1</v>
          </cell>
          <cell r="E406">
            <v>5</v>
          </cell>
          <cell r="F406" t="str">
            <v>05/02 - 05/06</v>
          </cell>
          <cell r="G406">
            <v>0</v>
          </cell>
          <cell r="H406">
            <v>0</v>
          </cell>
          <cell r="I406" t="str">
            <v>02/MAY ~ 31/MAY</v>
          </cell>
        </row>
        <row r="407">
          <cell r="A407">
            <v>0</v>
          </cell>
          <cell r="B407">
            <v>0</v>
          </cell>
          <cell r="C407">
            <v>0</v>
          </cell>
          <cell r="D407">
            <v>2</v>
          </cell>
          <cell r="E407">
            <v>5</v>
          </cell>
          <cell r="F407" t="str">
            <v>05/9 - 05/13</v>
          </cell>
          <cell r="G407">
            <v>0</v>
          </cell>
          <cell r="H407">
            <v>0</v>
          </cell>
          <cell r="I407">
            <v>0</v>
          </cell>
        </row>
        <row r="408">
          <cell r="A408">
            <v>0</v>
          </cell>
          <cell r="B408">
            <v>0</v>
          </cell>
          <cell r="C408">
            <v>0</v>
          </cell>
          <cell r="D408">
            <v>3</v>
          </cell>
          <cell r="E408">
            <v>4</v>
          </cell>
          <cell r="F408" t="str">
            <v>05/16 - 05/21</v>
          </cell>
          <cell r="G408">
            <v>0</v>
          </cell>
          <cell r="H408">
            <v>0</v>
          </cell>
          <cell r="I408">
            <v>0</v>
          </cell>
        </row>
        <row r="409">
          <cell r="A409">
            <v>0</v>
          </cell>
          <cell r="B409">
            <v>0</v>
          </cell>
          <cell r="C409">
            <v>0</v>
          </cell>
          <cell r="D409">
            <v>4</v>
          </cell>
          <cell r="E409">
            <v>7</v>
          </cell>
          <cell r="F409" t="str">
            <v>05/23 - 05/31</v>
          </cell>
          <cell r="G409">
            <v>0</v>
          </cell>
          <cell r="H409">
            <v>0</v>
          </cell>
          <cell r="I409">
            <v>0</v>
          </cell>
        </row>
        <row r="410">
          <cell r="A410">
            <v>0</v>
          </cell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JUN</v>
          </cell>
          <cell r="B411">
            <v>19</v>
          </cell>
          <cell r="C411">
            <v>4</v>
          </cell>
          <cell r="D411">
            <v>1</v>
          </cell>
          <cell r="E411">
            <v>6</v>
          </cell>
          <cell r="F411" t="str">
            <v>06/01 - 06/10</v>
          </cell>
          <cell r="G411">
            <v>0</v>
          </cell>
          <cell r="H411">
            <v>0</v>
          </cell>
          <cell r="I411" t="str">
            <v>01/JUN ~ 30/JUN</v>
          </cell>
        </row>
        <row r="412">
          <cell r="A412">
            <v>0</v>
          </cell>
          <cell r="B412">
            <v>0</v>
          </cell>
          <cell r="C412">
            <v>0</v>
          </cell>
          <cell r="D412">
            <v>2</v>
          </cell>
          <cell r="E412">
            <v>5</v>
          </cell>
          <cell r="F412" t="str">
            <v>06/13 - 06/17</v>
          </cell>
          <cell r="G412">
            <v>0</v>
          </cell>
          <cell r="H412">
            <v>0</v>
          </cell>
          <cell r="I412">
            <v>0</v>
          </cell>
        </row>
        <row r="413">
          <cell r="A413">
            <v>0</v>
          </cell>
          <cell r="B413">
            <v>0</v>
          </cell>
          <cell r="C413">
            <v>0</v>
          </cell>
          <cell r="D413">
            <v>3</v>
          </cell>
          <cell r="E413">
            <v>5</v>
          </cell>
          <cell r="F413" t="str">
            <v>06/20 - 06/24</v>
          </cell>
          <cell r="G413">
            <v>0</v>
          </cell>
          <cell r="H413">
            <v>0</v>
          </cell>
          <cell r="I413">
            <v>0</v>
          </cell>
        </row>
        <row r="414">
          <cell r="A414">
            <v>0</v>
          </cell>
          <cell r="B414">
            <v>0</v>
          </cell>
          <cell r="C414">
            <v>0</v>
          </cell>
          <cell r="D414">
            <v>4</v>
          </cell>
          <cell r="E414">
            <v>3</v>
          </cell>
          <cell r="F414" t="str">
            <v>06/27 - 06/30</v>
          </cell>
          <cell r="G414">
            <v>0</v>
          </cell>
          <cell r="H414">
            <v>0</v>
          </cell>
          <cell r="I414">
            <v>0</v>
          </cell>
        </row>
        <row r="415">
          <cell r="A415">
            <v>0</v>
          </cell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JUL</v>
          </cell>
          <cell r="B416">
            <v>22</v>
          </cell>
          <cell r="C416">
            <v>4</v>
          </cell>
          <cell r="D416">
            <v>1</v>
          </cell>
          <cell r="E416">
            <v>7</v>
          </cell>
          <cell r="F416" t="str">
            <v>07/01 - 07/08</v>
          </cell>
          <cell r="G416">
            <v>0</v>
          </cell>
          <cell r="H416">
            <v>0</v>
          </cell>
          <cell r="I416" t="str">
            <v>01/JUL ~ 29/JUN</v>
          </cell>
        </row>
        <row r="417">
          <cell r="A417">
            <v>0</v>
          </cell>
          <cell r="B417">
            <v>0</v>
          </cell>
          <cell r="C417">
            <v>0</v>
          </cell>
          <cell r="D417">
            <v>2</v>
          </cell>
          <cell r="E417">
            <v>5</v>
          </cell>
          <cell r="F417" t="str">
            <v>07/11 - 07/15</v>
          </cell>
          <cell r="G417">
            <v>0</v>
          </cell>
          <cell r="H417">
            <v>0</v>
          </cell>
          <cell r="I417">
            <v>0</v>
          </cell>
        </row>
        <row r="418">
          <cell r="A418">
            <v>0</v>
          </cell>
          <cell r="B418">
            <v>0</v>
          </cell>
          <cell r="C418">
            <v>0</v>
          </cell>
          <cell r="D418">
            <v>3</v>
          </cell>
          <cell r="E418">
            <v>5</v>
          </cell>
          <cell r="F418" t="str">
            <v>07/18 - 07/22</v>
          </cell>
          <cell r="G418">
            <v>0</v>
          </cell>
          <cell r="H418">
            <v>0</v>
          </cell>
          <cell r="I418">
            <v>0</v>
          </cell>
        </row>
        <row r="419">
          <cell r="A419">
            <v>0</v>
          </cell>
          <cell r="B419">
            <v>0</v>
          </cell>
          <cell r="C419">
            <v>0</v>
          </cell>
          <cell r="D419">
            <v>4</v>
          </cell>
          <cell r="E419">
            <v>5</v>
          </cell>
          <cell r="F419" t="str">
            <v>07/25 - 07/29</v>
          </cell>
          <cell r="G419">
            <v>0</v>
          </cell>
          <cell r="H419">
            <v>0</v>
          </cell>
          <cell r="I419">
            <v>0</v>
          </cell>
        </row>
        <row r="420">
          <cell r="A420">
            <v>0</v>
          </cell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AUG</v>
          </cell>
          <cell r="B421">
            <v>19</v>
          </cell>
          <cell r="C421">
            <v>4</v>
          </cell>
          <cell r="D421">
            <v>1</v>
          </cell>
          <cell r="E421">
            <v>5</v>
          </cell>
          <cell r="F421" t="str">
            <v>08/01 - 08/05</v>
          </cell>
          <cell r="G421">
            <v>0</v>
          </cell>
          <cell r="H421">
            <v>0</v>
          </cell>
          <cell r="I421" t="str">
            <v>01/AUG ~ 26/AUG</v>
          </cell>
        </row>
        <row r="422">
          <cell r="A422">
            <v>0</v>
          </cell>
          <cell r="B422">
            <v>0</v>
          </cell>
          <cell r="C422">
            <v>0</v>
          </cell>
          <cell r="D422">
            <v>2</v>
          </cell>
          <cell r="E422">
            <v>5</v>
          </cell>
          <cell r="F422" t="str">
            <v>08/8 - 08/12</v>
          </cell>
          <cell r="G422">
            <v>0</v>
          </cell>
          <cell r="H422">
            <v>0</v>
          </cell>
          <cell r="I422">
            <v>0</v>
          </cell>
        </row>
        <row r="423">
          <cell r="A423">
            <v>0</v>
          </cell>
          <cell r="B423">
            <v>0</v>
          </cell>
          <cell r="C423">
            <v>0</v>
          </cell>
          <cell r="D423">
            <v>3</v>
          </cell>
          <cell r="E423">
            <v>4</v>
          </cell>
          <cell r="F423" t="str">
            <v>08/15 - 08/20</v>
          </cell>
          <cell r="G423">
            <v>0</v>
          </cell>
          <cell r="H423">
            <v>0</v>
          </cell>
          <cell r="I423">
            <v>0</v>
          </cell>
        </row>
        <row r="424">
          <cell r="A424">
            <v>0</v>
          </cell>
          <cell r="B424">
            <v>0</v>
          </cell>
          <cell r="C424">
            <v>0</v>
          </cell>
          <cell r="D424">
            <v>4</v>
          </cell>
          <cell r="E424">
            <v>5</v>
          </cell>
          <cell r="F424" t="str">
            <v>08/22 - 08/26</v>
          </cell>
          <cell r="G424">
            <v>0</v>
          </cell>
          <cell r="H424">
            <v>0</v>
          </cell>
          <cell r="I424">
            <v>0</v>
          </cell>
        </row>
        <row r="425">
          <cell r="A425">
            <v>0</v>
          </cell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SEP</v>
          </cell>
          <cell r="B426">
            <v>20</v>
          </cell>
          <cell r="C426">
            <v>4</v>
          </cell>
          <cell r="D426">
            <v>1</v>
          </cell>
          <cell r="E426">
            <v>5</v>
          </cell>
          <cell r="F426" t="str">
            <v>09/05 - 09/10</v>
          </cell>
          <cell r="G426">
            <v>0</v>
          </cell>
          <cell r="H426">
            <v>0</v>
          </cell>
          <cell r="I426" t="str">
            <v>05/SEP ~ 30/SEP</v>
          </cell>
        </row>
        <row r="427">
          <cell r="A427">
            <v>0</v>
          </cell>
          <cell r="B427">
            <v>0</v>
          </cell>
          <cell r="C427">
            <v>0</v>
          </cell>
          <cell r="D427">
            <v>2</v>
          </cell>
          <cell r="E427">
            <v>5</v>
          </cell>
          <cell r="F427" t="str">
            <v>09/12 - 09/16</v>
          </cell>
          <cell r="G427">
            <v>0</v>
          </cell>
          <cell r="H427">
            <v>0</v>
          </cell>
          <cell r="I427">
            <v>0</v>
          </cell>
        </row>
        <row r="428">
          <cell r="A428">
            <v>0</v>
          </cell>
          <cell r="B428">
            <v>0</v>
          </cell>
          <cell r="C428">
            <v>0</v>
          </cell>
          <cell r="D428">
            <v>3</v>
          </cell>
          <cell r="E428">
            <v>5</v>
          </cell>
          <cell r="F428" t="str">
            <v>09/19 - 09/23</v>
          </cell>
          <cell r="G428">
            <v>0</v>
          </cell>
          <cell r="H428">
            <v>0</v>
          </cell>
          <cell r="I428">
            <v>0</v>
          </cell>
        </row>
        <row r="429">
          <cell r="A429">
            <v>0</v>
          </cell>
          <cell r="B429">
            <v>0</v>
          </cell>
          <cell r="C429">
            <v>0</v>
          </cell>
          <cell r="D429">
            <v>4</v>
          </cell>
          <cell r="E429">
            <v>5</v>
          </cell>
          <cell r="F429" t="str">
            <v>09/26 - 09/30</v>
          </cell>
          <cell r="G429">
            <v>0</v>
          </cell>
          <cell r="H429">
            <v>0</v>
          </cell>
          <cell r="I429">
            <v>0</v>
          </cell>
        </row>
        <row r="430">
          <cell r="A430">
            <v>0</v>
          </cell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OCT</v>
          </cell>
          <cell r="B431">
            <v>21</v>
          </cell>
          <cell r="C431">
            <v>4</v>
          </cell>
          <cell r="D431">
            <v>1</v>
          </cell>
          <cell r="E431">
            <v>5</v>
          </cell>
          <cell r="F431" t="str">
            <v>10/03 - 10/07</v>
          </cell>
          <cell r="G431">
            <v>0</v>
          </cell>
          <cell r="H431">
            <v>0</v>
          </cell>
          <cell r="I431" t="str">
            <v>03/OCT ~ 31/OCT</v>
          </cell>
        </row>
        <row r="432">
          <cell r="A432">
            <v>0</v>
          </cell>
          <cell r="B432">
            <v>0</v>
          </cell>
          <cell r="C432">
            <v>0</v>
          </cell>
          <cell r="D432">
            <v>2</v>
          </cell>
          <cell r="E432">
            <v>5</v>
          </cell>
          <cell r="F432" t="str">
            <v>10/10 - 10/14</v>
          </cell>
          <cell r="G432">
            <v>0</v>
          </cell>
          <cell r="H432">
            <v>0</v>
          </cell>
          <cell r="I432">
            <v>0</v>
          </cell>
        </row>
        <row r="433">
          <cell r="A433">
            <v>0</v>
          </cell>
          <cell r="B433">
            <v>0</v>
          </cell>
          <cell r="C433">
            <v>0</v>
          </cell>
          <cell r="D433">
            <v>3</v>
          </cell>
          <cell r="E433">
            <v>5</v>
          </cell>
          <cell r="F433" t="str">
            <v>10/17 - 10/21</v>
          </cell>
          <cell r="G433">
            <v>0</v>
          </cell>
          <cell r="H433">
            <v>0</v>
          </cell>
          <cell r="I433">
            <v>0</v>
          </cell>
        </row>
        <row r="434">
          <cell r="A434">
            <v>0</v>
          </cell>
          <cell r="B434">
            <v>0</v>
          </cell>
          <cell r="C434">
            <v>0</v>
          </cell>
          <cell r="D434">
            <v>4</v>
          </cell>
          <cell r="E434">
            <v>6</v>
          </cell>
          <cell r="F434" t="str">
            <v>10/24 - 10/31</v>
          </cell>
          <cell r="G434">
            <v>0</v>
          </cell>
          <cell r="H434">
            <v>0</v>
          </cell>
          <cell r="I434">
            <v>0</v>
          </cell>
        </row>
        <row r="435">
          <cell r="A435">
            <v>0</v>
          </cell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NOV</v>
          </cell>
          <cell r="B436">
            <v>22</v>
          </cell>
          <cell r="C436">
            <v>5</v>
          </cell>
          <cell r="D436">
            <v>1</v>
          </cell>
          <cell r="E436">
            <v>4</v>
          </cell>
          <cell r="F436" t="str">
            <v>11/01 - 11/04</v>
          </cell>
          <cell r="G436">
            <v>0</v>
          </cell>
          <cell r="H436">
            <v>0</v>
          </cell>
          <cell r="I436" t="str">
            <v>01/NOV ~ 30/NOV</v>
          </cell>
        </row>
        <row r="437">
          <cell r="A437">
            <v>0</v>
          </cell>
          <cell r="B437">
            <v>0</v>
          </cell>
          <cell r="C437">
            <v>0</v>
          </cell>
          <cell r="D437">
            <v>2</v>
          </cell>
          <cell r="E437">
            <v>5</v>
          </cell>
          <cell r="F437" t="str">
            <v>11/07 - 11/12</v>
          </cell>
          <cell r="G437">
            <v>0</v>
          </cell>
          <cell r="H437">
            <v>0</v>
          </cell>
          <cell r="I437">
            <v>0</v>
          </cell>
        </row>
        <row r="438">
          <cell r="A438">
            <v>0</v>
          </cell>
          <cell r="B438">
            <v>0</v>
          </cell>
          <cell r="C438">
            <v>0</v>
          </cell>
          <cell r="D438">
            <v>3</v>
          </cell>
          <cell r="E438">
            <v>5</v>
          </cell>
          <cell r="F438" t="str">
            <v>11/14 - 11/18</v>
          </cell>
          <cell r="G438">
            <v>0</v>
          </cell>
          <cell r="H438">
            <v>0</v>
          </cell>
          <cell r="I438">
            <v>0</v>
          </cell>
        </row>
        <row r="439">
          <cell r="A439">
            <v>0</v>
          </cell>
          <cell r="B439">
            <v>0</v>
          </cell>
          <cell r="C439">
            <v>0</v>
          </cell>
          <cell r="D439">
            <v>4</v>
          </cell>
          <cell r="E439">
            <v>5</v>
          </cell>
          <cell r="F439" t="str">
            <v>11/21 - 11/25</v>
          </cell>
          <cell r="G439">
            <v>0</v>
          </cell>
          <cell r="H439">
            <v>0</v>
          </cell>
          <cell r="I439">
            <v>0</v>
          </cell>
        </row>
        <row r="440">
          <cell r="A440">
            <v>0</v>
          </cell>
          <cell r="B440">
            <v>0</v>
          </cell>
          <cell r="C440">
            <v>0</v>
          </cell>
          <cell r="D440">
            <v>5</v>
          </cell>
          <cell r="E440">
            <v>3</v>
          </cell>
          <cell r="F440" t="str">
            <v>11/28 - 11/30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DEC</v>
          </cell>
          <cell r="B441">
            <v>21</v>
          </cell>
          <cell r="C441">
            <v>4</v>
          </cell>
          <cell r="D441">
            <v>1</v>
          </cell>
          <cell r="E441">
            <v>7</v>
          </cell>
          <cell r="F441" t="str">
            <v>12/01 - 12/01</v>
          </cell>
          <cell r="G441">
            <v>0</v>
          </cell>
          <cell r="H441">
            <v>0</v>
          </cell>
          <cell r="I441" t="str">
            <v>01/DEC ~ 31/DEC</v>
          </cell>
        </row>
        <row r="442">
          <cell r="A442">
            <v>0</v>
          </cell>
          <cell r="B442">
            <v>0</v>
          </cell>
          <cell r="C442">
            <v>0</v>
          </cell>
          <cell r="D442">
            <v>2</v>
          </cell>
          <cell r="E442">
            <v>5</v>
          </cell>
          <cell r="F442" t="str">
            <v>12/12 - 12/17</v>
          </cell>
          <cell r="G442">
            <v>0</v>
          </cell>
          <cell r="H442">
            <v>0</v>
          </cell>
          <cell r="I442">
            <v>0</v>
          </cell>
        </row>
        <row r="443">
          <cell r="A443">
            <v>0</v>
          </cell>
          <cell r="B443">
            <v>0</v>
          </cell>
          <cell r="C443">
            <v>0</v>
          </cell>
          <cell r="D443">
            <v>3</v>
          </cell>
          <cell r="E443">
            <v>5</v>
          </cell>
          <cell r="F443" t="str">
            <v>12/19 - 12/24</v>
          </cell>
          <cell r="G443">
            <v>0</v>
          </cell>
          <cell r="H443">
            <v>0</v>
          </cell>
          <cell r="I443">
            <v>0</v>
          </cell>
        </row>
        <row r="444">
          <cell r="A444">
            <v>0</v>
          </cell>
          <cell r="B444">
            <v>0</v>
          </cell>
          <cell r="C444">
            <v>0</v>
          </cell>
          <cell r="D444">
            <v>4</v>
          </cell>
          <cell r="E444">
            <v>4</v>
          </cell>
          <cell r="F444" t="str">
            <v>12/26 - 12/31</v>
          </cell>
          <cell r="G444">
            <v>0</v>
          </cell>
          <cell r="H444">
            <v>0</v>
          </cell>
          <cell r="I444">
            <v>0</v>
          </cell>
        </row>
        <row r="445">
          <cell r="A445">
            <v>0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STP Term 68"/>
      <sheetName val="Summary STP Term 69"/>
      <sheetName val="Summary STP"/>
      <sheetName val="Calender"/>
      <sheetName val="VAR (MO 2 month)"/>
      <sheetName val="SPP (Plan)"/>
      <sheetName val="SPP (Actual)"/>
      <sheetName val="Graph"/>
      <sheetName val="VAR per Week"/>
      <sheetName val="GM Holden"/>
      <sheetName val="J42H"/>
      <sheetName val="J42H,R42H,P42J"/>
      <sheetName val="L42F &amp; HEV &amp; P42D-YD"/>
      <sheetName val="P42D LHD"/>
      <sheetName val=" L42A"/>
      <sheetName val="L42C &amp; P42D (RHD)"/>
      <sheetName val="L53E"/>
      <sheetName val="J74G (IP 4 team)"/>
      <sheetName val="J61S "/>
      <sheetName val="J53C"/>
      <sheetName val="377A+546W"/>
      <sheetName val="546W"/>
      <sheetName val="D51G"/>
      <sheetName val="Simulasi UL"/>
      <sheetName val="Simulasi J48P new"/>
      <sheetName val="Simulasi J48P"/>
      <sheetName val="Simulasi J61A &amp; front&amp;P42D(LHD)"/>
      <sheetName val="J74G"/>
      <sheetName val="Simulasi J61A ( EC &amp; UK)"/>
      <sheetName val=" Simulasi J61S"/>
      <sheetName val="Simulasi AL"/>
      <sheetName val=" Simulasi 358W"/>
      <sheetName val="Prod Cap"/>
      <sheetName val="GM 1 team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>
        <row r="449">
          <cell r="A449" t="str">
            <v>JAN</v>
          </cell>
          <cell r="B449">
            <v>22</v>
          </cell>
          <cell r="C449">
            <v>4</v>
          </cell>
          <cell r="D449">
            <v>1</v>
          </cell>
          <cell r="E449">
            <v>5</v>
          </cell>
          <cell r="F449" t="str">
            <v>01/03- 01/07</v>
          </cell>
          <cell r="G449">
            <v>0</v>
          </cell>
          <cell r="H449">
            <v>0</v>
          </cell>
          <cell r="I449" t="str">
            <v>03/JAN~ 31/JAN</v>
          </cell>
        </row>
        <row r="450">
          <cell r="A450">
            <v>0</v>
          </cell>
          <cell r="B450">
            <v>0</v>
          </cell>
          <cell r="C450">
            <v>0</v>
          </cell>
          <cell r="D450">
            <v>2</v>
          </cell>
          <cell r="E450">
            <v>5</v>
          </cell>
          <cell r="F450" t="str">
            <v>01/09- 01/13</v>
          </cell>
          <cell r="G450">
            <v>0</v>
          </cell>
          <cell r="H450">
            <v>0</v>
          </cell>
          <cell r="I450">
            <v>0</v>
          </cell>
        </row>
        <row r="451">
          <cell r="A451">
            <v>0</v>
          </cell>
          <cell r="B451">
            <v>0</v>
          </cell>
          <cell r="C451">
            <v>0</v>
          </cell>
          <cell r="D451">
            <v>3</v>
          </cell>
          <cell r="E451">
            <v>5</v>
          </cell>
          <cell r="F451" t="str">
            <v>01/16 - 01/20</v>
          </cell>
          <cell r="G451">
            <v>0</v>
          </cell>
          <cell r="H451">
            <v>0</v>
          </cell>
          <cell r="I451">
            <v>0</v>
          </cell>
        </row>
        <row r="452">
          <cell r="A452">
            <v>0</v>
          </cell>
          <cell r="B452">
            <v>0</v>
          </cell>
          <cell r="C452">
            <v>0</v>
          </cell>
          <cell r="D452">
            <v>4</v>
          </cell>
          <cell r="E452">
            <v>7</v>
          </cell>
          <cell r="F452" t="str">
            <v>01/24 - 01/31</v>
          </cell>
          <cell r="G452">
            <v>0</v>
          </cell>
          <cell r="H452">
            <v>0</v>
          </cell>
          <cell r="I452">
            <v>0</v>
          </cell>
        </row>
        <row r="453">
          <cell r="A453">
            <v>0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FEB</v>
          </cell>
          <cell r="B454">
            <v>21</v>
          </cell>
          <cell r="C454">
            <v>4</v>
          </cell>
          <cell r="D454">
            <v>1</v>
          </cell>
          <cell r="E454">
            <v>3</v>
          </cell>
          <cell r="F454" t="str">
            <v>02/01 - 02/03</v>
          </cell>
          <cell r="G454">
            <v>0</v>
          </cell>
          <cell r="H454">
            <v>0</v>
          </cell>
          <cell r="I454" t="str">
            <v>01/FEB ~ 29/FEB</v>
          </cell>
        </row>
        <row r="455">
          <cell r="A455">
            <v>0</v>
          </cell>
          <cell r="B455">
            <v>0</v>
          </cell>
          <cell r="C455">
            <v>0</v>
          </cell>
          <cell r="D455">
            <v>2</v>
          </cell>
          <cell r="E455">
            <v>5</v>
          </cell>
          <cell r="F455" t="str">
            <v>02/06 - 02/10</v>
          </cell>
          <cell r="G455">
            <v>0</v>
          </cell>
          <cell r="H455">
            <v>0</v>
          </cell>
          <cell r="I455">
            <v>0</v>
          </cell>
        </row>
        <row r="456">
          <cell r="A456">
            <v>0</v>
          </cell>
          <cell r="B456">
            <v>0</v>
          </cell>
          <cell r="C456">
            <v>0</v>
          </cell>
          <cell r="D456">
            <v>3</v>
          </cell>
          <cell r="E456">
            <v>5</v>
          </cell>
          <cell r="F456" t="str">
            <v>02/13 - 02/17</v>
          </cell>
          <cell r="G456">
            <v>0</v>
          </cell>
          <cell r="H456">
            <v>0</v>
          </cell>
          <cell r="I456">
            <v>0</v>
          </cell>
        </row>
        <row r="457">
          <cell r="A457">
            <v>0</v>
          </cell>
          <cell r="B457">
            <v>0</v>
          </cell>
          <cell r="C457">
            <v>0</v>
          </cell>
          <cell r="D457">
            <v>4</v>
          </cell>
          <cell r="E457">
            <v>8</v>
          </cell>
          <cell r="F457" t="str">
            <v>02/20 - 02/29</v>
          </cell>
          <cell r="G457">
            <v>0</v>
          </cell>
          <cell r="H457">
            <v>0</v>
          </cell>
          <cell r="I457">
            <v>0</v>
          </cell>
        </row>
        <row r="458">
          <cell r="A458">
            <v>0</v>
          </cell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MAR</v>
          </cell>
          <cell r="B459">
            <v>21</v>
          </cell>
          <cell r="C459">
            <v>5</v>
          </cell>
          <cell r="D459">
            <v>1</v>
          </cell>
          <cell r="E459">
            <v>2</v>
          </cell>
          <cell r="F459" t="str">
            <v>03/01 - 03/02</v>
          </cell>
          <cell r="G459">
            <v>0</v>
          </cell>
          <cell r="H459">
            <v>0</v>
          </cell>
          <cell r="I459" t="str">
            <v>01/MAR ~ 30/MAR</v>
          </cell>
        </row>
        <row r="460">
          <cell r="A460">
            <v>0</v>
          </cell>
          <cell r="B460">
            <v>0</v>
          </cell>
          <cell r="C460">
            <v>0</v>
          </cell>
          <cell r="D460">
            <v>2</v>
          </cell>
          <cell r="E460">
            <v>5</v>
          </cell>
          <cell r="F460" t="str">
            <v>03/05 - 03/09</v>
          </cell>
          <cell r="G460">
            <v>0</v>
          </cell>
          <cell r="H460">
            <v>0</v>
          </cell>
          <cell r="I460">
            <v>0</v>
          </cell>
        </row>
        <row r="461">
          <cell r="A461">
            <v>0</v>
          </cell>
          <cell r="B461">
            <v>0</v>
          </cell>
          <cell r="C461">
            <v>0</v>
          </cell>
          <cell r="D461">
            <v>3</v>
          </cell>
          <cell r="E461">
            <v>5</v>
          </cell>
          <cell r="F461" t="str">
            <v>03/12 - 03/16</v>
          </cell>
          <cell r="G461">
            <v>0</v>
          </cell>
          <cell r="H461">
            <v>0</v>
          </cell>
          <cell r="I461">
            <v>0</v>
          </cell>
        </row>
        <row r="462">
          <cell r="A462">
            <v>0</v>
          </cell>
          <cell r="B462">
            <v>0</v>
          </cell>
          <cell r="C462">
            <v>0</v>
          </cell>
          <cell r="D462">
            <v>4</v>
          </cell>
          <cell r="E462">
            <v>4</v>
          </cell>
          <cell r="F462" t="str">
            <v>03/19 - 03/22</v>
          </cell>
          <cell r="G462">
            <v>0</v>
          </cell>
          <cell r="H462">
            <v>0</v>
          </cell>
          <cell r="I462">
            <v>0</v>
          </cell>
        </row>
        <row r="463">
          <cell r="A463">
            <v>0</v>
          </cell>
          <cell r="B463">
            <v>0</v>
          </cell>
          <cell r="C463">
            <v>0</v>
          </cell>
          <cell r="D463">
            <v>5</v>
          </cell>
          <cell r="E463">
            <v>5</v>
          </cell>
          <cell r="F463" t="str">
            <v>03/26 - 03/30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APR</v>
          </cell>
          <cell r="B464">
            <v>20</v>
          </cell>
          <cell r="C464">
            <v>4</v>
          </cell>
          <cell r="D464">
            <v>1</v>
          </cell>
          <cell r="E464">
            <v>4</v>
          </cell>
          <cell r="F464" t="str">
            <v>04/02 - 04/05</v>
          </cell>
          <cell r="G464">
            <v>0</v>
          </cell>
          <cell r="H464">
            <v>0</v>
          </cell>
          <cell r="I464" t="str">
            <v>02/APR ~ 30/APR</v>
          </cell>
        </row>
        <row r="465">
          <cell r="A465">
            <v>0</v>
          </cell>
          <cell r="B465">
            <v>0</v>
          </cell>
          <cell r="C465">
            <v>0</v>
          </cell>
          <cell r="D465">
            <v>2</v>
          </cell>
          <cell r="E465">
            <v>5</v>
          </cell>
          <cell r="F465" t="str">
            <v>04/09 - 04/13</v>
          </cell>
          <cell r="G465">
            <v>0</v>
          </cell>
          <cell r="H465">
            <v>0</v>
          </cell>
          <cell r="I465">
            <v>0</v>
          </cell>
        </row>
        <row r="466">
          <cell r="A466">
            <v>0</v>
          </cell>
          <cell r="B466">
            <v>0</v>
          </cell>
          <cell r="C466">
            <v>0</v>
          </cell>
          <cell r="D466">
            <v>3</v>
          </cell>
          <cell r="E466">
            <v>5</v>
          </cell>
          <cell r="F466" t="str">
            <v>03/16 - 04/20</v>
          </cell>
          <cell r="G466">
            <v>0</v>
          </cell>
          <cell r="H466">
            <v>0</v>
          </cell>
          <cell r="I466">
            <v>0</v>
          </cell>
        </row>
        <row r="467">
          <cell r="A467">
            <v>0</v>
          </cell>
          <cell r="B467">
            <v>0</v>
          </cell>
          <cell r="C467">
            <v>0</v>
          </cell>
          <cell r="D467">
            <v>4</v>
          </cell>
          <cell r="E467">
            <v>6</v>
          </cell>
          <cell r="F467" t="str">
            <v>04/23 - 04/30</v>
          </cell>
          <cell r="G467">
            <v>0</v>
          </cell>
          <cell r="H467">
            <v>0</v>
          </cell>
          <cell r="I467">
            <v>0</v>
          </cell>
        </row>
        <row r="468">
          <cell r="A468">
            <v>0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MAY</v>
          </cell>
          <cell r="B469">
            <v>21</v>
          </cell>
          <cell r="C469">
            <v>5</v>
          </cell>
          <cell r="D469">
            <v>1</v>
          </cell>
          <cell r="E469">
            <v>4</v>
          </cell>
          <cell r="F469" t="str">
            <v>05/01 - 05/04</v>
          </cell>
          <cell r="G469">
            <v>0</v>
          </cell>
          <cell r="H469">
            <v>0</v>
          </cell>
          <cell r="I469" t="str">
            <v>01/MAY ~ 31/MAY</v>
          </cell>
        </row>
        <row r="470">
          <cell r="A470">
            <v>0</v>
          </cell>
          <cell r="B470">
            <v>0</v>
          </cell>
          <cell r="C470">
            <v>0</v>
          </cell>
          <cell r="D470">
            <v>2</v>
          </cell>
          <cell r="E470">
            <v>5</v>
          </cell>
          <cell r="F470" t="str">
            <v>05/07 - 05/11</v>
          </cell>
          <cell r="G470">
            <v>0</v>
          </cell>
          <cell r="H470">
            <v>0</v>
          </cell>
          <cell r="I470">
            <v>0</v>
          </cell>
        </row>
        <row r="471">
          <cell r="A471">
            <v>0</v>
          </cell>
          <cell r="B471">
            <v>0</v>
          </cell>
          <cell r="C471">
            <v>0</v>
          </cell>
          <cell r="D471">
            <v>3</v>
          </cell>
          <cell r="E471">
            <v>3</v>
          </cell>
          <cell r="F471" t="str">
            <v>05/14 - 05/16</v>
          </cell>
          <cell r="G471">
            <v>0</v>
          </cell>
          <cell r="H471">
            <v>0</v>
          </cell>
          <cell r="I471">
            <v>0</v>
          </cell>
        </row>
        <row r="472">
          <cell r="A472">
            <v>0</v>
          </cell>
          <cell r="B472">
            <v>0</v>
          </cell>
          <cell r="C472">
            <v>0</v>
          </cell>
          <cell r="D472">
            <v>4</v>
          </cell>
          <cell r="E472">
            <v>5</v>
          </cell>
          <cell r="F472" t="str">
            <v>05/21 - 05/25</v>
          </cell>
          <cell r="G472">
            <v>0</v>
          </cell>
          <cell r="H472">
            <v>0</v>
          </cell>
          <cell r="I472">
            <v>0</v>
          </cell>
        </row>
        <row r="473">
          <cell r="A473">
            <v>0</v>
          </cell>
          <cell r="B473">
            <v>0</v>
          </cell>
          <cell r="C473">
            <v>0</v>
          </cell>
          <cell r="D473">
            <v>5</v>
          </cell>
          <cell r="E473">
            <v>4</v>
          </cell>
          <cell r="F473" t="str">
            <v>05/28 - 05/31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JUN</v>
          </cell>
          <cell r="B474">
            <v>21</v>
          </cell>
          <cell r="C474">
            <v>4</v>
          </cell>
          <cell r="D474">
            <v>1</v>
          </cell>
          <cell r="E474">
            <v>6</v>
          </cell>
          <cell r="F474" t="str">
            <v>06/01 - 06/08</v>
          </cell>
          <cell r="G474">
            <v>0</v>
          </cell>
          <cell r="H474">
            <v>0</v>
          </cell>
          <cell r="I474" t="str">
            <v>01/JUN ~ 29/JUN</v>
          </cell>
        </row>
        <row r="475">
          <cell r="A475">
            <v>0</v>
          </cell>
          <cell r="B475">
            <v>0</v>
          </cell>
          <cell r="C475">
            <v>0</v>
          </cell>
          <cell r="D475">
            <v>2</v>
          </cell>
          <cell r="E475">
            <v>5</v>
          </cell>
          <cell r="F475" t="str">
            <v>06/11 - 06/15</v>
          </cell>
          <cell r="G475">
            <v>0</v>
          </cell>
          <cell r="H475">
            <v>0</v>
          </cell>
          <cell r="I475">
            <v>0</v>
          </cell>
        </row>
        <row r="476">
          <cell r="A476">
            <v>0</v>
          </cell>
          <cell r="B476">
            <v>0</v>
          </cell>
          <cell r="C476">
            <v>0</v>
          </cell>
          <cell r="D476">
            <v>3</v>
          </cell>
          <cell r="E476">
            <v>5</v>
          </cell>
          <cell r="F476" t="str">
            <v>06/18 - 06/22</v>
          </cell>
          <cell r="G476">
            <v>0</v>
          </cell>
          <cell r="H476">
            <v>0</v>
          </cell>
          <cell r="I476">
            <v>0</v>
          </cell>
        </row>
        <row r="477">
          <cell r="A477">
            <v>0</v>
          </cell>
          <cell r="B477">
            <v>0</v>
          </cell>
          <cell r="C477">
            <v>0</v>
          </cell>
          <cell r="D477">
            <v>4</v>
          </cell>
          <cell r="E477">
            <v>5</v>
          </cell>
          <cell r="F477" t="str">
            <v>06/25 - 06/29</v>
          </cell>
          <cell r="G477">
            <v>0</v>
          </cell>
          <cell r="H477">
            <v>0</v>
          </cell>
          <cell r="I477">
            <v>0</v>
          </cell>
        </row>
        <row r="478">
          <cell r="A478">
            <v>0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JUL</v>
          </cell>
          <cell r="B479">
            <v>22</v>
          </cell>
          <cell r="C479">
            <v>4</v>
          </cell>
          <cell r="D479">
            <v>1</v>
          </cell>
          <cell r="E479">
            <v>5</v>
          </cell>
          <cell r="F479" t="str">
            <v>07/02 - 07/06</v>
          </cell>
          <cell r="G479">
            <v>0</v>
          </cell>
          <cell r="H479">
            <v>0</v>
          </cell>
          <cell r="I479" t="str">
            <v>02/JUL ~ 31/JUL</v>
          </cell>
        </row>
        <row r="480">
          <cell r="A480">
            <v>0</v>
          </cell>
          <cell r="B480">
            <v>0</v>
          </cell>
          <cell r="C480">
            <v>0</v>
          </cell>
          <cell r="D480">
            <v>2</v>
          </cell>
          <cell r="E480">
            <v>5</v>
          </cell>
          <cell r="F480" t="str">
            <v>07/09 - 07/13</v>
          </cell>
          <cell r="G480">
            <v>0</v>
          </cell>
          <cell r="H480">
            <v>0</v>
          </cell>
          <cell r="I480">
            <v>0</v>
          </cell>
        </row>
        <row r="481">
          <cell r="A481">
            <v>0</v>
          </cell>
          <cell r="B481">
            <v>0</v>
          </cell>
          <cell r="C481">
            <v>0</v>
          </cell>
          <cell r="D481">
            <v>3</v>
          </cell>
          <cell r="E481">
            <v>5</v>
          </cell>
          <cell r="F481" t="str">
            <v>07/16 - 07/20</v>
          </cell>
          <cell r="G481">
            <v>0</v>
          </cell>
          <cell r="H481">
            <v>0</v>
          </cell>
          <cell r="I481">
            <v>0</v>
          </cell>
        </row>
        <row r="482">
          <cell r="A482">
            <v>0</v>
          </cell>
          <cell r="B482">
            <v>0</v>
          </cell>
          <cell r="C482">
            <v>0</v>
          </cell>
          <cell r="D482">
            <v>4</v>
          </cell>
          <cell r="E482">
            <v>7</v>
          </cell>
          <cell r="F482" t="str">
            <v>07/23 - 07/31</v>
          </cell>
          <cell r="G482">
            <v>0</v>
          </cell>
          <cell r="H482">
            <v>0</v>
          </cell>
          <cell r="I482">
            <v>0</v>
          </cell>
        </row>
        <row r="483">
          <cell r="A483">
            <v>0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AUG</v>
          </cell>
          <cell r="B484">
            <v>19</v>
          </cell>
          <cell r="C484">
            <v>4</v>
          </cell>
          <cell r="D484">
            <v>1</v>
          </cell>
          <cell r="E484">
            <v>3</v>
          </cell>
          <cell r="F484" t="str">
            <v>08/01 - 08/03</v>
          </cell>
          <cell r="G484">
            <v>0</v>
          </cell>
          <cell r="H484">
            <v>0</v>
          </cell>
          <cell r="I484" t="str">
            <v>01/AUG ~ 31/AUG</v>
          </cell>
        </row>
        <row r="485">
          <cell r="A485">
            <v>0</v>
          </cell>
          <cell r="B485">
            <v>0</v>
          </cell>
          <cell r="C485">
            <v>0</v>
          </cell>
          <cell r="D485">
            <v>2</v>
          </cell>
          <cell r="E485">
            <v>5</v>
          </cell>
          <cell r="F485" t="str">
            <v>08/06 - 08/10</v>
          </cell>
          <cell r="G485">
            <v>0</v>
          </cell>
          <cell r="H485">
            <v>0</v>
          </cell>
          <cell r="I485">
            <v>0</v>
          </cell>
        </row>
        <row r="486">
          <cell r="A486">
            <v>0</v>
          </cell>
          <cell r="B486">
            <v>0</v>
          </cell>
          <cell r="C486">
            <v>0</v>
          </cell>
          <cell r="D486">
            <v>3</v>
          </cell>
          <cell r="E486">
            <v>4</v>
          </cell>
          <cell r="F486" t="str">
            <v>08/13 - 08/16</v>
          </cell>
          <cell r="G486">
            <v>0</v>
          </cell>
          <cell r="H486">
            <v>0</v>
          </cell>
          <cell r="I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4</v>
          </cell>
          <cell r="E487">
            <v>7</v>
          </cell>
          <cell r="F487" t="str">
            <v>08/23 - 08/31</v>
          </cell>
          <cell r="G487">
            <v>0</v>
          </cell>
          <cell r="H487">
            <v>0</v>
          </cell>
          <cell r="I487">
            <v>0</v>
          </cell>
        </row>
        <row r="488">
          <cell r="A488">
            <v>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SEP</v>
          </cell>
          <cell r="B489">
            <v>20</v>
          </cell>
          <cell r="C489">
            <v>4</v>
          </cell>
          <cell r="D489">
            <v>1</v>
          </cell>
          <cell r="E489">
            <v>5</v>
          </cell>
          <cell r="F489" t="str">
            <v>09/03 - 09/07</v>
          </cell>
          <cell r="G489">
            <v>0</v>
          </cell>
          <cell r="H489">
            <v>0</v>
          </cell>
          <cell r="I489" t="str">
            <v>03/SEP ~ 28/SEP</v>
          </cell>
        </row>
        <row r="490">
          <cell r="A490">
            <v>0</v>
          </cell>
          <cell r="B490">
            <v>0</v>
          </cell>
          <cell r="C490">
            <v>0</v>
          </cell>
          <cell r="D490">
            <v>2</v>
          </cell>
          <cell r="E490">
            <v>5</v>
          </cell>
          <cell r="F490" t="str">
            <v>09/10 - 09/14</v>
          </cell>
          <cell r="G490">
            <v>0</v>
          </cell>
          <cell r="H490">
            <v>0</v>
          </cell>
          <cell r="I490">
            <v>0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3</v>
          </cell>
          <cell r="E491">
            <v>5</v>
          </cell>
          <cell r="F491" t="str">
            <v>09/17 - 09/21</v>
          </cell>
          <cell r="G491">
            <v>0</v>
          </cell>
          <cell r="H491">
            <v>0</v>
          </cell>
          <cell r="I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4</v>
          </cell>
          <cell r="E492">
            <v>5</v>
          </cell>
          <cell r="F492" t="str">
            <v>09/24 - 09/28</v>
          </cell>
          <cell r="G492">
            <v>0</v>
          </cell>
          <cell r="H492">
            <v>0</v>
          </cell>
          <cell r="I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OCT</v>
          </cell>
          <cell r="B494">
            <v>21</v>
          </cell>
          <cell r="C494">
            <v>4</v>
          </cell>
          <cell r="D494">
            <v>1</v>
          </cell>
          <cell r="E494">
            <v>5</v>
          </cell>
          <cell r="F494" t="str">
            <v>10/01 - 10/05</v>
          </cell>
          <cell r="G494">
            <v>0</v>
          </cell>
          <cell r="H494">
            <v>0</v>
          </cell>
          <cell r="I494" t="str">
            <v>01/OCT ~ 31/OCT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2</v>
          </cell>
          <cell r="E495">
            <v>5</v>
          </cell>
          <cell r="F495" t="str">
            <v>10/08 - 10/12</v>
          </cell>
          <cell r="G495">
            <v>0</v>
          </cell>
          <cell r="H495">
            <v>0</v>
          </cell>
          <cell r="I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3</v>
          </cell>
          <cell r="E496">
            <v>5</v>
          </cell>
          <cell r="F496" t="str">
            <v>10/15 - 10/19</v>
          </cell>
          <cell r="G496">
            <v>0</v>
          </cell>
          <cell r="H496">
            <v>0</v>
          </cell>
          <cell r="I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4</v>
          </cell>
          <cell r="E497">
            <v>6</v>
          </cell>
          <cell r="F497" t="str">
            <v>10/22 - 10/31</v>
          </cell>
          <cell r="G497">
            <v>0</v>
          </cell>
          <cell r="H497">
            <v>0</v>
          </cell>
          <cell r="I497">
            <v>0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NOV</v>
          </cell>
          <cell r="B499">
            <v>20</v>
          </cell>
          <cell r="C499">
            <v>5</v>
          </cell>
          <cell r="D499">
            <v>1</v>
          </cell>
          <cell r="E499">
            <v>2</v>
          </cell>
          <cell r="F499" t="str">
            <v>11/01 - 11/02</v>
          </cell>
          <cell r="G499">
            <v>0</v>
          </cell>
          <cell r="H499">
            <v>0</v>
          </cell>
          <cell r="I499" t="str">
            <v>01/NOV ~ 30/NOV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2</v>
          </cell>
          <cell r="E500">
            <v>5</v>
          </cell>
          <cell r="F500" t="str">
            <v>11/05 - 11/09</v>
          </cell>
          <cell r="G500">
            <v>0</v>
          </cell>
          <cell r="H500">
            <v>0</v>
          </cell>
          <cell r="I500">
            <v>0</v>
          </cell>
        </row>
        <row r="501">
          <cell r="A501">
            <v>0</v>
          </cell>
          <cell r="B501">
            <v>0</v>
          </cell>
          <cell r="C501">
            <v>0</v>
          </cell>
          <cell r="D501">
            <v>3</v>
          </cell>
          <cell r="E501">
            <v>3</v>
          </cell>
          <cell r="F501" t="str">
            <v>11/12 - 11/14</v>
          </cell>
          <cell r="G501">
            <v>0</v>
          </cell>
          <cell r="H501">
            <v>0</v>
          </cell>
          <cell r="I501">
            <v>0</v>
          </cell>
        </row>
        <row r="502">
          <cell r="A502">
            <v>0</v>
          </cell>
          <cell r="B502">
            <v>0</v>
          </cell>
          <cell r="C502">
            <v>0</v>
          </cell>
          <cell r="D502">
            <v>4</v>
          </cell>
          <cell r="E502">
            <v>5</v>
          </cell>
          <cell r="F502" t="str">
            <v>11/19 - 11/23</v>
          </cell>
          <cell r="G502">
            <v>0</v>
          </cell>
          <cell r="H502">
            <v>0</v>
          </cell>
          <cell r="I502">
            <v>0</v>
          </cell>
        </row>
        <row r="503">
          <cell r="A503">
            <v>0</v>
          </cell>
          <cell r="B503">
            <v>0</v>
          </cell>
          <cell r="C503">
            <v>0</v>
          </cell>
          <cell r="D503">
            <v>5</v>
          </cell>
          <cell r="E503">
            <v>5</v>
          </cell>
          <cell r="F503" t="str">
            <v>11/26 - 11/30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DEC</v>
          </cell>
          <cell r="B504">
            <v>19</v>
          </cell>
          <cell r="C504">
            <v>4</v>
          </cell>
          <cell r="D504">
            <v>1</v>
          </cell>
          <cell r="E504">
            <v>5</v>
          </cell>
          <cell r="F504" t="str">
            <v>12/03 - 12/07</v>
          </cell>
          <cell r="G504">
            <v>0</v>
          </cell>
          <cell r="H504">
            <v>0</v>
          </cell>
          <cell r="I504" t="str">
            <v>03/DEC ~ 29/DEC</v>
          </cell>
        </row>
        <row r="505">
          <cell r="A505">
            <v>0</v>
          </cell>
          <cell r="B505">
            <v>0</v>
          </cell>
          <cell r="C505">
            <v>0</v>
          </cell>
          <cell r="D505">
            <v>2</v>
          </cell>
          <cell r="E505">
            <v>5</v>
          </cell>
          <cell r="F505" t="str">
            <v>12/10 - 12/14</v>
          </cell>
          <cell r="G505">
            <v>0</v>
          </cell>
          <cell r="H505">
            <v>0</v>
          </cell>
          <cell r="I505">
            <v>0</v>
          </cell>
        </row>
        <row r="506">
          <cell r="A506">
            <v>0</v>
          </cell>
          <cell r="B506">
            <v>0</v>
          </cell>
          <cell r="C506">
            <v>0</v>
          </cell>
          <cell r="D506">
            <v>3</v>
          </cell>
          <cell r="E506">
            <v>5</v>
          </cell>
          <cell r="F506" t="str">
            <v>12/17 - 12/21</v>
          </cell>
          <cell r="G506">
            <v>0</v>
          </cell>
          <cell r="H506">
            <v>0</v>
          </cell>
          <cell r="I506">
            <v>0</v>
          </cell>
        </row>
        <row r="507">
          <cell r="A507">
            <v>0</v>
          </cell>
          <cell r="B507">
            <v>0</v>
          </cell>
          <cell r="C507">
            <v>0</v>
          </cell>
          <cell r="D507">
            <v>4</v>
          </cell>
          <cell r="E507">
            <v>4</v>
          </cell>
          <cell r="F507" t="str">
            <v>12/26 - 12/29</v>
          </cell>
          <cell r="G507">
            <v>0</v>
          </cell>
          <cell r="H507">
            <v>0</v>
          </cell>
          <cell r="I507">
            <v>0</v>
          </cell>
        </row>
        <row r="508">
          <cell r="A508">
            <v>0</v>
          </cell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vered_Sheet1"/>
      <sheetName val="XXXXXX"/>
      <sheetName val="XXXXXXXX"/>
      <sheetName val="XXXXXXXXXX"/>
      <sheetName val="XXXXXXXXX0"/>
      <sheetName val="Qty &amp; UMH GUM"/>
      <sheetName val="AS400 JEMBATAN"/>
      <sheetName val="Summ Qty &amp; UMH"/>
      <sheetName val="Summ Qty&amp;UMH GUM "/>
      <sheetName val="TRANSFER AS400 "/>
      <sheetName val="WEEK"/>
      <sheetName val="AS400"/>
      <sheetName val="Summ Qty&amp;UMH  OCS"/>
      <sheetName val="Sheet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 xml:space="preserve">S/R NO     : </v>
          </cell>
        </row>
        <row r="4">
          <cell r="A4" t="str">
            <v xml:space="preserve">DATE        :  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2.75"/>
  <sheetData/>
  <phoneticPr fontId="11" type="noConversion"/>
  <pageMargins left="0.75" right="0.75" top="1" bottom="1" header="0.5" footer="0.5"/>
  <pageSetup paperSize="9"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2.75"/>
  <sheetData/>
  <phoneticPr fontId="11" type="noConversion"/>
  <pageMargins left="0.75" right="0.75" top="1" bottom="1" header="0.5" footer="0.5"/>
  <pageSetup paperSize="9" orientation="portrait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2.75"/>
  <sheetData/>
  <phoneticPr fontId="11" type="noConversion"/>
  <pageMargins left="0.75" right="0.75" top="1" bottom="1" header="0.5" footer="0.5"/>
  <pageSetup paperSize="9" orientation="portrait" horizontalDpi="4294967293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RowHeight="12.75"/>
  <sheetData/>
  <phoneticPr fontId="11" type="noConversion"/>
  <pageMargins left="0.75" right="0.75" top="1" bottom="1" header="0.5" footer="0.5"/>
  <pageSetup paperSize="9" orientation="portrait" horizontalDpi="4294967293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"/>
  <sheetViews>
    <sheetView workbookViewId="0"/>
  </sheetViews>
  <sheetFormatPr defaultRowHeight="12.75"/>
  <sheetData/>
  <phoneticPr fontId="11" type="noConversion"/>
  <pageMargins left="0.75" right="0.75" top="1" bottom="1" header="0.5" footer="0.5"/>
  <pageSetup paperSize="9" orientation="portrait" horizontalDpi="4294967293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pageSetUpPr fitToPage="1"/>
  </sheetPr>
  <dimension ref="A1:AS109"/>
  <sheetViews>
    <sheetView view="pageBreakPreview" zoomScaleNormal="100" zoomScaleSheetLayoutView="100" workbookViewId="0">
      <pane xSplit="8" ySplit="8" topLeftCell="I84" activePane="bottomRight" state="frozen"/>
      <selection pane="topRight" activeCell="L1" sqref="L1"/>
      <selection pane="bottomLeft" activeCell="A10" sqref="A10"/>
      <selection pane="bottomRight" activeCell="S89" sqref="S89:W89"/>
    </sheetView>
  </sheetViews>
  <sheetFormatPr defaultRowHeight="12.75"/>
  <cols>
    <col min="1" max="1" width="8.42578125" style="7" customWidth="1"/>
    <col min="2" max="2" width="15.85546875" style="7" customWidth="1"/>
    <col min="3" max="3" width="10.140625" style="7" customWidth="1"/>
    <col min="4" max="4" width="19.85546875" style="27" hidden="1" customWidth="1"/>
    <col min="5" max="5" width="22" style="27" bestFit="1" customWidth="1"/>
    <col min="6" max="6" width="11.42578125" style="7" customWidth="1"/>
    <col min="7" max="7" width="9.5703125" style="7" customWidth="1"/>
    <col min="8" max="8" width="13.28515625" style="7" hidden="1" customWidth="1"/>
    <col min="9" max="16" width="7.85546875" style="7" customWidth="1"/>
    <col min="17" max="17" width="6.85546875" style="7" bestFit="1" customWidth="1"/>
    <col min="18" max="24" width="7.85546875" style="7" customWidth="1"/>
    <col min="25" max="25" width="8" style="7" customWidth="1"/>
    <col min="26" max="26" width="8.42578125" style="7" customWidth="1"/>
    <col min="27" max="27" width="7.85546875" style="7" customWidth="1"/>
    <col min="28" max="28" width="8" style="7" customWidth="1"/>
    <col min="29" max="29" width="8.42578125" style="7" customWidth="1"/>
    <col min="30" max="30" width="8" style="7" customWidth="1"/>
    <col min="31" max="31" width="20.42578125" style="26" bestFit="1" customWidth="1"/>
    <col min="32" max="32" width="9.140625" style="8"/>
    <col min="33" max="33" width="9.5703125" style="56" bestFit="1" customWidth="1"/>
    <col min="34" max="34" width="9.140625" style="56"/>
    <col min="35" max="35" width="9.5703125" style="56" bestFit="1" customWidth="1"/>
    <col min="36" max="36" width="9.140625" style="56"/>
    <col min="37" max="37" width="9.5703125" style="56" bestFit="1" customWidth="1"/>
    <col min="38" max="43" width="9.140625" style="8"/>
    <col min="44" max="44" width="15.42578125" style="8" customWidth="1"/>
    <col min="45" max="16384" width="9.140625" style="8"/>
  </cols>
  <sheetData>
    <row r="1" spans="1:45" ht="17.25" customHeight="1">
      <c r="A1" s="4"/>
      <c r="B1" s="4"/>
      <c r="C1" s="4"/>
      <c r="D1" s="49"/>
      <c r="E1" s="49"/>
      <c r="F1" s="5"/>
      <c r="G1" s="6"/>
      <c r="H1" s="6"/>
      <c r="I1" s="303" t="s">
        <v>6</v>
      </c>
      <c r="J1" s="303"/>
      <c r="K1" s="303"/>
      <c r="L1" s="303"/>
      <c r="M1" s="303"/>
      <c r="N1" s="303"/>
      <c r="O1" s="303"/>
      <c r="P1" s="303"/>
      <c r="Q1" s="24"/>
      <c r="R1" s="24"/>
      <c r="U1" s="50"/>
      <c r="X1" s="29"/>
      <c r="Y1" s="29"/>
      <c r="Z1" s="29"/>
      <c r="AA1" s="29"/>
      <c r="AB1" s="297" t="s">
        <v>32</v>
      </c>
      <c r="AC1" s="298"/>
      <c r="AD1" s="80"/>
      <c r="AE1" s="80"/>
    </row>
    <row r="2" spans="1:45" ht="18" customHeight="1">
      <c r="A2" s="1" t="s">
        <v>90</v>
      </c>
      <c r="B2" s="308"/>
      <c r="C2" s="308"/>
      <c r="D2" s="49"/>
      <c r="E2" s="49"/>
      <c r="G2" s="9"/>
      <c r="H2" s="128"/>
      <c r="I2" s="304" t="s">
        <v>153</v>
      </c>
      <c r="J2" s="304"/>
      <c r="K2" s="304"/>
      <c r="L2" s="304"/>
      <c r="M2" s="304"/>
      <c r="N2" s="304"/>
      <c r="O2" s="304"/>
      <c r="P2" s="304"/>
      <c r="Q2" s="58"/>
      <c r="R2" s="59"/>
      <c r="S2" s="59"/>
      <c r="T2" s="10"/>
      <c r="U2" s="60"/>
      <c r="X2" s="60"/>
      <c r="Y2" s="60"/>
      <c r="Z2" s="60"/>
      <c r="AA2" s="60"/>
      <c r="AB2" s="299"/>
      <c r="AC2" s="300"/>
      <c r="AD2" s="80"/>
      <c r="AE2" s="80"/>
    </row>
    <row r="3" spans="1:45" ht="14.25" customHeight="1">
      <c r="A3" s="9" t="s">
        <v>8</v>
      </c>
      <c r="B3" s="9"/>
      <c r="C3" s="9"/>
      <c r="D3" s="49"/>
      <c r="E3" s="49"/>
      <c r="F3" s="9"/>
      <c r="G3" s="9"/>
      <c r="H3" s="9"/>
      <c r="I3" s="292">
        <v>46082</v>
      </c>
      <c r="J3" s="292"/>
      <c r="K3" s="292"/>
      <c r="L3" s="292"/>
      <c r="M3" s="292"/>
      <c r="N3" s="292"/>
      <c r="O3" s="292"/>
      <c r="P3" s="292"/>
      <c r="Q3" s="110"/>
      <c r="R3" s="111"/>
      <c r="S3" s="111"/>
      <c r="T3" s="110"/>
      <c r="U3" s="61"/>
      <c r="V3" s="62"/>
      <c r="X3" s="60"/>
      <c r="Y3" s="60"/>
      <c r="Z3" s="60"/>
      <c r="AA3" s="60"/>
      <c r="AB3" s="301"/>
      <c r="AC3" s="302"/>
      <c r="AD3" s="80"/>
      <c r="AE3" s="80"/>
      <c r="AG3" s="288" t="s">
        <v>33</v>
      </c>
      <c r="AH3" s="288"/>
      <c r="AI3" s="288"/>
      <c r="AJ3" s="288"/>
      <c r="AK3" s="288"/>
    </row>
    <row r="4" spans="1:45" ht="16.5" customHeight="1">
      <c r="A4" s="9" t="s">
        <v>97</v>
      </c>
      <c r="B4" s="216">
        <f ca="1">+NOW()</f>
        <v>46094.692917476852</v>
      </c>
      <c r="C4" s="185"/>
      <c r="D4" s="25"/>
      <c r="E4" s="25"/>
      <c r="F4" s="9"/>
      <c r="G4" s="116"/>
      <c r="H4" s="129"/>
      <c r="I4" s="189"/>
      <c r="J4" s="296" t="s">
        <v>298</v>
      </c>
      <c r="K4" s="296"/>
      <c r="L4" s="296"/>
      <c r="M4" s="296"/>
      <c r="N4" s="296"/>
      <c r="O4" s="296"/>
      <c r="P4" s="114"/>
      <c r="Q4" s="63"/>
      <c r="R4" s="62"/>
      <c r="S4" s="28"/>
      <c r="U4" s="61"/>
      <c r="V4" s="28"/>
      <c r="X4" s="64"/>
      <c r="Y4" s="64"/>
      <c r="Z4" s="64"/>
      <c r="AA4" s="64"/>
      <c r="AB4" s="297"/>
      <c r="AC4" s="298"/>
      <c r="AD4" s="80"/>
      <c r="AE4" s="80"/>
      <c r="AG4" s="288"/>
      <c r="AH4" s="288"/>
      <c r="AI4" s="288"/>
      <c r="AJ4" s="288"/>
      <c r="AK4" s="288"/>
    </row>
    <row r="5" spans="1:45" ht="11.25" customHeight="1" thickBot="1">
      <c r="A5" s="309"/>
      <c r="B5" s="309"/>
      <c r="C5" s="201"/>
      <c r="D5" s="150">
        <v>1</v>
      </c>
      <c r="E5" s="150">
        <v>1</v>
      </c>
      <c r="F5" s="150">
        <f>+E5+1</f>
        <v>2</v>
      </c>
      <c r="G5" s="150">
        <f>+F5+1</f>
        <v>3</v>
      </c>
      <c r="H5" s="150">
        <f>+G5+1</f>
        <v>4</v>
      </c>
      <c r="I5" s="150">
        <f>+H5+1</f>
        <v>5</v>
      </c>
      <c r="J5" s="150">
        <f>+I5+1</f>
        <v>6</v>
      </c>
      <c r="K5" s="150">
        <f t="shared" ref="K5:Y5" si="0">+J5+1</f>
        <v>7</v>
      </c>
      <c r="L5" s="150">
        <f>+K5+1</f>
        <v>8</v>
      </c>
      <c r="M5" s="150">
        <f>+L5+1</f>
        <v>9</v>
      </c>
      <c r="N5" s="150">
        <f>+M5+1</f>
        <v>10</v>
      </c>
      <c r="O5" s="150">
        <f>+N5+1</f>
        <v>11</v>
      </c>
      <c r="P5" s="150">
        <f t="shared" si="0"/>
        <v>12</v>
      </c>
      <c r="Q5" s="150">
        <f t="shared" si="0"/>
        <v>13</v>
      </c>
      <c r="R5" s="150">
        <f t="shared" si="0"/>
        <v>14</v>
      </c>
      <c r="S5" s="150">
        <f t="shared" si="0"/>
        <v>15</v>
      </c>
      <c r="T5" s="150">
        <f t="shared" si="0"/>
        <v>16</v>
      </c>
      <c r="U5" s="150">
        <f t="shared" si="0"/>
        <v>17</v>
      </c>
      <c r="V5" s="150">
        <f t="shared" si="0"/>
        <v>18</v>
      </c>
      <c r="W5" s="150">
        <f t="shared" si="0"/>
        <v>19</v>
      </c>
      <c r="X5" s="150">
        <f t="shared" si="0"/>
        <v>20</v>
      </c>
      <c r="Y5" s="150">
        <f t="shared" si="0"/>
        <v>21</v>
      </c>
      <c r="Z5" s="113"/>
      <c r="AB5" s="112"/>
      <c r="AC5" s="113"/>
      <c r="AD5" s="58"/>
      <c r="AE5" s="60"/>
      <c r="AK5" s="78"/>
    </row>
    <row r="6" spans="1:45" ht="12.75" customHeight="1">
      <c r="A6" s="310" t="s">
        <v>3</v>
      </c>
      <c r="B6" s="311"/>
      <c r="C6" s="202"/>
      <c r="D6" s="305" t="s">
        <v>7</v>
      </c>
      <c r="E6" s="305" t="s">
        <v>7</v>
      </c>
      <c r="F6" s="322"/>
      <c r="G6" s="319" t="s">
        <v>128</v>
      </c>
      <c r="H6" s="316" t="s">
        <v>89</v>
      </c>
      <c r="I6" s="293" t="s">
        <v>113</v>
      </c>
      <c r="J6" s="294"/>
      <c r="K6" s="295"/>
      <c r="L6" s="293" t="s">
        <v>114</v>
      </c>
      <c r="M6" s="294"/>
      <c r="N6" s="295"/>
      <c r="O6" s="293" t="s">
        <v>95</v>
      </c>
      <c r="P6" s="294"/>
      <c r="Q6" s="295"/>
      <c r="R6" s="293" t="s">
        <v>99</v>
      </c>
      <c r="S6" s="294"/>
      <c r="T6" s="295"/>
      <c r="U6" s="293" t="s">
        <v>96</v>
      </c>
      <c r="V6" s="294"/>
      <c r="W6" s="295"/>
      <c r="X6" s="293" t="s">
        <v>98</v>
      </c>
      <c r="Y6" s="294"/>
      <c r="Z6" s="295"/>
      <c r="AA6" s="293" t="s">
        <v>100</v>
      </c>
      <c r="AB6" s="294"/>
      <c r="AC6" s="295"/>
      <c r="AD6" s="289" t="s">
        <v>0</v>
      </c>
      <c r="AE6" s="23"/>
    </row>
    <row r="7" spans="1:45" s="16" customFormat="1" ht="13.5" thickBot="1">
      <c r="A7" s="312"/>
      <c r="B7" s="313"/>
      <c r="C7" s="203"/>
      <c r="D7" s="306"/>
      <c r="E7" s="306"/>
      <c r="F7" s="323"/>
      <c r="G7" s="320"/>
      <c r="H7" s="317"/>
      <c r="I7" s="281" t="str">
        <f>VLOOKUP(I6,[1]Calender!$A$386:$I$455,9,0)</f>
        <v>01/FEB ~ 28/FEB</v>
      </c>
      <c r="J7" s="282"/>
      <c r="K7" s="282"/>
      <c r="L7" s="281" t="str">
        <f>VLOOKUP(L6,[1]Calender!$A$386:$I$455,9,0)</f>
        <v>01/MAR ~ 31/MAR</v>
      </c>
      <c r="M7" s="282"/>
      <c r="N7" s="283"/>
      <c r="O7" s="282" t="str">
        <f>VLOOKUP(O6,[1]Calender!$A$386:$I$455,9,0)</f>
        <v>01/APR ~ 29/APR</v>
      </c>
      <c r="P7" s="282"/>
      <c r="Q7" s="282"/>
      <c r="R7" s="281" t="str">
        <f>VLOOKUP(R6,[1]Calender!$A$386:$I$455,9,0)</f>
        <v>02/MAY ~ 31/MAY</v>
      </c>
      <c r="S7" s="282"/>
      <c r="T7" s="283"/>
      <c r="U7" s="282" t="str">
        <f>VLOOKUP(U6,[1]Calender!$A$386:$I$455,9,0)</f>
        <v>01/JUN ~ 30/JUN</v>
      </c>
      <c r="V7" s="282"/>
      <c r="W7" s="282"/>
      <c r="X7" s="281" t="str">
        <f>VLOOKUP(X6,[1]Calender!$A$386:$I$455,9,0)</f>
        <v>01/JUL ~ 29/JUL</v>
      </c>
      <c r="Y7" s="282"/>
      <c r="Z7" s="283"/>
      <c r="AA7" s="281" t="str">
        <f>VLOOKUP(AA6,[1]Calender!$A$386:$I$455,9,0)</f>
        <v>01/AUG ~ 26/AUG</v>
      </c>
      <c r="AB7" s="282"/>
      <c r="AC7" s="283"/>
      <c r="AD7" s="290"/>
      <c r="AE7" s="23"/>
      <c r="AG7" s="81">
        <v>5</v>
      </c>
      <c r="AH7" s="81">
        <v>4</v>
      </c>
      <c r="AI7" s="81">
        <v>4</v>
      </c>
      <c r="AJ7" s="81">
        <v>5</v>
      </c>
      <c r="AK7" s="81">
        <v>4</v>
      </c>
    </row>
    <row r="8" spans="1:45" ht="13.5" thickBot="1">
      <c r="A8" s="314"/>
      <c r="B8" s="315"/>
      <c r="C8" s="204"/>
      <c r="D8" s="307"/>
      <c r="E8" s="307"/>
      <c r="F8" s="324"/>
      <c r="G8" s="321"/>
      <c r="H8" s="318"/>
      <c r="I8" s="40" t="s">
        <v>0</v>
      </c>
      <c r="J8" s="108" t="s">
        <v>1</v>
      </c>
      <c r="K8" s="38" t="s">
        <v>2</v>
      </c>
      <c r="L8" s="36" t="s">
        <v>0</v>
      </c>
      <c r="M8" s="108" t="s">
        <v>1</v>
      </c>
      <c r="N8" s="39" t="s">
        <v>2</v>
      </c>
      <c r="O8" s="40" t="s">
        <v>0</v>
      </c>
      <c r="P8" s="108" t="s">
        <v>1</v>
      </c>
      <c r="Q8" s="38" t="s">
        <v>2</v>
      </c>
      <c r="R8" s="36" t="s">
        <v>0</v>
      </c>
      <c r="S8" s="108" t="s">
        <v>1</v>
      </c>
      <c r="T8" s="39" t="s">
        <v>2</v>
      </c>
      <c r="U8" s="40" t="s">
        <v>0</v>
      </c>
      <c r="V8" s="108" t="s">
        <v>1</v>
      </c>
      <c r="W8" s="38" t="s">
        <v>2</v>
      </c>
      <c r="X8" s="36" t="s">
        <v>0</v>
      </c>
      <c r="Y8" s="109" t="s">
        <v>1</v>
      </c>
      <c r="Z8" s="39" t="s">
        <v>2</v>
      </c>
      <c r="AA8" s="36" t="s">
        <v>0</v>
      </c>
      <c r="AB8" s="109" t="s">
        <v>1</v>
      </c>
      <c r="AC8" s="39" t="s">
        <v>2</v>
      </c>
      <c r="AD8" s="291"/>
      <c r="AE8" s="23"/>
      <c r="AG8" s="75" t="str">
        <f>O6</f>
        <v>APR</v>
      </c>
      <c r="AH8" s="75" t="str">
        <f>R6</f>
        <v>MAY</v>
      </c>
      <c r="AI8" s="75" t="str">
        <f>U6:U6</f>
        <v>JUN</v>
      </c>
      <c r="AJ8" s="75" t="str">
        <f>X6</f>
        <v>JUL</v>
      </c>
      <c r="AK8" s="75" t="str">
        <f>AA6</f>
        <v>AUG</v>
      </c>
    </row>
    <row r="9" spans="1:45" s="135" customFormat="1" ht="15.75" customHeight="1" thickBot="1">
      <c r="A9" s="208"/>
      <c r="B9" s="238" t="s">
        <v>140</v>
      </c>
      <c r="C9" s="212">
        <v>1</v>
      </c>
      <c r="D9" s="200" t="s">
        <v>118</v>
      </c>
      <c r="E9" s="203" t="s">
        <v>147</v>
      </c>
      <c r="F9" s="211" t="s">
        <v>200</v>
      </c>
      <c r="G9" s="243">
        <f>VLOOKUP($E9,'[2]UMH Monthly'!$D$4:$V$510,19,0)</f>
        <v>1.5695000000000001E-2</v>
      </c>
      <c r="H9" s="192"/>
      <c r="I9" s="193">
        <v>0</v>
      </c>
      <c r="J9" s="194">
        <v>3300</v>
      </c>
      <c r="K9" s="195">
        <v>3300</v>
      </c>
      <c r="L9" s="196">
        <f t="shared" ref="L9:L14" si="1">I9+K9-J9</f>
        <v>0</v>
      </c>
      <c r="M9" s="205">
        <f>VLOOKUP($E9,[3]Sheet1!$B$8:$AF$147,13,0)</f>
        <v>3360</v>
      </c>
      <c r="N9" s="197">
        <f>IF(L9&gt;M9,0,M9-L9)</f>
        <v>3360</v>
      </c>
      <c r="O9" s="198">
        <f t="shared" ref="O9" si="2">L9+N9-M9</f>
        <v>0</v>
      </c>
      <c r="P9" s="205">
        <f>VLOOKUP($E9,[3]Sheet1!$B$8:$AF$461,19,0)</f>
        <v>2520</v>
      </c>
      <c r="Q9" s="195">
        <f>IF(O9&gt;P9,0,P9-O9)</f>
        <v>2520</v>
      </c>
      <c r="R9" s="199">
        <f t="shared" ref="R9" si="3">O9+Q9-P9</f>
        <v>0</v>
      </c>
      <c r="S9" s="205">
        <f>VLOOKUP($E9,[3]Sheet1!$B$8:$AF$461,25,0)</f>
        <v>1950</v>
      </c>
      <c r="T9" s="197">
        <f>IF(R9&gt;S9,0,S9-R9)</f>
        <v>1950</v>
      </c>
      <c r="U9" s="198">
        <f t="shared" ref="U9" si="4">R9+T9-S9</f>
        <v>0</v>
      </c>
      <c r="V9" s="205">
        <f>VLOOKUP($E9,[3]Sheet1!$B$8:$BF$461,31,0)</f>
        <v>2550</v>
      </c>
      <c r="W9" s="195">
        <f>IF(U9&gt;V9,0,V9-U9)</f>
        <v>2550</v>
      </c>
      <c r="X9" s="199">
        <f t="shared" ref="X9" si="5">U9+W9-V9</f>
        <v>0</v>
      </c>
      <c r="Y9" s="205">
        <f>VLOOKUP($E9,[3]Sheet1!$B$8:$BF$461,37,0)</f>
        <v>2940</v>
      </c>
      <c r="Z9" s="197">
        <f>IF(X9&gt;Y9,0,Y9-X9)</f>
        <v>2940</v>
      </c>
      <c r="AA9" s="199">
        <f t="shared" ref="AA9" si="6">X9+Z9-Y9</f>
        <v>0</v>
      </c>
      <c r="AB9" s="205">
        <f>+Y9</f>
        <v>2940</v>
      </c>
      <c r="AC9" s="197">
        <f>IF(AA9&gt;AB9,0,AB9-AA9)</f>
        <v>2940</v>
      </c>
      <c r="AD9" s="198">
        <f t="shared" ref="AD9" si="7">+AA9+AC9-AB9</f>
        <v>0</v>
      </c>
      <c r="AE9" s="134" t="s">
        <v>122</v>
      </c>
      <c r="AF9" s="206">
        <f t="shared" ref="AF9:AF15" si="8">+AB9+Y9+V9+S9+P9+M9+J9</f>
        <v>19560</v>
      </c>
      <c r="AG9" s="136">
        <f t="shared" ref="AG9:AG15" si="9">ROUNDUP((Q9/$AG$7),0)</f>
        <v>504</v>
      </c>
      <c r="AH9" s="136">
        <f t="shared" ref="AH9:AH15" si="10">ROUNDUP((T9/$AH$7),0)</f>
        <v>488</v>
      </c>
      <c r="AI9" s="136">
        <f t="shared" ref="AI9:AI15" si="11">ROUNDUP((W9/$AI$7),0)</f>
        <v>638</v>
      </c>
      <c r="AJ9" s="136">
        <f t="shared" ref="AJ9:AJ15" si="12">ROUNDUP((Z9/$AJ$7),0)</f>
        <v>588</v>
      </c>
      <c r="AK9" s="136">
        <f t="shared" ref="AK9:AK15" si="13">ROUNDUP((AC9/$AK$7),0)</f>
        <v>735</v>
      </c>
      <c r="AL9" s="135" t="e">
        <f>+#REF!+1</f>
        <v>#REF!</v>
      </c>
      <c r="AM9" s="137">
        <f t="shared" ref="AM9:AQ15" si="14">AG9*AG$7</f>
        <v>2520</v>
      </c>
      <c r="AN9" s="137">
        <f t="shared" si="14"/>
        <v>1952</v>
      </c>
      <c r="AO9" s="137">
        <f t="shared" si="14"/>
        <v>2552</v>
      </c>
      <c r="AP9" s="137">
        <f t="shared" si="14"/>
        <v>2940</v>
      </c>
      <c r="AQ9" s="137">
        <f t="shared" si="14"/>
        <v>2940</v>
      </c>
      <c r="AR9" s="135" t="e">
        <f>VLOOKUP(E9,'[4]DATA SR'!$D$79:$D$238,1,2)</f>
        <v>#N/A</v>
      </c>
      <c r="AS9" s="135" t="s">
        <v>147</v>
      </c>
    </row>
    <row r="10" spans="1:45" s="135" customFormat="1" ht="15.75" customHeight="1" thickBot="1">
      <c r="A10" s="208"/>
      <c r="B10" s="238" t="s">
        <v>141</v>
      </c>
      <c r="C10" s="212">
        <f t="shared" ref="C10:C15" si="15">C9+1</f>
        <v>2</v>
      </c>
      <c r="D10" s="200" t="s">
        <v>118</v>
      </c>
      <c r="E10" s="203" t="s">
        <v>148</v>
      </c>
      <c r="F10" s="211" t="s">
        <v>200</v>
      </c>
      <c r="G10" s="243">
        <f>VLOOKUP($E10,'[2]UMH Monthly'!$D$4:$V$510,19,0)</f>
        <v>1.5746666666666666E-2</v>
      </c>
      <c r="H10" s="192"/>
      <c r="I10" s="193">
        <v>0</v>
      </c>
      <c r="J10" s="194">
        <v>3270</v>
      </c>
      <c r="K10" s="195">
        <v>3270</v>
      </c>
      <c r="L10" s="196">
        <f t="shared" si="1"/>
        <v>0</v>
      </c>
      <c r="M10" s="205">
        <f>VLOOKUP($E10,[3]Sheet1!$B$8:$AF$147,13,0)</f>
        <v>3360</v>
      </c>
      <c r="N10" s="197">
        <f t="shared" ref="N10:N56" si="16">IF(L10&gt;M10,0,M10-L10)</f>
        <v>3360</v>
      </c>
      <c r="O10" s="198">
        <f t="shared" ref="O10:O54" si="17">L10+N10-M10</f>
        <v>0</v>
      </c>
      <c r="P10" s="205">
        <f>VLOOKUP($E10,[3]Sheet1!$B$8:$AF$461,19,0)</f>
        <v>2520</v>
      </c>
      <c r="Q10" s="195">
        <f t="shared" ref="Q10:Q54" si="18">IF(O10&gt;P10,0,P10-O10)</f>
        <v>2520</v>
      </c>
      <c r="R10" s="199">
        <f t="shared" ref="R10:R54" si="19">O10+Q10-P10</f>
        <v>0</v>
      </c>
      <c r="S10" s="205">
        <f>VLOOKUP($E10,[3]Sheet1!$B$8:$AF$461,25,0)</f>
        <v>1950</v>
      </c>
      <c r="T10" s="197">
        <f t="shared" ref="T10:T54" si="20">IF(R10&gt;S10,0,S10-R10)</f>
        <v>1950</v>
      </c>
      <c r="U10" s="198">
        <f t="shared" ref="U10:U54" si="21">R10+T10-S10</f>
        <v>0</v>
      </c>
      <c r="V10" s="205">
        <f>VLOOKUP($E10,[3]Sheet1!$B$8:$BF$461,31,0)</f>
        <v>2550</v>
      </c>
      <c r="W10" s="195">
        <f t="shared" ref="W10:W54" si="22">IF(U10&gt;V10,0,V10-U10)</f>
        <v>2550</v>
      </c>
      <c r="X10" s="199">
        <f t="shared" ref="X10:X54" si="23">U10+W10-V10</f>
        <v>0</v>
      </c>
      <c r="Y10" s="205">
        <f>VLOOKUP($E10,[3]Sheet1!$B$8:$BF$461,37,0)</f>
        <v>2940</v>
      </c>
      <c r="Z10" s="197">
        <f t="shared" ref="Z10:Z54" si="24">IF(X10&gt;Y10,0,Y10-X10)</f>
        <v>2940</v>
      </c>
      <c r="AA10" s="199">
        <f t="shared" ref="AA10:AA54" si="25">X10+Z10-Y10</f>
        <v>0</v>
      </c>
      <c r="AB10" s="205">
        <f t="shared" ref="AB10:AB54" si="26">+Y10</f>
        <v>2940</v>
      </c>
      <c r="AC10" s="197">
        <f t="shared" ref="AC10:AC54" si="27">IF(AA10&gt;AB10,0,AB10-AA10)</f>
        <v>2940</v>
      </c>
      <c r="AD10" s="198">
        <f t="shared" ref="AD10:AD54" si="28">+AA10+AC10-AB10</f>
        <v>0</v>
      </c>
      <c r="AE10" s="134" t="s">
        <v>122</v>
      </c>
      <c r="AF10" s="206">
        <f t="shared" si="8"/>
        <v>19530</v>
      </c>
      <c r="AG10" s="136">
        <f t="shared" si="9"/>
        <v>504</v>
      </c>
      <c r="AH10" s="136">
        <f t="shared" si="10"/>
        <v>488</v>
      </c>
      <c r="AI10" s="136">
        <f t="shared" si="11"/>
        <v>638</v>
      </c>
      <c r="AJ10" s="136">
        <f t="shared" si="12"/>
        <v>588</v>
      </c>
      <c r="AK10" s="136">
        <f t="shared" si="13"/>
        <v>735</v>
      </c>
      <c r="AL10" s="135" t="e">
        <f>+#REF!+1</f>
        <v>#REF!</v>
      </c>
      <c r="AM10" s="137">
        <f t="shared" si="14"/>
        <v>2520</v>
      </c>
      <c r="AN10" s="137">
        <f t="shared" si="14"/>
        <v>1952</v>
      </c>
      <c r="AO10" s="137">
        <f t="shared" si="14"/>
        <v>2552</v>
      </c>
      <c r="AP10" s="137">
        <f t="shared" si="14"/>
        <v>2940</v>
      </c>
      <c r="AQ10" s="137">
        <f t="shared" si="14"/>
        <v>2940</v>
      </c>
      <c r="AR10" s="135" t="e">
        <f>VLOOKUP(E10,'[4]DATA SR'!$D$79:$D$238,1,2)</f>
        <v>#N/A</v>
      </c>
      <c r="AS10" s="135" t="s">
        <v>148</v>
      </c>
    </row>
    <row r="11" spans="1:45" s="135" customFormat="1" ht="15.75" customHeight="1" thickBot="1">
      <c r="A11" s="208"/>
      <c r="B11" s="238" t="s">
        <v>142</v>
      </c>
      <c r="C11" s="212">
        <f t="shared" si="15"/>
        <v>3</v>
      </c>
      <c r="D11" s="200" t="s">
        <v>119</v>
      </c>
      <c r="E11" s="203" t="s">
        <v>149</v>
      </c>
      <c r="F11" s="211" t="s">
        <v>200</v>
      </c>
      <c r="G11" s="243">
        <f>VLOOKUP($E11,'[2]UMH Monthly'!$D$4:$V$510,19,0)</f>
        <v>1.2176666666666666E-2</v>
      </c>
      <c r="H11" s="192"/>
      <c r="I11" s="193">
        <v>0</v>
      </c>
      <c r="J11" s="194">
        <v>3200</v>
      </c>
      <c r="K11" s="195">
        <v>3200</v>
      </c>
      <c r="L11" s="196">
        <f t="shared" si="1"/>
        <v>0</v>
      </c>
      <c r="M11" s="205">
        <f>VLOOKUP($E11,[3]Sheet1!$B$8:$AF$147,13,0)</f>
        <v>2560</v>
      </c>
      <c r="N11" s="197">
        <f t="shared" si="16"/>
        <v>2560</v>
      </c>
      <c r="O11" s="198">
        <f t="shared" si="17"/>
        <v>0</v>
      </c>
      <c r="P11" s="205">
        <f>VLOOKUP($E11,[3]Sheet1!$B$8:$AF$461,19,0)</f>
        <v>2640</v>
      </c>
      <c r="Q11" s="195">
        <f t="shared" si="18"/>
        <v>2640</v>
      </c>
      <c r="R11" s="199">
        <f t="shared" si="19"/>
        <v>0</v>
      </c>
      <c r="S11" s="205">
        <f>VLOOKUP($E11,[3]Sheet1!$B$8:$AF$461,25,0)</f>
        <v>2320</v>
      </c>
      <c r="T11" s="197">
        <f t="shared" si="20"/>
        <v>2320</v>
      </c>
      <c r="U11" s="198">
        <f t="shared" si="21"/>
        <v>0</v>
      </c>
      <c r="V11" s="205">
        <f>VLOOKUP($E11,[3]Sheet1!$B$8:$BF$461,31,0)</f>
        <v>2960</v>
      </c>
      <c r="W11" s="195">
        <f t="shared" si="22"/>
        <v>2960</v>
      </c>
      <c r="X11" s="199">
        <f t="shared" si="23"/>
        <v>0</v>
      </c>
      <c r="Y11" s="205">
        <f>VLOOKUP($E11,[3]Sheet1!$B$8:$BF$461,37,0)</f>
        <v>3920</v>
      </c>
      <c r="Z11" s="197">
        <f t="shared" si="24"/>
        <v>3920</v>
      </c>
      <c r="AA11" s="199">
        <f t="shared" si="25"/>
        <v>0</v>
      </c>
      <c r="AB11" s="205">
        <f t="shared" si="26"/>
        <v>3920</v>
      </c>
      <c r="AC11" s="197">
        <f t="shared" si="27"/>
        <v>3920</v>
      </c>
      <c r="AD11" s="198">
        <f t="shared" si="28"/>
        <v>0</v>
      </c>
      <c r="AE11" s="134" t="s">
        <v>123</v>
      </c>
      <c r="AF11" s="206">
        <f t="shared" si="8"/>
        <v>21520</v>
      </c>
      <c r="AG11" s="136">
        <f t="shared" si="9"/>
        <v>528</v>
      </c>
      <c r="AH11" s="136">
        <f t="shared" si="10"/>
        <v>580</v>
      </c>
      <c r="AI11" s="136">
        <f t="shared" si="11"/>
        <v>740</v>
      </c>
      <c r="AJ11" s="136">
        <f t="shared" si="12"/>
        <v>784</v>
      </c>
      <c r="AK11" s="136">
        <f t="shared" si="13"/>
        <v>980</v>
      </c>
      <c r="AL11" s="135" t="e">
        <f>+AL9+1</f>
        <v>#REF!</v>
      </c>
      <c r="AM11" s="137">
        <f t="shared" si="14"/>
        <v>2640</v>
      </c>
      <c r="AN11" s="137">
        <f t="shared" si="14"/>
        <v>2320</v>
      </c>
      <c r="AO11" s="137">
        <f t="shared" si="14"/>
        <v>2960</v>
      </c>
      <c r="AP11" s="137">
        <f t="shared" si="14"/>
        <v>3920</v>
      </c>
      <c r="AQ11" s="137">
        <f t="shared" si="14"/>
        <v>3920</v>
      </c>
      <c r="AR11" s="135" t="e">
        <f>VLOOKUP(E11,'[4]DATA SR'!$D$79:$D$238,1,2)</f>
        <v>#N/A</v>
      </c>
      <c r="AS11" s="135" t="s">
        <v>149</v>
      </c>
    </row>
    <row r="12" spans="1:45" s="135" customFormat="1" ht="15.75" customHeight="1" thickBot="1">
      <c r="A12" s="208"/>
      <c r="B12" s="238" t="s">
        <v>143</v>
      </c>
      <c r="C12" s="212">
        <f t="shared" si="15"/>
        <v>4</v>
      </c>
      <c r="D12" s="200" t="s">
        <v>119</v>
      </c>
      <c r="E12" s="203" t="s">
        <v>150</v>
      </c>
      <c r="F12" s="211" t="s">
        <v>200</v>
      </c>
      <c r="G12" s="245">
        <f>VLOOKUP($E12,[5]Sheet1!$D$5:$W$460,20,0)</f>
        <v>1.3471666666666667E-2</v>
      </c>
      <c r="H12" s="192"/>
      <c r="I12" s="193">
        <v>0</v>
      </c>
      <c r="J12" s="194">
        <v>0</v>
      </c>
      <c r="K12" s="195">
        <v>0</v>
      </c>
      <c r="L12" s="196">
        <f t="shared" si="1"/>
        <v>0</v>
      </c>
      <c r="M12" s="205">
        <f>VLOOKUP($E12,[3]Sheet1!$B$8:$AF$147,13,0)</f>
        <v>90</v>
      </c>
      <c r="N12" s="197">
        <f t="shared" si="16"/>
        <v>90</v>
      </c>
      <c r="O12" s="198">
        <f t="shared" si="17"/>
        <v>0</v>
      </c>
      <c r="P12" s="205">
        <f>VLOOKUP($E12,[3]Sheet1!$B$8:$AF$461,19,0)</f>
        <v>90</v>
      </c>
      <c r="Q12" s="195">
        <f t="shared" si="18"/>
        <v>90</v>
      </c>
      <c r="R12" s="199">
        <f t="shared" si="19"/>
        <v>0</v>
      </c>
      <c r="S12" s="205">
        <f>VLOOKUP($E12,[3]Sheet1!$B$8:$AF$461,25,0)</f>
        <v>60</v>
      </c>
      <c r="T12" s="197">
        <f t="shared" si="20"/>
        <v>60</v>
      </c>
      <c r="U12" s="198">
        <f t="shared" si="21"/>
        <v>0</v>
      </c>
      <c r="V12" s="205">
        <f>VLOOKUP($E12,[3]Sheet1!$B$8:$BF$461,31,0)</f>
        <v>120</v>
      </c>
      <c r="W12" s="195">
        <f t="shared" si="22"/>
        <v>120</v>
      </c>
      <c r="X12" s="199">
        <f t="shared" si="23"/>
        <v>0</v>
      </c>
      <c r="Y12" s="205">
        <f>VLOOKUP($E12,[3]Sheet1!$B$8:$BF$461,37,0)</f>
        <v>150</v>
      </c>
      <c r="Z12" s="197">
        <f t="shared" si="24"/>
        <v>150</v>
      </c>
      <c r="AA12" s="199">
        <f t="shared" si="25"/>
        <v>0</v>
      </c>
      <c r="AB12" s="205">
        <f t="shared" si="26"/>
        <v>150</v>
      </c>
      <c r="AC12" s="197">
        <f t="shared" si="27"/>
        <v>150</v>
      </c>
      <c r="AD12" s="198">
        <f t="shared" si="28"/>
        <v>0</v>
      </c>
      <c r="AE12" s="134" t="s">
        <v>123</v>
      </c>
      <c r="AF12" s="206">
        <f t="shared" si="8"/>
        <v>660</v>
      </c>
      <c r="AG12" s="136">
        <f t="shared" si="9"/>
        <v>18</v>
      </c>
      <c r="AH12" s="136">
        <f t="shared" si="10"/>
        <v>15</v>
      </c>
      <c r="AI12" s="136">
        <f t="shared" si="11"/>
        <v>30</v>
      </c>
      <c r="AJ12" s="136">
        <f t="shared" si="12"/>
        <v>30</v>
      </c>
      <c r="AK12" s="136">
        <f t="shared" si="13"/>
        <v>38</v>
      </c>
      <c r="AL12" s="135" t="e">
        <f>+AL10+1</f>
        <v>#REF!</v>
      </c>
      <c r="AM12" s="137">
        <f t="shared" si="14"/>
        <v>90</v>
      </c>
      <c r="AN12" s="137">
        <f t="shared" si="14"/>
        <v>60</v>
      </c>
      <c r="AO12" s="137">
        <f t="shared" si="14"/>
        <v>120</v>
      </c>
      <c r="AP12" s="137">
        <f t="shared" si="14"/>
        <v>150</v>
      </c>
      <c r="AQ12" s="137">
        <f t="shared" si="14"/>
        <v>152</v>
      </c>
      <c r="AR12" s="135" t="e">
        <f>VLOOKUP(E12,'[4]DATA SR'!$D$79:$D$238,1,2)</f>
        <v>#N/A</v>
      </c>
      <c r="AS12" s="135" t="s">
        <v>150</v>
      </c>
    </row>
    <row r="13" spans="1:45" s="135" customFormat="1" ht="15.75" customHeight="1" thickBot="1">
      <c r="A13" s="208"/>
      <c r="B13" s="238" t="s">
        <v>144</v>
      </c>
      <c r="C13" s="212">
        <f t="shared" si="15"/>
        <v>5</v>
      </c>
      <c r="D13" s="200" t="s">
        <v>120</v>
      </c>
      <c r="E13" s="203" t="s">
        <v>151</v>
      </c>
      <c r="F13" s="211" t="s">
        <v>200</v>
      </c>
      <c r="G13" s="243">
        <f>VLOOKUP($E13,'[2]UMH Monthly'!$D$4:$V$510,19,0)</f>
        <v>1.5718333333333334E-2</v>
      </c>
      <c r="H13" s="192">
        <v>0</v>
      </c>
      <c r="I13" s="193">
        <v>0</v>
      </c>
      <c r="J13" s="194">
        <v>3060</v>
      </c>
      <c r="K13" s="195">
        <v>3060</v>
      </c>
      <c r="L13" s="196">
        <f t="shared" si="1"/>
        <v>0</v>
      </c>
      <c r="M13" s="205">
        <f>VLOOKUP($E13,[3]Sheet1!$B$8:$AF$147,13,0)</f>
        <v>1960</v>
      </c>
      <c r="N13" s="197">
        <f t="shared" si="16"/>
        <v>1960</v>
      </c>
      <c r="O13" s="198">
        <f t="shared" si="17"/>
        <v>0</v>
      </c>
      <c r="P13" s="205">
        <f>VLOOKUP($E13,[3]Sheet1!$B$8:$AF$461,19,0)</f>
        <v>1580</v>
      </c>
      <c r="Q13" s="195">
        <f t="shared" si="18"/>
        <v>1580</v>
      </c>
      <c r="R13" s="199">
        <f t="shared" si="19"/>
        <v>0</v>
      </c>
      <c r="S13" s="205">
        <f>VLOOKUP($E13,[3]Sheet1!$B$8:$AF$461,25,0)</f>
        <v>1480</v>
      </c>
      <c r="T13" s="197">
        <f t="shared" si="20"/>
        <v>1480</v>
      </c>
      <c r="U13" s="198">
        <f t="shared" si="21"/>
        <v>0</v>
      </c>
      <c r="V13" s="205">
        <f>VLOOKUP($E13,[3]Sheet1!$B$8:$BF$461,31,0)</f>
        <v>1980</v>
      </c>
      <c r="W13" s="195">
        <f t="shared" si="22"/>
        <v>1980</v>
      </c>
      <c r="X13" s="199">
        <f t="shared" si="23"/>
        <v>0</v>
      </c>
      <c r="Y13" s="205">
        <f>VLOOKUP($E13,[3]Sheet1!$B$8:$BF$461,37,0)</f>
        <v>3120</v>
      </c>
      <c r="Z13" s="197">
        <f t="shared" si="24"/>
        <v>3120</v>
      </c>
      <c r="AA13" s="199">
        <f t="shared" si="25"/>
        <v>0</v>
      </c>
      <c r="AB13" s="205">
        <f t="shared" si="26"/>
        <v>3120</v>
      </c>
      <c r="AC13" s="197">
        <f t="shared" si="27"/>
        <v>3120</v>
      </c>
      <c r="AD13" s="198">
        <f t="shared" si="28"/>
        <v>0</v>
      </c>
      <c r="AE13" s="134" t="s">
        <v>124</v>
      </c>
      <c r="AF13" s="206">
        <f t="shared" si="8"/>
        <v>16300</v>
      </c>
      <c r="AG13" s="136">
        <f t="shared" si="9"/>
        <v>316</v>
      </c>
      <c r="AH13" s="136">
        <f t="shared" si="10"/>
        <v>370</v>
      </c>
      <c r="AI13" s="136">
        <f t="shared" si="11"/>
        <v>495</v>
      </c>
      <c r="AJ13" s="136">
        <f t="shared" si="12"/>
        <v>624</v>
      </c>
      <c r="AK13" s="136">
        <f t="shared" si="13"/>
        <v>780</v>
      </c>
      <c r="AL13" s="135" t="e">
        <f>+#REF!+1</f>
        <v>#REF!</v>
      </c>
      <c r="AM13" s="137">
        <f t="shared" si="14"/>
        <v>1580</v>
      </c>
      <c r="AN13" s="137">
        <f t="shared" si="14"/>
        <v>1480</v>
      </c>
      <c r="AO13" s="137">
        <f t="shared" si="14"/>
        <v>1980</v>
      </c>
      <c r="AP13" s="137">
        <f t="shared" si="14"/>
        <v>3120</v>
      </c>
      <c r="AQ13" s="137">
        <f t="shared" si="14"/>
        <v>3120</v>
      </c>
      <c r="AR13" s="135" t="e">
        <f>VLOOKUP(E13,'[4]DATA SR'!$D$79:$D$238,1,2)</f>
        <v>#N/A</v>
      </c>
      <c r="AS13" s="135" t="s">
        <v>151</v>
      </c>
    </row>
    <row r="14" spans="1:45" s="135" customFormat="1" ht="15.75" customHeight="1" thickBot="1">
      <c r="A14" s="208"/>
      <c r="B14" s="238" t="s">
        <v>145</v>
      </c>
      <c r="C14" s="212">
        <f t="shared" si="15"/>
        <v>6</v>
      </c>
      <c r="D14" s="200" t="s">
        <v>120</v>
      </c>
      <c r="E14" s="203" t="s">
        <v>229</v>
      </c>
      <c r="F14" s="211" t="s">
        <v>200</v>
      </c>
      <c r="G14" s="245">
        <v>1.6306666666666667E-2</v>
      </c>
      <c r="H14" s="192">
        <v>0</v>
      </c>
      <c r="I14" s="193">
        <v>0</v>
      </c>
      <c r="J14" s="194">
        <v>0</v>
      </c>
      <c r="K14" s="195">
        <v>0</v>
      </c>
      <c r="L14" s="196">
        <f t="shared" si="1"/>
        <v>0</v>
      </c>
      <c r="M14" s="205">
        <f>VLOOKUP($E14,[3]Sheet1!$B$8:$AF$147,13,0)</f>
        <v>0</v>
      </c>
      <c r="N14" s="197">
        <f t="shared" si="16"/>
        <v>0</v>
      </c>
      <c r="O14" s="198">
        <f t="shared" si="17"/>
        <v>0</v>
      </c>
      <c r="P14" s="205">
        <f>VLOOKUP($E14,[3]Sheet1!$B$8:$AF$461,19,0)</f>
        <v>0</v>
      </c>
      <c r="Q14" s="195">
        <f t="shared" si="18"/>
        <v>0</v>
      </c>
      <c r="R14" s="199">
        <f t="shared" si="19"/>
        <v>0</v>
      </c>
      <c r="S14" s="205">
        <f>VLOOKUP($E14,[3]Sheet1!$B$8:$AF$461,25,0)</f>
        <v>0</v>
      </c>
      <c r="T14" s="197">
        <f t="shared" si="20"/>
        <v>0</v>
      </c>
      <c r="U14" s="198">
        <f t="shared" si="21"/>
        <v>0</v>
      </c>
      <c r="V14" s="205">
        <f>VLOOKUP($E14,[3]Sheet1!$B$8:$BF$461,31,0)</f>
        <v>0</v>
      </c>
      <c r="W14" s="195">
        <f t="shared" si="22"/>
        <v>0</v>
      </c>
      <c r="X14" s="199">
        <f t="shared" si="23"/>
        <v>0</v>
      </c>
      <c r="Y14" s="205">
        <f>VLOOKUP($E14,[3]Sheet1!$B$8:$BF$461,37,0)</f>
        <v>0</v>
      </c>
      <c r="Z14" s="197">
        <f t="shared" si="24"/>
        <v>0</v>
      </c>
      <c r="AA14" s="199">
        <f t="shared" si="25"/>
        <v>0</v>
      </c>
      <c r="AB14" s="205">
        <f t="shared" si="26"/>
        <v>0</v>
      </c>
      <c r="AC14" s="197">
        <f t="shared" si="27"/>
        <v>0</v>
      </c>
      <c r="AD14" s="198">
        <f t="shared" si="28"/>
        <v>0</v>
      </c>
      <c r="AE14" s="134" t="s">
        <v>124</v>
      </c>
      <c r="AF14" s="206">
        <f t="shared" si="8"/>
        <v>0</v>
      </c>
      <c r="AG14" s="136">
        <f t="shared" si="9"/>
        <v>0</v>
      </c>
      <c r="AH14" s="136">
        <f t="shared" si="10"/>
        <v>0</v>
      </c>
      <c r="AI14" s="136">
        <f t="shared" si="11"/>
        <v>0</v>
      </c>
      <c r="AJ14" s="136">
        <f t="shared" si="12"/>
        <v>0</v>
      </c>
      <c r="AK14" s="136">
        <f t="shared" si="13"/>
        <v>0</v>
      </c>
      <c r="AL14" s="135" t="e">
        <f>+#REF!+1</f>
        <v>#REF!</v>
      </c>
      <c r="AM14" s="137">
        <f t="shared" si="14"/>
        <v>0</v>
      </c>
      <c r="AN14" s="137">
        <f t="shared" si="14"/>
        <v>0</v>
      </c>
      <c r="AO14" s="137">
        <f t="shared" si="14"/>
        <v>0</v>
      </c>
      <c r="AP14" s="137">
        <f t="shared" si="14"/>
        <v>0</v>
      </c>
      <c r="AQ14" s="137">
        <f t="shared" si="14"/>
        <v>0</v>
      </c>
      <c r="AR14" s="135" t="e">
        <f>VLOOKUP(E14,'[4]DATA SR'!$D$79:$D$238,1,2)</f>
        <v>#N/A</v>
      </c>
      <c r="AS14" s="135" t="s">
        <v>229</v>
      </c>
    </row>
    <row r="15" spans="1:45" s="135" customFormat="1" ht="15.75" customHeight="1" thickBot="1">
      <c r="A15" s="208"/>
      <c r="B15" s="238" t="s">
        <v>146</v>
      </c>
      <c r="C15" s="212">
        <f t="shared" si="15"/>
        <v>7</v>
      </c>
      <c r="D15" s="200" t="s">
        <v>121</v>
      </c>
      <c r="E15" s="203" t="s">
        <v>152</v>
      </c>
      <c r="F15" s="211" t="s">
        <v>200</v>
      </c>
      <c r="G15" s="243">
        <f>VLOOKUP($E15,'[2]UMH Monthly'!$D$4:$V$510,19,0)</f>
        <v>1.5331666666666667E-2</v>
      </c>
      <c r="H15" s="192" t="e">
        <f>VLOOKUP($E15,[6]MARET!$C$676:$E$776,3,0)</f>
        <v>#N/A</v>
      </c>
      <c r="I15" s="193">
        <v>0</v>
      </c>
      <c r="J15" s="194">
        <v>0</v>
      </c>
      <c r="K15" s="195">
        <v>0</v>
      </c>
      <c r="L15" s="196">
        <f>I15+K15-J15</f>
        <v>0</v>
      </c>
      <c r="M15" s="205">
        <f>VLOOKUP($E15,[3]Sheet1!$B$8:$AF$147,13,0)</f>
        <v>0</v>
      </c>
      <c r="N15" s="197">
        <f t="shared" si="16"/>
        <v>0</v>
      </c>
      <c r="O15" s="198">
        <f t="shared" si="17"/>
        <v>0</v>
      </c>
      <c r="P15" s="205">
        <f>VLOOKUP($E15,[3]Sheet1!$B$8:$AF$461,19,0)</f>
        <v>0</v>
      </c>
      <c r="Q15" s="195">
        <f t="shared" si="18"/>
        <v>0</v>
      </c>
      <c r="R15" s="199">
        <f t="shared" si="19"/>
        <v>0</v>
      </c>
      <c r="S15" s="205">
        <f>VLOOKUP($E15,[3]Sheet1!$B$8:$AF$461,25,0)</f>
        <v>0</v>
      </c>
      <c r="T15" s="197">
        <f t="shared" si="20"/>
        <v>0</v>
      </c>
      <c r="U15" s="198">
        <f t="shared" si="21"/>
        <v>0</v>
      </c>
      <c r="V15" s="205">
        <f>VLOOKUP($E15,[3]Sheet1!$B$8:$BF$461,31,0)</f>
        <v>0</v>
      </c>
      <c r="W15" s="195">
        <f t="shared" si="22"/>
        <v>0</v>
      </c>
      <c r="X15" s="199">
        <f t="shared" si="23"/>
        <v>0</v>
      </c>
      <c r="Y15" s="205">
        <f>VLOOKUP($E15,[3]Sheet1!$B$8:$BF$461,37,0)</f>
        <v>2440</v>
      </c>
      <c r="Z15" s="197">
        <f t="shared" si="24"/>
        <v>2440</v>
      </c>
      <c r="AA15" s="199">
        <f t="shared" si="25"/>
        <v>0</v>
      </c>
      <c r="AB15" s="205">
        <f t="shared" si="26"/>
        <v>2440</v>
      </c>
      <c r="AC15" s="197">
        <f t="shared" si="27"/>
        <v>2440</v>
      </c>
      <c r="AD15" s="198">
        <f t="shared" si="28"/>
        <v>0</v>
      </c>
      <c r="AE15" s="134" t="s">
        <v>125</v>
      </c>
      <c r="AF15" s="206">
        <f t="shared" si="8"/>
        <v>4880</v>
      </c>
      <c r="AG15" s="136">
        <f t="shared" si="9"/>
        <v>0</v>
      </c>
      <c r="AH15" s="136">
        <f t="shared" si="10"/>
        <v>0</v>
      </c>
      <c r="AI15" s="136">
        <f t="shared" si="11"/>
        <v>0</v>
      </c>
      <c r="AJ15" s="136">
        <f t="shared" si="12"/>
        <v>488</v>
      </c>
      <c r="AK15" s="136">
        <f t="shared" si="13"/>
        <v>610</v>
      </c>
      <c r="AL15" s="135" t="e">
        <f>+#REF!+1</f>
        <v>#REF!</v>
      </c>
      <c r="AM15" s="137">
        <f t="shared" si="14"/>
        <v>0</v>
      </c>
      <c r="AN15" s="137">
        <f t="shared" si="14"/>
        <v>0</v>
      </c>
      <c r="AO15" s="137">
        <f t="shared" si="14"/>
        <v>0</v>
      </c>
      <c r="AP15" s="137">
        <f t="shared" si="14"/>
        <v>2440</v>
      </c>
      <c r="AQ15" s="137">
        <f t="shared" si="14"/>
        <v>2440</v>
      </c>
      <c r="AR15" s="135" t="e">
        <f>VLOOKUP(E15,'[4]DATA SR'!$D$79:$D$238,1,2)</f>
        <v>#N/A</v>
      </c>
      <c r="AS15" s="135" t="s">
        <v>152</v>
      </c>
    </row>
    <row r="16" spans="1:45" s="135" customFormat="1" ht="15.75" customHeight="1" thickBot="1">
      <c r="A16" s="208"/>
      <c r="B16" s="240" t="s">
        <v>169</v>
      </c>
      <c r="C16" s="212"/>
      <c r="D16" s="200"/>
      <c r="E16" s="246" t="s">
        <v>221</v>
      </c>
      <c r="F16" s="211" t="s">
        <v>201</v>
      </c>
      <c r="G16" s="243">
        <f>VLOOKUP($E16,'[2]UMH Monthly'!$D$4:$V$510,19,0)</f>
        <v>1.5318333333333333E-2</v>
      </c>
      <c r="H16" s="192"/>
      <c r="I16" s="193">
        <v>0</v>
      </c>
      <c r="J16" s="194">
        <v>4860</v>
      </c>
      <c r="K16" s="195">
        <v>4860</v>
      </c>
      <c r="L16" s="196">
        <f t="shared" ref="L16:L79" si="29">I16+K16-J16</f>
        <v>0</v>
      </c>
      <c r="M16" s="205">
        <f>VLOOKUP($E16,[3]Sheet1!$B$8:$AF$147,13,0)</f>
        <v>4140</v>
      </c>
      <c r="N16" s="197">
        <f t="shared" si="16"/>
        <v>4140</v>
      </c>
      <c r="O16" s="198">
        <f t="shared" si="17"/>
        <v>0</v>
      </c>
      <c r="P16" s="205">
        <f>VLOOKUP($E16,[3]Sheet1!$B$8:$AF$461,19,0)</f>
        <v>3690</v>
      </c>
      <c r="Q16" s="195">
        <f t="shared" si="18"/>
        <v>3690</v>
      </c>
      <c r="R16" s="199">
        <f t="shared" si="19"/>
        <v>0</v>
      </c>
      <c r="S16" s="205">
        <f>VLOOKUP($E16,[3]Sheet1!$B$8:$AF$461,25,0)</f>
        <v>3180</v>
      </c>
      <c r="T16" s="197">
        <f t="shared" si="20"/>
        <v>3180</v>
      </c>
      <c r="U16" s="198">
        <f t="shared" si="21"/>
        <v>0</v>
      </c>
      <c r="V16" s="205">
        <f>VLOOKUP($E16,[3]Sheet1!$B$8:$BF$461,31,0)</f>
        <v>3690</v>
      </c>
      <c r="W16" s="195">
        <f t="shared" si="22"/>
        <v>3690</v>
      </c>
      <c r="X16" s="199">
        <f t="shared" si="23"/>
        <v>0</v>
      </c>
      <c r="Y16" s="205">
        <f>VLOOKUP($E16,[3]Sheet1!$B$8:$BF$461,37,0)</f>
        <v>4290</v>
      </c>
      <c r="Z16" s="197">
        <f t="shared" si="24"/>
        <v>4290</v>
      </c>
      <c r="AA16" s="199">
        <f t="shared" si="25"/>
        <v>0</v>
      </c>
      <c r="AB16" s="205">
        <f t="shared" si="26"/>
        <v>4290</v>
      </c>
      <c r="AC16" s="197">
        <f t="shared" si="27"/>
        <v>4290</v>
      </c>
      <c r="AD16" s="198">
        <f t="shared" si="28"/>
        <v>0</v>
      </c>
      <c r="AE16" s="134" t="s">
        <v>125</v>
      </c>
      <c r="AF16" s="206">
        <f t="shared" ref="AF16:AF44" si="30">+AB16+Y16+V16+S16+P16+M16+J16</f>
        <v>28140</v>
      </c>
      <c r="AG16" s="136">
        <f t="shared" ref="AG16:AG44" si="31">ROUNDUP((Q16/$AG$7),0)</f>
        <v>738</v>
      </c>
      <c r="AH16" s="136">
        <f t="shared" ref="AH16:AH44" si="32">ROUNDUP((T16/$AH$7),0)</f>
        <v>795</v>
      </c>
      <c r="AI16" s="136">
        <f t="shared" ref="AI16:AI44" si="33">ROUNDUP((W16/$AI$7),0)</f>
        <v>923</v>
      </c>
      <c r="AJ16" s="136">
        <f t="shared" ref="AJ16:AJ44" si="34">ROUNDUP((Z16/$AJ$7),0)</f>
        <v>858</v>
      </c>
      <c r="AK16" s="136">
        <f t="shared" ref="AK16:AK44" si="35">ROUNDUP((AC16/$AK$7),0)</f>
        <v>1073</v>
      </c>
      <c r="AL16" s="135" t="e">
        <f>+#REF!+1</f>
        <v>#REF!</v>
      </c>
      <c r="AM16" s="137">
        <f t="shared" ref="AM16:AM44" si="36">AG16*AG$7</f>
        <v>3690</v>
      </c>
      <c r="AN16" s="137">
        <f t="shared" ref="AN16:AN44" si="37">AH16*AH$7</f>
        <v>3180</v>
      </c>
      <c r="AO16" s="137">
        <f t="shared" ref="AO16:AO44" si="38">AI16*AI$7</f>
        <v>3692</v>
      </c>
      <c r="AP16" s="137">
        <f t="shared" ref="AP16:AP44" si="39">AJ16*AJ$7</f>
        <v>4290</v>
      </c>
      <c r="AQ16" s="137">
        <f t="shared" ref="AQ16:AQ44" si="40">AK16*AK$7</f>
        <v>4292</v>
      </c>
      <c r="AR16" s="135" t="e">
        <f>VLOOKUP(E16,'[4]DATA SR'!$D$79:$D$238,1,2)</f>
        <v>#N/A</v>
      </c>
      <c r="AS16" s="135" t="s">
        <v>221</v>
      </c>
    </row>
    <row r="17" spans="1:45" s="135" customFormat="1" ht="15.75" customHeight="1" thickBot="1">
      <c r="A17" s="208"/>
      <c r="B17" s="240" t="s">
        <v>170</v>
      </c>
      <c r="C17" s="212"/>
      <c r="D17" s="200"/>
      <c r="E17" s="246" t="s">
        <v>222</v>
      </c>
      <c r="F17" s="211" t="s">
        <v>201</v>
      </c>
      <c r="G17" s="243">
        <f>VLOOKUP($E17,'[2]UMH Monthly'!$D$4:$V$510,19,0)</f>
        <v>1.5331666666666667E-2</v>
      </c>
      <c r="H17" s="192"/>
      <c r="I17" s="193">
        <v>0</v>
      </c>
      <c r="J17" s="194">
        <v>1240</v>
      </c>
      <c r="K17" s="195">
        <v>1240</v>
      </c>
      <c r="L17" s="196">
        <f t="shared" si="29"/>
        <v>0</v>
      </c>
      <c r="M17" s="205">
        <f>VLOOKUP($E17,[3]Sheet1!$B$8:$AF$147,13,0)</f>
        <v>1520</v>
      </c>
      <c r="N17" s="197">
        <f t="shared" si="16"/>
        <v>1520</v>
      </c>
      <c r="O17" s="198">
        <f t="shared" si="17"/>
        <v>0</v>
      </c>
      <c r="P17" s="205">
        <f>VLOOKUP($E17,[3]Sheet1!$B$8:$AF$461,19,0)</f>
        <v>1340</v>
      </c>
      <c r="Q17" s="195">
        <f t="shared" si="18"/>
        <v>1340</v>
      </c>
      <c r="R17" s="199">
        <f t="shared" si="19"/>
        <v>0</v>
      </c>
      <c r="S17" s="205">
        <f>VLOOKUP($E17,[3]Sheet1!$B$8:$AF$461,25,0)</f>
        <v>1180</v>
      </c>
      <c r="T17" s="197">
        <f t="shared" si="20"/>
        <v>1180</v>
      </c>
      <c r="U17" s="198">
        <f t="shared" si="21"/>
        <v>0</v>
      </c>
      <c r="V17" s="205">
        <f>VLOOKUP($E17,[3]Sheet1!$B$8:$BF$461,31,0)</f>
        <v>1400</v>
      </c>
      <c r="W17" s="195">
        <f t="shared" si="22"/>
        <v>1400</v>
      </c>
      <c r="X17" s="199">
        <f t="shared" si="23"/>
        <v>0</v>
      </c>
      <c r="Y17" s="205">
        <f>VLOOKUP($E17,[3]Sheet1!$B$8:$BF$461,37,0)</f>
        <v>1620</v>
      </c>
      <c r="Z17" s="197">
        <f t="shared" si="24"/>
        <v>1620</v>
      </c>
      <c r="AA17" s="199">
        <f t="shared" si="25"/>
        <v>0</v>
      </c>
      <c r="AB17" s="205">
        <f t="shared" si="26"/>
        <v>1620</v>
      </c>
      <c r="AC17" s="197">
        <f t="shared" si="27"/>
        <v>1620</v>
      </c>
      <c r="AD17" s="198">
        <f t="shared" si="28"/>
        <v>0</v>
      </c>
      <c r="AE17" s="134"/>
      <c r="AF17" s="206"/>
      <c r="AG17" s="136"/>
      <c r="AH17" s="136"/>
      <c r="AI17" s="136"/>
      <c r="AJ17" s="136"/>
      <c r="AK17" s="136"/>
      <c r="AM17" s="137"/>
      <c r="AN17" s="137"/>
      <c r="AO17" s="137"/>
      <c r="AP17" s="137"/>
      <c r="AQ17" s="137"/>
      <c r="AS17" s="135" t="s">
        <v>222</v>
      </c>
    </row>
    <row r="18" spans="1:45" s="135" customFormat="1" ht="15.75" customHeight="1" thickBot="1">
      <c r="A18" s="208"/>
      <c r="B18" s="240" t="s">
        <v>171</v>
      </c>
      <c r="C18" s="212"/>
      <c r="D18" s="200"/>
      <c r="E18" s="246" t="s">
        <v>223</v>
      </c>
      <c r="F18" s="211" t="s">
        <v>201</v>
      </c>
      <c r="G18" s="243">
        <f>VLOOKUP($E18,'[2]UMH Monthly'!$D$4:$V$510,19,0)</f>
        <v>1.5296666666666667E-2</v>
      </c>
      <c r="H18" s="192"/>
      <c r="I18" s="193">
        <v>0</v>
      </c>
      <c r="J18" s="194">
        <v>1740</v>
      </c>
      <c r="K18" s="195">
        <v>1740</v>
      </c>
      <c r="L18" s="196">
        <f t="shared" si="29"/>
        <v>0</v>
      </c>
      <c r="M18" s="205">
        <f>VLOOKUP($E18,[3]Sheet1!$B$8:$AF$147,13,0)</f>
        <v>120</v>
      </c>
      <c r="N18" s="197">
        <f t="shared" si="16"/>
        <v>120</v>
      </c>
      <c r="O18" s="198">
        <f t="shared" si="17"/>
        <v>0</v>
      </c>
      <c r="P18" s="205">
        <f>VLOOKUP($E18,[3]Sheet1!$B$8:$AF$461,19,0)</f>
        <v>750</v>
      </c>
      <c r="Q18" s="195">
        <f t="shared" si="18"/>
        <v>750</v>
      </c>
      <c r="R18" s="199">
        <f t="shared" si="19"/>
        <v>0</v>
      </c>
      <c r="S18" s="205">
        <f>VLOOKUP($E18,[3]Sheet1!$B$8:$AF$461,25,0)</f>
        <v>1680</v>
      </c>
      <c r="T18" s="197">
        <f t="shared" si="20"/>
        <v>1680</v>
      </c>
      <c r="U18" s="198">
        <f t="shared" si="21"/>
        <v>0</v>
      </c>
      <c r="V18" s="205">
        <f>VLOOKUP($E18,[3]Sheet1!$B$8:$BF$461,31,0)</f>
        <v>2100</v>
      </c>
      <c r="W18" s="195">
        <f t="shared" si="22"/>
        <v>2100</v>
      </c>
      <c r="X18" s="199">
        <f t="shared" si="23"/>
        <v>0</v>
      </c>
      <c r="Y18" s="205">
        <f>VLOOKUP($E18,[3]Sheet1!$B$8:$BF$461,37,0)</f>
        <v>2070</v>
      </c>
      <c r="Z18" s="197">
        <f t="shared" si="24"/>
        <v>2070</v>
      </c>
      <c r="AA18" s="199">
        <f t="shared" si="25"/>
        <v>0</v>
      </c>
      <c r="AB18" s="205">
        <f t="shared" si="26"/>
        <v>2070</v>
      </c>
      <c r="AC18" s="197">
        <f t="shared" si="27"/>
        <v>2070</v>
      </c>
      <c r="AD18" s="198">
        <f t="shared" si="28"/>
        <v>0</v>
      </c>
      <c r="AE18" s="134"/>
      <c r="AF18" s="206"/>
      <c r="AG18" s="136"/>
      <c r="AH18" s="136"/>
      <c r="AI18" s="136"/>
      <c r="AJ18" s="136"/>
      <c r="AK18" s="136"/>
      <c r="AM18" s="137"/>
      <c r="AN18" s="137"/>
      <c r="AO18" s="137"/>
      <c r="AP18" s="137"/>
      <c r="AQ18" s="137"/>
      <c r="AS18" s="135" t="s">
        <v>223</v>
      </c>
    </row>
    <row r="19" spans="1:45" s="135" customFormat="1" ht="15.75" customHeight="1" thickBot="1">
      <c r="A19" s="208"/>
      <c r="B19" s="240" t="s">
        <v>172</v>
      </c>
      <c r="C19" s="212"/>
      <c r="D19" s="200"/>
      <c r="E19" s="203" t="s">
        <v>154</v>
      </c>
      <c r="F19" s="211" t="s">
        <v>202</v>
      </c>
      <c r="G19" s="243">
        <f>VLOOKUP($E19,'[2]UMH Monthly'!$D$4:$V$510,19,0)</f>
        <v>1.1176666666666666E-2</v>
      </c>
      <c r="H19" s="192"/>
      <c r="I19" s="193">
        <v>0</v>
      </c>
      <c r="J19" s="194">
        <v>1260</v>
      </c>
      <c r="K19" s="195">
        <v>1260</v>
      </c>
      <c r="L19" s="196">
        <f t="shared" si="29"/>
        <v>0</v>
      </c>
      <c r="M19" s="205">
        <f>VLOOKUP($E19,[3]Sheet1!$B$8:$AF$147,13,0)</f>
        <v>1620</v>
      </c>
      <c r="N19" s="197">
        <f t="shared" si="16"/>
        <v>1620</v>
      </c>
      <c r="O19" s="198">
        <f t="shared" si="17"/>
        <v>0</v>
      </c>
      <c r="P19" s="205">
        <f>VLOOKUP($E19,[3]Sheet1!$B$8:$AF$461,19,0)</f>
        <v>1560</v>
      </c>
      <c r="Q19" s="195">
        <f t="shared" si="18"/>
        <v>1560</v>
      </c>
      <c r="R19" s="199">
        <f t="shared" si="19"/>
        <v>0</v>
      </c>
      <c r="S19" s="205">
        <f>VLOOKUP($E19,[3]Sheet1!$B$8:$AF$461,25,0)</f>
        <v>1320</v>
      </c>
      <c r="T19" s="197">
        <f t="shared" si="20"/>
        <v>1320</v>
      </c>
      <c r="U19" s="198">
        <f t="shared" si="21"/>
        <v>0</v>
      </c>
      <c r="V19" s="205">
        <f>VLOOKUP($E19,[3]Sheet1!$B$8:$BF$461,31,0)</f>
        <v>1440</v>
      </c>
      <c r="W19" s="195">
        <f t="shared" si="22"/>
        <v>1440</v>
      </c>
      <c r="X19" s="199">
        <f t="shared" si="23"/>
        <v>0</v>
      </c>
      <c r="Y19" s="205">
        <f>VLOOKUP($E19,[3]Sheet1!$B$8:$BF$461,37,0)</f>
        <v>1680</v>
      </c>
      <c r="Z19" s="197">
        <f t="shared" si="24"/>
        <v>1680</v>
      </c>
      <c r="AA19" s="199">
        <f t="shared" si="25"/>
        <v>0</v>
      </c>
      <c r="AB19" s="205">
        <f t="shared" si="26"/>
        <v>1680</v>
      </c>
      <c r="AC19" s="197">
        <f t="shared" si="27"/>
        <v>1680</v>
      </c>
      <c r="AD19" s="198">
        <f t="shared" si="28"/>
        <v>0</v>
      </c>
      <c r="AE19" s="134"/>
      <c r="AF19" s="206"/>
      <c r="AG19" s="136"/>
      <c r="AH19" s="136"/>
      <c r="AI19" s="136"/>
      <c r="AJ19" s="136"/>
      <c r="AK19" s="136"/>
      <c r="AM19" s="137"/>
      <c r="AN19" s="137"/>
      <c r="AO19" s="137"/>
      <c r="AP19" s="137"/>
      <c r="AQ19" s="137"/>
      <c r="AS19" s="135" t="s">
        <v>154</v>
      </c>
    </row>
    <row r="20" spans="1:45" s="135" customFormat="1" ht="15.75" customHeight="1" thickBot="1">
      <c r="A20" s="208"/>
      <c r="B20" s="240" t="s">
        <v>173</v>
      </c>
      <c r="C20" s="212"/>
      <c r="D20" s="200"/>
      <c r="E20" s="203" t="s">
        <v>155</v>
      </c>
      <c r="F20" s="211" t="s">
        <v>202</v>
      </c>
      <c r="G20" s="243">
        <f>VLOOKUP($E20,'[2]UMH Monthly'!$D$4:$V$510,19,0)</f>
        <v>1.1361666666666666E-2</v>
      </c>
      <c r="H20" s="192"/>
      <c r="I20" s="193">
        <v>0</v>
      </c>
      <c r="J20" s="194">
        <v>1560</v>
      </c>
      <c r="K20" s="195">
        <v>1560</v>
      </c>
      <c r="L20" s="196">
        <f t="shared" si="29"/>
        <v>0</v>
      </c>
      <c r="M20" s="205">
        <f>VLOOKUP($E20,[3]Sheet1!$B$8:$AF$147,13,0)</f>
        <v>1840</v>
      </c>
      <c r="N20" s="197">
        <f t="shared" si="16"/>
        <v>1840</v>
      </c>
      <c r="O20" s="198">
        <f t="shared" si="17"/>
        <v>0</v>
      </c>
      <c r="P20" s="205">
        <f>VLOOKUP($E20,[3]Sheet1!$B$8:$AF$461,19,0)</f>
        <v>1360</v>
      </c>
      <c r="Q20" s="195">
        <f t="shared" si="18"/>
        <v>1360</v>
      </c>
      <c r="R20" s="199">
        <f t="shared" si="19"/>
        <v>0</v>
      </c>
      <c r="S20" s="205">
        <f>VLOOKUP($E20,[3]Sheet1!$B$8:$AF$461,25,0)</f>
        <v>1080</v>
      </c>
      <c r="T20" s="197">
        <f t="shared" si="20"/>
        <v>1080</v>
      </c>
      <c r="U20" s="198">
        <f t="shared" si="21"/>
        <v>0</v>
      </c>
      <c r="V20" s="205">
        <f>VLOOKUP($E20,[3]Sheet1!$B$8:$BF$461,31,0)</f>
        <v>1180</v>
      </c>
      <c r="W20" s="195">
        <f t="shared" si="22"/>
        <v>1180</v>
      </c>
      <c r="X20" s="199">
        <f t="shared" si="23"/>
        <v>0</v>
      </c>
      <c r="Y20" s="205">
        <f>VLOOKUP($E20,[3]Sheet1!$B$8:$BF$461,37,0)</f>
        <v>1340</v>
      </c>
      <c r="Z20" s="197">
        <f t="shared" si="24"/>
        <v>1340</v>
      </c>
      <c r="AA20" s="199">
        <f t="shared" si="25"/>
        <v>0</v>
      </c>
      <c r="AB20" s="205">
        <f t="shared" si="26"/>
        <v>1340</v>
      </c>
      <c r="AC20" s="197">
        <f t="shared" si="27"/>
        <v>1340</v>
      </c>
      <c r="AD20" s="198">
        <f t="shared" si="28"/>
        <v>0</v>
      </c>
      <c r="AE20" s="134"/>
      <c r="AF20" s="206"/>
      <c r="AG20" s="136"/>
      <c r="AH20" s="136"/>
      <c r="AI20" s="136"/>
      <c r="AJ20" s="136"/>
      <c r="AK20" s="136"/>
      <c r="AM20" s="137"/>
      <c r="AN20" s="137"/>
      <c r="AO20" s="137"/>
      <c r="AP20" s="137"/>
      <c r="AQ20" s="137"/>
      <c r="AS20" s="135" t="s">
        <v>155</v>
      </c>
    </row>
    <row r="21" spans="1:45" s="135" customFormat="1" ht="15.75" customHeight="1" thickBot="1">
      <c r="A21" s="208"/>
      <c r="B21" s="240" t="s">
        <v>174</v>
      </c>
      <c r="C21" s="212"/>
      <c r="D21" s="200"/>
      <c r="E21" s="203" t="s">
        <v>156</v>
      </c>
      <c r="F21" s="211" t="s">
        <v>202</v>
      </c>
      <c r="G21" s="243">
        <f>VLOOKUP($E21,'[2]UMH Monthly'!$D$4:$V$510,19,0)</f>
        <v>8.1883333333333339E-3</v>
      </c>
      <c r="H21" s="192"/>
      <c r="I21" s="193">
        <v>0</v>
      </c>
      <c r="J21" s="194">
        <v>6800</v>
      </c>
      <c r="K21" s="195">
        <v>6800</v>
      </c>
      <c r="L21" s="196">
        <f t="shared" si="29"/>
        <v>0</v>
      </c>
      <c r="M21" s="205">
        <f>VLOOKUP($E21,[3]Sheet1!$B$8:$AF$147,13,0)</f>
        <v>5360</v>
      </c>
      <c r="N21" s="197">
        <f t="shared" si="16"/>
        <v>5360</v>
      </c>
      <c r="O21" s="198">
        <f t="shared" si="17"/>
        <v>0</v>
      </c>
      <c r="P21" s="205">
        <f>VLOOKUP($E21,[3]Sheet1!$B$8:$AF$461,19,0)</f>
        <v>4480</v>
      </c>
      <c r="Q21" s="195">
        <f t="shared" si="18"/>
        <v>4480</v>
      </c>
      <c r="R21" s="199">
        <f t="shared" si="19"/>
        <v>0</v>
      </c>
      <c r="S21" s="205">
        <f>VLOOKUP($E21,[3]Sheet1!$B$8:$AF$461,25,0)</f>
        <v>3920</v>
      </c>
      <c r="T21" s="197">
        <f t="shared" si="20"/>
        <v>3920</v>
      </c>
      <c r="U21" s="198">
        <f t="shared" si="21"/>
        <v>0</v>
      </c>
      <c r="V21" s="205">
        <f>VLOOKUP($E21,[3]Sheet1!$B$8:$BF$461,31,0)</f>
        <v>4240</v>
      </c>
      <c r="W21" s="195">
        <f t="shared" si="22"/>
        <v>4240</v>
      </c>
      <c r="X21" s="199">
        <f t="shared" si="23"/>
        <v>0</v>
      </c>
      <c r="Y21" s="205">
        <f>VLOOKUP($E21,[3]Sheet1!$B$8:$BF$461,37,0)</f>
        <v>4960</v>
      </c>
      <c r="Z21" s="197">
        <f t="shared" si="24"/>
        <v>4960</v>
      </c>
      <c r="AA21" s="199">
        <f t="shared" si="25"/>
        <v>0</v>
      </c>
      <c r="AB21" s="205">
        <f t="shared" si="26"/>
        <v>4960</v>
      </c>
      <c r="AC21" s="197">
        <f t="shared" si="27"/>
        <v>4960</v>
      </c>
      <c r="AD21" s="198">
        <f t="shared" si="28"/>
        <v>0</v>
      </c>
      <c r="AE21" s="134"/>
      <c r="AF21" s="206"/>
      <c r="AG21" s="136"/>
      <c r="AH21" s="136"/>
      <c r="AI21" s="136"/>
      <c r="AJ21" s="136"/>
      <c r="AK21" s="136"/>
      <c r="AM21" s="137"/>
      <c r="AN21" s="137"/>
      <c r="AO21" s="137"/>
      <c r="AP21" s="137"/>
      <c r="AQ21" s="137"/>
      <c r="AS21" s="135" t="s">
        <v>156</v>
      </c>
    </row>
    <row r="22" spans="1:45" s="135" customFormat="1" ht="15.75" customHeight="1" thickBot="1">
      <c r="A22" s="208"/>
      <c r="B22" s="240" t="s">
        <v>175</v>
      </c>
      <c r="C22" s="212"/>
      <c r="D22" s="200"/>
      <c r="E22" s="203" t="s">
        <v>157</v>
      </c>
      <c r="F22" s="211" t="s">
        <v>202</v>
      </c>
      <c r="G22" s="243">
        <f>VLOOKUP($E22,'[2]UMH Monthly'!$D$4:$V$510,19,0)</f>
        <v>1.1546666666666667E-2</v>
      </c>
      <c r="H22" s="192"/>
      <c r="I22" s="193">
        <v>0</v>
      </c>
      <c r="J22" s="194">
        <v>540</v>
      </c>
      <c r="K22" s="195">
        <v>540</v>
      </c>
      <c r="L22" s="196">
        <f t="shared" si="29"/>
        <v>0</v>
      </c>
      <c r="M22" s="205">
        <f>VLOOKUP($E22,[3]Sheet1!$B$8:$AF$147,13,0)</f>
        <v>0</v>
      </c>
      <c r="N22" s="197">
        <f t="shared" si="16"/>
        <v>0</v>
      </c>
      <c r="O22" s="198">
        <f t="shared" si="17"/>
        <v>0</v>
      </c>
      <c r="P22" s="205">
        <f>VLOOKUP($E22,[3]Sheet1!$B$8:$AF$461,19,0)</f>
        <v>0</v>
      </c>
      <c r="Q22" s="195">
        <f t="shared" si="18"/>
        <v>0</v>
      </c>
      <c r="R22" s="199">
        <f t="shared" si="19"/>
        <v>0</v>
      </c>
      <c r="S22" s="205">
        <f>VLOOKUP($E22,[3]Sheet1!$B$8:$AF$461,25,0)</f>
        <v>0</v>
      </c>
      <c r="T22" s="197">
        <f t="shared" si="20"/>
        <v>0</v>
      </c>
      <c r="U22" s="198">
        <f t="shared" si="21"/>
        <v>0</v>
      </c>
      <c r="V22" s="205">
        <f>VLOOKUP($E22,[3]Sheet1!$B$8:$BF$461,31,0)</f>
        <v>0</v>
      </c>
      <c r="W22" s="195">
        <f t="shared" si="22"/>
        <v>0</v>
      </c>
      <c r="X22" s="199">
        <f t="shared" si="23"/>
        <v>0</v>
      </c>
      <c r="Y22" s="205">
        <f>VLOOKUP($E22,[3]Sheet1!$B$8:$BF$461,37,0)</f>
        <v>120</v>
      </c>
      <c r="Z22" s="197">
        <f t="shared" si="24"/>
        <v>120</v>
      </c>
      <c r="AA22" s="199">
        <f t="shared" si="25"/>
        <v>0</v>
      </c>
      <c r="AB22" s="205">
        <f t="shared" si="26"/>
        <v>120</v>
      </c>
      <c r="AC22" s="197">
        <f t="shared" si="27"/>
        <v>120</v>
      </c>
      <c r="AD22" s="198">
        <f t="shared" si="28"/>
        <v>0</v>
      </c>
      <c r="AE22" s="134"/>
      <c r="AF22" s="206"/>
      <c r="AG22" s="136"/>
      <c r="AH22" s="136"/>
      <c r="AI22" s="136"/>
      <c r="AJ22" s="136"/>
      <c r="AK22" s="136"/>
      <c r="AM22" s="137"/>
      <c r="AN22" s="137"/>
      <c r="AO22" s="137"/>
      <c r="AP22" s="137"/>
      <c r="AQ22" s="137"/>
      <c r="AS22" s="135" t="s">
        <v>157</v>
      </c>
    </row>
    <row r="23" spans="1:45" s="135" customFormat="1" ht="15.75" customHeight="1" thickBot="1">
      <c r="A23" s="208"/>
      <c r="B23" s="240" t="s">
        <v>176</v>
      </c>
      <c r="C23" s="212"/>
      <c r="D23" s="200"/>
      <c r="E23" s="203" t="s">
        <v>158</v>
      </c>
      <c r="F23" s="211" t="s">
        <v>202</v>
      </c>
      <c r="G23" s="243">
        <f>VLOOKUP($E23,'[2]UMH Monthly'!$D$4:$V$510,19,0)</f>
        <v>1.4185E-2</v>
      </c>
      <c r="H23" s="192"/>
      <c r="I23" s="193">
        <v>0</v>
      </c>
      <c r="J23" s="194">
        <v>0</v>
      </c>
      <c r="K23" s="195">
        <v>0</v>
      </c>
      <c r="L23" s="196">
        <f t="shared" si="29"/>
        <v>0</v>
      </c>
      <c r="M23" s="205">
        <f>VLOOKUP($E23,[3]Sheet1!$B$8:$AF$147,13,0)</f>
        <v>0</v>
      </c>
      <c r="N23" s="197">
        <f t="shared" si="16"/>
        <v>0</v>
      </c>
      <c r="O23" s="198">
        <f t="shared" si="17"/>
        <v>0</v>
      </c>
      <c r="P23" s="205">
        <f>VLOOKUP($E23,[3]Sheet1!$B$8:$AF$461,19,0)</f>
        <v>20</v>
      </c>
      <c r="Q23" s="195">
        <f t="shared" si="18"/>
        <v>20</v>
      </c>
      <c r="R23" s="199">
        <f t="shared" si="19"/>
        <v>0</v>
      </c>
      <c r="S23" s="205">
        <f>VLOOKUP($E23,[3]Sheet1!$B$8:$AF$461,25,0)</f>
        <v>0</v>
      </c>
      <c r="T23" s="197">
        <f t="shared" si="20"/>
        <v>0</v>
      </c>
      <c r="U23" s="198">
        <f t="shared" si="21"/>
        <v>0</v>
      </c>
      <c r="V23" s="205">
        <f>VLOOKUP($E23,[3]Sheet1!$B$8:$BF$461,31,0)</f>
        <v>0</v>
      </c>
      <c r="W23" s="195">
        <f t="shared" si="22"/>
        <v>0</v>
      </c>
      <c r="X23" s="199">
        <f t="shared" si="23"/>
        <v>0</v>
      </c>
      <c r="Y23" s="205">
        <f>VLOOKUP($E23,[3]Sheet1!$B$8:$BF$461,37,0)</f>
        <v>0</v>
      </c>
      <c r="Z23" s="197">
        <f t="shared" si="24"/>
        <v>0</v>
      </c>
      <c r="AA23" s="199">
        <f t="shared" si="25"/>
        <v>0</v>
      </c>
      <c r="AB23" s="205">
        <f t="shared" si="26"/>
        <v>0</v>
      </c>
      <c r="AC23" s="197">
        <f t="shared" si="27"/>
        <v>0</v>
      </c>
      <c r="AD23" s="198">
        <f t="shared" si="28"/>
        <v>0</v>
      </c>
      <c r="AE23" s="134"/>
      <c r="AF23" s="206"/>
      <c r="AG23" s="136"/>
      <c r="AH23" s="136"/>
      <c r="AI23" s="136"/>
      <c r="AJ23" s="136"/>
      <c r="AK23" s="136"/>
      <c r="AM23" s="137"/>
      <c r="AN23" s="137"/>
      <c r="AO23" s="137"/>
      <c r="AP23" s="137"/>
      <c r="AQ23" s="137"/>
      <c r="AS23" s="135" t="s">
        <v>158</v>
      </c>
    </row>
    <row r="24" spans="1:45" s="135" customFormat="1" ht="15.75" customHeight="1" thickBot="1">
      <c r="A24" s="208"/>
      <c r="B24" s="240" t="s">
        <v>177</v>
      </c>
      <c r="C24" s="212"/>
      <c r="D24" s="200"/>
      <c r="E24" s="203" t="s">
        <v>206</v>
      </c>
      <c r="F24" s="211" t="s">
        <v>202</v>
      </c>
      <c r="G24" s="243">
        <f>VLOOKUP($E24,'[2]UMH Monthly'!$D$4:$V$510,19,0)</f>
        <v>1.3916666666666666E-2</v>
      </c>
      <c r="H24" s="192"/>
      <c r="I24" s="193">
        <v>0</v>
      </c>
      <c r="J24" s="194">
        <v>0</v>
      </c>
      <c r="K24" s="195">
        <v>0</v>
      </c>
      <c r="L24" s="196">
        <f t="shared" si="29"/>
        <v>0</v>
      </c>
      <c r="M24" s="205">
        <f>VLOOKUP($E24,[3]Sheet1!$B$8:$AF$147,13,0)</f>
        <v>0</v>
      </c>
      <c r="N24" s="197">
        <f t="shared" si="16"/>
        <v>0</v>
      </c>
      <c r="O24" s="198">
        <f t="shared" si="17"/>
        <v>0</v>
      </c>
      <c r="P24" s="205">
        <f>VLOOKUP($E24,[3]Sheet1!$B$8:$AF$461,19,0)</f>
        <v>0</v>
      </c>
      <c r="Q24" s="195">
        <f t="shared" si="18"/>
        <v>0</v>
      </c>
      <c r="R24" s="199">
        <f t="shared" si="19"/>
        <v>0</v>
      </c>
      <c r="S24" s="205">
        <f>VLOOKUP($E24,[3]Sheet1!$B$8:$AF$461,25,0)</f>
        <v>0</v>
      </c>
      <c r="T24" s="197">
        <f t="shared" si="20"/>
        <v>0</v>
      </c>
      <c r="U24" s="198">
        <f t="shared" si="21"/>
        <v>0</v>
      </c>
      <c r="V24" s="205">
        <f>VLOOKUP($E24,[3]Sheet1!$B$8:$BF$461,31,0)</f>
        <v>0</v>
      </c>
      <c r="W24" s="195">
        <f t="shared" si="22"/>
        <v>0</v>
      </c>
      <c r="X24" s="199">
        <f t="shared" si="23"/>
        <v>0</v>
      </c>
      <c r="Y24" s="205">
        <f>VLOOKUP($E24,[3]Sheet1!$B$8:$BF$461,37,0)</f>
        <v>0</v>
      </c>
      <c r="Z24" s="197">
        <f t="shared" si="24"/>
        <v>0</v>
      </c>
      <c r="AA24" s="199">
        <f t="shared" si="25"/>
        <v>0</v>
      </c>
      <c r="AB24" s="205">
        <f t="shared" si="26"/>
        <v>0</v>
      </c>
      <c r="AC24" s="197">
        <f t="shared" si="27"/>
        <v>0</v>
      </c>
      <c r="AD24" s="198">
        <f t="shared" si="28"/>
        <v>0</v>
      </c>
      <c r="AE24" s="134"/>
      <c r="AF24" s="206"/>
      <c r="AG24" s="136"/>
      <c r="AH24" s="136"/>
      <c r="AI24" s="136"/>
      <c r="AJ24" s="136"/>
      <c r="AK24" s="136"/>
      <c r="AM24" s="137"/>
      <c r="AN24" s="137"/>
      <c r="AO24" s="137"/>
      <c r="AP24" s="137"/>
      <c r="AQ24" s="137"/>
      <c r="AS24" s="135" t="s">
        <v>206</v>
      </c>
    </row>
    <row r="25" spans="1:45" s="135" customFormat="1" ht="15.75" customHeight="1" thickBot="1">
      <c r="A25" s="208"/>
      <c r="B25" s="240" t="s">
        <v>178</v>
      </c>
      <c r="C25" s="212"/>
      <c r="D25" s="200"/>
      <c r="E25" s="203" t="s">
        <v>207</v>
      </c>
      <c r="F25" s="211" t="s">
        <v>202</v>
      </c>
      <c r="G25" s="243">
        <f>VLOOKUP($E25,'[2]UMH Monthly'!$D$4:$V$510,19,0)</f>
        <v>1.1736666666666666E-2</v>
      </c>
      <c r="H25" s="192"/>
      <c r="I25" s="193">
        <v>0</v>
      </c>
      <c r="J25" s="194">
        <v>0</v>
      </c>
      <c r="K25" s="195">
        <v>0</v>
      </c>
      <c r="L25" s="196">
        <f t="shared" si="29"/>
        <v>0</v>
      </c>
      <c r="M25" s="205">
        <f>VLOOKUP($E25,[3]Sheet1!$B$8:$AF$147,13,0)</f>
        <v>0</v>
      </c>
      <c r="N25" s="197">
        <f t="shared" si="16"/>
        <v>0</v>
      </c>
      <c r="O25" s="198">
        <f t="shared" si="17"/>
        <v>0</v>
      </c>
      <c r="P25" s="205">
        <f>VLOOKUP($E25,[3]Sheet1!$B$8:$AF$461,19,0)</f>
        <v>0</v>
      </c>
      <c r="Q25" s="195">
        <f t="shared" si="18"/>
        <v>0</v>
      </c>
      <c r="R25" s="199">
        <f t="shared" si="19"/>
        <v>0</v>
      </c>
      <c r="S25" s="205">
        <f>VLOOKUP($E25,[3]Sheet1!$B$8:$AF$461,25,0)</f>
        <v>0</v>
      </c>
      <c r="T25" s="197">
        <f t="shared" si="20"/>
        <v>0</v>
      </c>
      <c r="U25" s="198">
        <f t="shared" si="21"/>
        <v>0</v>
      </c>
      <c r="V25" s="205">
        <f>VLOOKUP($E25,[3]Sheet1!$B$8:$BF$461,31,0)</f>
        <v>0</v>
      </c>
      <c r="W25" s="195">
        <f t="shared" si="22"/>
        <v>0</v>
      </c>
      <c r="X25" s="199">
        <f t="shared" si="23"/>
        <v>0</v>
      </c>
      <c r="Y25" s="205">
        <f>VLOOKUP($E25,[3]Sheet1!$B$8:$BF$461,37,0)</f>
        <v>0</v>
      </c>
      <c r="Z25" s="197">
        <f t="shared" si="24"/>
        <v>0</v>
      </c>
      <c r="AA25" s="199">
        <f t="shared" si="25"/>
        <v>0</v>
      </c>
      <c r="AB25" s="205">
        <f t="shared" si="26"/>
        <v>0</v>
      </c>
      <c r="AC25" s="197">
        <f t="shared" si="27"/>
        <v>0</v>
      </c>
      <c r="AD25" s="198">
        <f t="shared" si="28"/>
        <v>0</v>
      </c>
      <c r="AE25" s="134"/>
      <c r="AF25" s="206"/>
      <c r="AG25" s="136"/>
      <c r="AH25" s="136"/>
      <c r="AI25" s="136"/>
      <c r="AJ25" s="136"/>
      <c r="AK25" s="136"/>
      <c r="AM25" s="137"/>
      <c r="AN25" s="137"/>
      <c r="AO25" s="137"/>
      <c r="AP25" s="137"/>
      <c r="AQ25" s="137"/>
      <c r="AS25" s="135" t="s">
        <v>207</v>
      </c>
    </row>
    <row r="26" spans="1:45" s="135" customFormat="1" ht="15.75" customHeight="1" thickBot="1">
      <c r="A26" s="208"/>
      <c r="B26" s="240" t="s">
        <v>179</v>
      </c>
      <c r="C26" s="212"/>
      <c r="D26" s="200"/>
      <c r="E26" s="242" t="s">
        <v>159</v>
      </c>
      <c r="F26" s="211" t="s">
        <v>202</v>
      </c>
      <c r="G26" s="243">
        <f>VLOOKUP($E26,'[2]UMH Monthly'!$D$4:$V$510,19,0)</f>
        <v>1.5235E-2</v>
      </c>
      <c r="H26" s="192"/>
      <c r="I26" s="193">
        <v>0</v>
      </c>
      <c r="J26" s="194">
        <v>160</v>
      </c>
      <c r="K26" s="195">
        <v>160</v>
      </c>
      <c r="L26" s="196">
        <f t="shared" si="29"/>
        <v>0</v>
      </c>
      <c r="M26" s="205">
        <f>VLOOKUP($E26,[3]Sheet1!$B$8:$AF$147,13,0)</f>
        <v>160</v>
      </c>
      <c r="N26" s="197">
        <f t="shared" si="16"/>
        <v>160</v>
      </c>
      <c r="O26" s="198">
        <f t="shared" si="17"/>
        <v>0</v>
      </c>
      <c r="P26" s="205">
        <f>VLOOKUP($E26,[3]Sheet1!$B$8:$AF$461,19,0)</f>
        <v>80</v>
      </c>
      <c r="Q26" s="195">
        <f t="shared" si="18"/>
        <v>80</v>
      </c>
      <c r="R26" s="199">
        <f t="shared" si="19"/>
        <v>0</v>
      </c>
      <c r="S26" s="205">
        <f>VLOOKUP($E26,[3]Sheet1!$B$8:$AF$461,25,0)</f>
        <v>80</v>
      </c>
      <c r="T26" s="197">
        <f t="shared" si="20"/>
        <v>80</v>
      </c>
      <c r="U26" s="198">
        <f t="shared" si="21"/>
        <v>0</v>
      </c>
      <c r="V26" s="205">
        <f>VLOOKUP($E26,[3]Sheet1!$B$8:$BF$461,31,0)</f>
        <v>80</v>
      </c>
      <c r="W26" s="195">
        <f t="shared" si="22"/>
        <v>80</v>
      </c>
      <c r="X26" s="199">
        <f t="shared" si="23"/>
        <v>0</v>
      </c>
      <c r="Y26" s="205">
        <f>VLOOKUP($E26,[3]Sheet1!$B$8:$BF$461,37,0)</f>
        <v>120</v>
      </c>
      <c r="Z26" s="197">
        <f t="shared" si="24"/>
        <v>120</v>
      </c>
      <c r="AA26" s="199">
        <f t="shared" si="25"/>
        <v>0</v>
      </c>
      <c r="AB26" s="205">
        <f t="shared" si="26"/>
        <v>120</v>
      </c>
      <c r="AC26" s="197">
        <f t="shared" si="27"/>
        <v>120</v>
      </c>
      <c r="AD26" s="198">
        <f t="shared" si="28"/>
        <v>0</v>
      </c>
      <c r="AE26" s="134"/>
      <c r="AF26" s="206"/>
      <c r="AG26" s="136"/>
      <c r="AH26" s="136"/>
      <c r="AI26" s="136"/>
      <c r="AJ26" s="136"/>
      <c r="AK26" s="136"/>
      <c r="AM26" s="137"/>
      <c r="AN26" s="137"/>
      <c r="AO26" s="137"/>
      <c r="AP26" s="137"/>
      <c r="AQ26" s="137"/>
      <c r="AS26" s="135" t="s">
        <v>159</v>
      </c>
    </row>
    <row r="27" spans="1:45" s="135" customFormat="1" ht="15.75" customHeight="1" thickBot="1">
      <c r="A27" s="208"/>
      <c r="B27" s="240" t="s">
        <v>180</v>
      </c>
      <c r="C27" s="212"/>
      <c r="D27" s="200"/>
      <c r="E27" s="242" t="s">
        <v>160</v>
      </c>
      <c r="F27" s="211" t="s">
        <v>202</v>
      </c>
      <c r="G27" s="243">
        <f>VLOOKUP($E27,'[2]UMH Monthly'!$D$4:$V$510,19,0)</f>
        <v>1.5235E-2</v>
      </c>
      <c r="H27" s="192"/>
      <c r="I27" s="193">
        <v>0</v>
      </c>
      <c r="J27" s="194">
        <v>1440</v>
      </c>
      <c r="K27" s="195">
        <v>1440</v>
      </c>
      <c r="L27" s="196">
        <f t="shared" si="29"/>
        <v>0</v>
      </c>
      <c r="M27" s="205">
        <f>VLOOKUP($E27,[3]Sheet1!$B$8:$AF$147,13,0)</f>
        <v>1680</v>
      </c>
      <c r="N27" s="197">
        <f t="shared" si="16"/>
        <v>1680</v>
      </c>
      <c r="O27" s="198">
        <f t="shared" si="17"/>
        <v>0</v>
      </c>
      <c r="P27" s="205">
        <f>VLOOKUP($E27,[3]Sheet1!$B$8:$AF$461,19,0)</f>
        <v>1240</v>
      </c>
      <c r="Q27" s="195">
        <f t="shared" si="18"/>
        <v>1240</v>
      </c>
      <c r="R27" s="199">
        <f t="shared" si="19"/>
        <v>0</v>
      </c>
      <c r="S27" s="205">
        <f>VLOOKUP($E27,[3]Sheet1!$B$8:$AF$461,25,0)</f>
        <v>1040</v>
      </c>
      <c r="T27" s="197">
        <f t="shared" si="20"/>
        <v>1040</v>
      </c>
      <c r="U27" s="198">
        <f t="shared" si="21"/>
        <v>0</v>
      </c>
      <c r="V27" s="205">
        <f>VLOOKUP($E27,[3]Sheet1!$B$8:$BF$461,31,0)</f>
        <v>1080</v>
      </c>
      <c r="W27" s="195">
        <f t="shared" si="22"/>
        <v>1080</v>
      </c>
      <c r="X27" s="199">
        <f t="shared" si="23"/>
        <v>0</v>
      </c>
      <c r="Y27" s="205">
        <f>VLOOKUP($E27,[3]Sheet1!$B$8:$BF$461,37,0)</f>
        <v>1240</v>
      </c>
      <c r="Z27" s="197">
        <f t="shared" si="24"/>
        <v>1240</v>
      </c>
      <c r="AA27" s="199">
        <f t="shared" si="25"/>
        <v>0</v>
      </c>
      <c r="AB27" s="205">
        <f t="shared" si="26"/>
        <v>1240</v>
      </c>
      <c r="AC27" s="197">
        <f t="shared" si="27"/>
        <v>1240</v>
      </c>
      <c r="AD27" s="198">
        <f t="shared" si="28"/>
        <v>0</v>
      </c>
      <c r="AE27" s="134"/>
      <c r="AF27" s="206"/>
      <c r="AG27" s="136"/>
      <c r="AH27" s="136"/>
      <c r="AI27" s="136"/>
      <c r="AJ27" s="136"/>
      <c r="AK27" s="136"/>
      <c r="AM27" s="137"/>
      <c r="AN27" s="137"/>
      <c r="AO27" s="137"/>
      <c r="AP27" s="137"/>
      <c r="AQ27" s="137"/>
      <c r="AS27" s="135" t="s">
        <v>160</v>
      </c>
    </row>
    <row r="28" spans="1:45" s="135" customFormat="1" ht="15.75" customHeight="1" thickBot="1">
      <c r="A28" s="208"/>
      <c r="B28" s="240" t="s">
        <v>181</v>
      </c>
      <c r="C28" s="212"/>
      <c r="D28" s="200"/>
      <c r="E28" s="242" t="s">
        <v>161</v>
      </c>
      <c r="F28" s="211" t="s">
        <v>202</v>
      </c>
      <c r="G28" s="243">
        <f>VLOOKUP($E28,'[2]UMH Monthly'!$D$4:$V$510,19,0)</f>
        <v>1.5096666666666668E-2</v>
      </c>
      <c r="H28" s="192"/>
      <c r="I28" s="193">
        <v>0</v>
      </c>
      <c r="J28" s="194">
        <v>0</v>
      </c>
      <c r="K28" s="195">
        <v>0</v>
      </c>
      <c r="L28" s="196">
        <f t="shared" si="29"/>
        <v>0</v>
      </c>
      <c r="M28" s="205">
        <f>VLOOKUP($E28,[3]Sheet1!$B$8:$AF$147,13,0)</f>
        <v>0</v>
      </c>
      <c r="N28" s="197">
        <f t="shared" si="16"/>
        <v>0</v>
      </c>
      <c r="O28" s="198">
        <f t="shared" si="17"/>
        <v>0</v>
      </c>
      <c r="P28" s="205">
        <f>VLOOKUP($E28,[3]Sheet1!$B$8:$AF$461,19,0)</f>
        <v>0</v>
      </c>
      <c r="Q28" s="195">
        <f t="shared" si="18"/>
        <v>0</v>
      </c>
      <c r="R28" s="199">
        <f t="shared" si="19"/>
        <v>0</v>
      </c>
      <c r="S28" s="205">
        <f>VLOOKUP($E28,[3]Sheet1!$B$8:$AF$461,25,0)</f>
        <v>0</v>
      </c>
      <c r="T28" s="197">
        <f t="shared" si="20"/>
        <v>0</v>
      </c>
      <c r="U28" s="198">
        <f t="shared" si="21"/>
        <v>0</v>
      </c>
      <c r="V28" s="205">
        <f>VLOOKUP($E28,[3]Sheet1!$B$8:$BF$461,31,0)</f>
        <v>0</v>
      </c>
      <c r="W28" s="195">
        <f t="shared" si="22"/>
        <v>0</v>
      </c>
      <c r="X28" s="199">
        <f t="shared" si="23"/>
        <v>0</v>
      </c>
      <c r="Y28" s="205">
        <f>VLOOKUP($E28,[3]Sheet1!$B$8:$BF$461,37,0)</f>
        <v>0</v>
      </c>
      <c r="Z28" s="197">
        <f t="shared" si="24"/>
        <v>0</v>
      </c>
      <c r="AA28" s="199">
        <f t="shared" si="25"/>
        <v>0</v>
      </c>
      <c r="AB28" s="205">
        <f t="shared" si="26"/>
        <v>0</v>
      </c>
      <c r="AC28" s="197">
        <f t="shared" si="27"/>
        <v>0</v>
      </c>
      <c r="AD28" s="198">
        <f t="shared" si="28"/>
        <v>0</v>
      </c>
      <c r="AE28" s="134"/>
      <c r="AF28" s="206"/>
      <c r="AG28" s="136"/>
      <c r="AH28" s="136"/>
      <c r="AI28" s="136"/>
      <c r="AJ28" s="136"/>
      <c r="AK28" s="136"/>
      <c r="AM28" s="137"/>
      <c r="AN28" s="137"/>
      <c r="AO28" s="137"/>
      <c r="AP28" s="137"/>
      <c r="AQ28" s="137"/>
      <c r="AS28" s="135" t="s">
        <v>161</v>
      </c>
    </row>
    <row r="29" spans="1:45" s="135" customFormat="1" ht="15.75" customHeight="1" thickBot="1">
      <c r="A29" s="208"/>
      <c r="B29" s="240" t="s">
        <v>182</v>
      </c>
      <c r="C29" s="212"/>
      <c r="D29" s="200"/>
      <c r="E29" s="242" t="s">
        <v>162</v>
      </c>
      <c r="F29" s="211" t="s">
        <v>202</v>
      </c>
      <c r="G29" s="243">
        <f>VLOOKUP($E29,'[2]UMH Monthly'!$D$4:$V$510,19,0)</f>
        <v>1.4811666666666667E-2</v>
      </c>
      <c r="H29" s="192"/>
      <c r="I29" s="193">
        <v>0</v>
      </c>
      <c r="J29" s="194">
        <v>0</v>
      </c>
      <c r="K29" s="195">
        <v>0</v>
      </c>
      <c r="L29" s="196">
        <f t="shared" si="29"/>
        <v>0</v>
      </c>
      <c r="M29" s="205">
        <f>VLOOKUP($E29,[3]Sheet1!$B$8:$AF$147,13,0)</f>
        <v>0</v>
      </c>
      <c r="N29" s="197">
        <f t="shared" si="16"/>
        <v>0</v>
      </c>
      <c r="O29" s="198">
        <f t="shared" si="17"/>
        <v>0</v>
      </c>
      <c r="P29" s="205">
        <f>VLOOKUP($E29,[3]Sheet1!$B$8:$AF$461,19,0)</f>
        <v>0</v>
      </c>
      <c r="Q29" s="195">
        <f t="shared" si="18"/>
        <v>0</v>
      </c>
      <c r="R29" s="199">
        <f t="shared" si="19"/>
        <v>0</v>
      </c>
      <c r="S29" s="205">
        <f>VLOOKUP($E29,[3]Sheet1!$B$8:$AF$461,25,0)</f>
        <v>0</v>
      </c>
      <c r="T29" s="197">
        <f t="shared" si="20"/>
        <v>0</v>
      </c>
      <c r="U29" s="198">
        <f t="shared" si="21"/>
        <v>0</v>
      </c>
      <c r="V29" s="205">
        <f>VLOOKUP($E29,[3]Sheet1!$B$8:$BF$461,31,0)</f>
        <v>0</v>
      </c>
      <c r="W29" s="195">
        <f t="shared" si="22"/>
        <v>0</v>
      </c>
      <c r="X29" s="199">
        <f t="shared" si="23"/>
        <v>0</v>
      </c>
      <c r="Y29" s="205">
        <f>VLOOKUP($E29,[3]Sheet1!$B$8:$BF$461,37,0)</f>
        <v>0</v>
      </c>
      <c r="Z29" s="197">
        <f t="shared" si="24"/>
        <v>0</v>
      </c>
      <c r="AA29" s="199">
        <f t="shared" si="25"/>
        <v>0</v>
      </c>
      <c r="AB29" s="205">
        <f t="shared" si="26"/>
        <v>0</v>
      </c>
      <c r="AC29" s="197">
        <f t="shared" si="27"/>
        <v>0</v>
      </c>
      <c r="AD29" s="198">
        <f t="shared" si="28"/>
        <v>0</v>
      </c>
      <c r="AE29" s="134"/>
      <c r="AF29" s="206"/>
      <c r="AG29" s="136"/>
      <c r="AH29" s="136"/>
      <c r="AI29" s="136"/>
      <c r="AJ29" s="136"/>
      <c r="AK29" s="136"/>
      <c r="AM29" s="137"/>
      <c r="AN29" s="137"/>
      <c r="AO29" s="137"/>
      <c r="AP29" s="137"/>
      <c r="AQ29" s="137"/>
      <c r="AS29" s="135" t="s">
        <v>162</v>
      </c>
    </row>
    <row r="30" spans="1:45" s="135" customFormat="1" ht="15.75" customHeight="1" thickBot="1">
      <c r="A30" s="208"/>
      <c r="B30" s="240" t="s">
        <v>183</v>
      </c>
      <c r="C30" s="212"/>
      <c r="D30" s="200"/>
      <c r="E30" s="242" t="s">
        <v>163</v>
      </c>
      <c r="F30" s="211" t="s">
        <v>202</v>
      </c>
      <c r="G30" s="243">
        <f>VLOOKUP($E30,'[2]UMH Monthly'!$D$4:$V$510,19,0)</f>
        <v>1.2021666666666667E-2</v>
      </c>
      <c r="H30" s="192"/>
      <c r="I30" s="193">
        <v>0</v>
      </c>
      <c r="J30" s="194">
        <v>560</v>
      </c>
      <c r="K30" s="195">
        <v>560</v>
      </c>
      <c r="L30" s="196">
        <f t="shared" si="29"/>
        <v>0</v>
      </c>
      <c r="M30" s="205">
        <f>VLOOKUP($E30,[3]Sheet1!$B$8:$AF$147,13,0)</f>
        <v>0</v>
      </c>
      <c r="N30" s="197">
        <f t="shared" si="16"/>
        <v>0</v>
      </c>
      <c r="O30" s="198">
        <f t="shared" si="17"/>
        <v>0</v>
      </c>
      <c r="P30" s="205">
        <f>VLOOKUP($E30,[3]Sheet1!$B$8:$AF$461,19,0)</f>
        <v>0</v>
      </c>
      <c r="Q30" s="195">
        <f t="shared" si="18"/>
        <v>0</v>
      </c>
      <c r="R30" s="199">
        <f t="shared" si="19"/>
        <v>0</v>
      </c>
      <c r="S30" s="205">
        <f>VLOOKUP($E30,[3]Sheet1!$B$8:$AF$461,25,0)</f>
        <v>0</v>
      </c>
      <c r="T30" s="197">
        <f t="shared" si="20"/>
        <v>0</v>
      </c>
      <c r="U30" s="198">
        <f t="shared" si="21"/>
        <v>0</v>
      </c>
      <c r="V30" s="205">
        <f>VLOOKUP($E30,[3]Sheet1!$B$8:$BF$461,31,0)</f>
        <v>0</v>
      </c>
      <c r="W30" s="195">
        <f t="shared" si="22"/>
        <v>0</v>
      </c>
      <c r="X30" s="199">
        <f t="shared" si="23"/>
        <v>0</v>
      </c>
      <c r="Y30" s="205">
        <f>VLOOKUP($E30,[3]Sheet1!$B$8:$BF$461,37,0)</f>
        <v>40</v>
      </c>
      <c r="Z30" s="197">
        <f t="shared" si="24"/>
        <v>40</v>
      </c>
      <c r="AA30" s="199">
        <f t="shared" si="25"/>
        <v>0</v>
      </c>
      <c r="AB30" s="205">
        <f t="shared" si="26"/>
        <v>40</v>
      </c>
      <c r="AC30" s="197">
        <f t="shared" si="27"/>
        <v>40</v>
      </c>
      <c r="AD30" s="198">
        <f t="shared" si="28"/>
        <v>0</v>
      </c>
      <c r="AE30" s="134"/>
      <c r="AF30" s="206"/>
      <c r="AG30" s="136"/>
      <c r="AH30" s="136"/>
      <c r="AI30" s="136"/>
      <c r="AJ30" s="136"/>
      <c r="AK30" s="136"/>
      <c r="AM30" s="137"/>
      <c r="AN30" s="137"/>
      <c r="AO30" s="137"/>
      <c r="AP30" s="137"/>
      <c r="AQ30" s="137"/>
      <c r="AS30" s="135" t="s">
        <v>163</v>
      </c>
    </row>
    <row r="31" spans="1:45" s="135" customFormat="1" ht="15.75" customHeight="1" thickBot="1">
      <c r="A31" s="208"/>
      <c r="B31" s="240" t="s">
        <v>184</v>
      </c>
      <c r="C31" s="212"/>
      <c r="D31" s="200"/>
      <c r="E31" s="242" t="s">
        <v>164</v>
      </c>
      <c r="F31" s="211" t="s">
        <v>202</v>
      </c>
      <c r="G31" s="243">
        <f>VLOOKUP($E31,'[2]UMH Monthly'!$D$4:$V$510,19,0)</f>
        <v>1.5805E-2</v>
      </c>
      <c r="H31" s="192"/>
      <c r="I31" s="193">
        <v>0</v>
      </c>
      <c r="J31" s="194">
        <v>0</v>
      </c>
      <c r="K31" s="195">
        <v>0</v>
      </c>
      <c r="L31" s="196">
        <f t="shared" si="29"/>
        <v>0</v>
      </c>
      <c r="M31" s="205">
        <f>VLOOKUP($E31,[3]Sheet1!$B$8:$AF$147,13,0)</f>
        <v>0</v>
      </c>
      <c r="N31" s="197">
        <f t="shared" si="16"/>
        <v>0</v>
      </c>
      <c r="O31" s="198">
        <f t="shared" si="17"/>
        <v>0</v>
      </c>
      <c r="P31" s="205">
        <f>VLOOKUP($E31,[3]Sheet1!$B$8:$AF$461,19,0)</f>
        <v>0</v>
      </c>
      <c r="Q31" s="195">
        <f t="shared" si="18"/>
        <v>0</v>
      </c>
      <c r="R31" s="199">
        <f t="shared" si="19"/>
        <v>0</v>
      </c>
      <c r="S31" s="205">
        <f>VLOOKUP($E31,[3]Sheet1!$B$8:$AF$461,25,0)</f>
        <v>0</v>
      </c>
      <c r="T31" s="197">
        <f t="shared" si="20"/>
        <v>0</v>
      </c>
      <c r="U31" s="198">
        <f t="shared" si="21"/>
        <v>0</v>
      </c>
      <c r="V31" s="205">
        <f>VLOOKUP($E31,[3]Sheet1!$B$8:$BF$461,31,0)</f>
        <v>0</v>
      </c>
      <c r="W31" s="195">
        <f t="shared" si="22"/>
        <v>0</v>
      </c>
      <c r="X31" s="199">
        <f t="shared" si="23"/>
        <v>0</v>
      </c>
      <c r="Y31" s="205">
        <f>VLOOKUP($E31,[3]Sheet1!$B$8:$BF$461,37,0)</f>
        <v>0</v>
      </c>
      <c r="Z31" s="197">
        <f t="shared" si="24"/>
        <v>0</v>
      </c>
      <c r="AA31" s="199">
        <f t="shared" si="25"/>
        <v>0</v>
      </c>
      <c r="AB31" s="205">
        <f t="shared" si="26"/>
        <v>0</v>
      </c>
      <c r="AC31" s="197">
        <f t="shared" si="27"/>
        <v>0</v>
      </c>
      <c r="AD31" s="198">
        <f t="shared" si="28"/>
        <v>0</v>
      </c>
      <c r="AE31" s="134"/>
      <c r="AF31" s="206"/>
      <c r="AG31" s="136"/>
      <c r="AH31" s="136"/>
      <c r="AI31" s="136"/>
      <c r="AJ31" s="136"/>
      <c r="AK31" s="136"/>
      <c r="AM31" s="137"/>
      <c r="AN31" s="137"/>
      <c r="AO31" s="137"/>
      <c r="AP31" s="137"/>
      <c r="AQ31" s="137"/>
      <c r="AS31" s="135" t="s">
        <v>164</v>
      </c>
    </row>
    <row r="32" spans="1:45" s="135" customFormat="1" ht="15.75" customHeight="1" thickBot="1">
      <c r="A32" s="208"/>
      <c r="B32" s="240" t="s">
        <v>185</v>
      </c>
      <c r="C32" s="212"/>
      <c r="D32" s="200"/>
      <c r="E32" s="254" t="s">
        <v>165</v>
      </c>
      <c r="F32" s="211" t="s">
        <v>203</v>
      </c>
      <c r="G32" s="243">
        <f>VLOOKUP($E32,'[2]UMH Monthly'!$D$4:$V$510,19,0)</f>
        <v>1.4606666666666665E-2</v>
      </c>
      <c r="H32" s="192"/>
      <c r="I32" s="193">
        <v>0</v>
      </c>
      <c r="J32" s="194">
        <v>0</v>
      </c>
      <c r="K32" s="195">
        <v>0</v>
      </c>
      <c r="L32" s="196">
        <f t="shared" si="29"/>
        <v>0</v>
      </c>
      <c r="M32" s="205">
        <f>VLOOKUP($E32,[3]Sheet1!$B$8:$AF$147,13,0)</f>
        <v>0</v>
      </c>
      <c r="N32" s="197">
        <f t="shared" si="16"/>
        <v>0</v>
      </c>
      <c r="O32" s="198">
        <f t="shared" si="17"/>
        <v>0</v>
      </c>
      <c r="P32" s="205">
        <f>VLOOKUP($E32,[3]Sheet1!$B$8:$AF$461,19,0)</f>
        <v>0</v>
      </c>
      <c r="Q32" s="195">
        <f t="shared" si="18"/>
        <v>0</v>
      </c>
      <c r="R32" s="199">
        <f t="shared" si="19"/>
        <v>0</v>
      </c>
      <c r="S32" s="205">
        <f>VLOOKUP($E32,[3]Sheet1!$B$8:$AF$461,25,0)</f>
        <v>0</v>
      </c>
      <c r="T32" s="197">
        <f t="shared" si="20"/>
        <v>0</v>
      </c>
      <c r="U32" s="198">
        <f t="shared" si="21"/>
        <v>0</v>
      </c>
      <c r="V32" s="205">
        <f>VLOOKUP($E32,[3]Sheet1!$B$8:$BF$461,31,0)</f>
        <v>0</v>
      </c>
      <c r="W32" s="195">
        <f t="shared" si="22"/>
        <v>0</v>
      </c>
      <c r="X32" s="199">
        <f t="shared" si="23"/>
        <v>0</v>
      </c>
      <c r="Y32" s="205">
        <f>VLOOKUP($E32,[3]Sheet1!$B$8:$BF$461,37,0)</f>
        <v>0</v>
      </c>
      <c r="Z32" s="197">
        <f t="shared" si="24"/>
        <v>0</v>
      </c>
      <c r="AA32" s="199">
        <f t="shared" si="25"/>
        <v>0</v>
      </c>
      <c r="AB32" s="205">
        <f t="shared" si="26"/>
        <v>0</v>
      </c>
      <c r="AC32" s="197">
        <f t="shared" si="27"/>
        <v>0</v>
      </c>
      <c r="AD32" s="198">
        <f t="shared" si="28"/>
        <v>0</v>
      </c>
      <c r="AE32" s="134" t="s">
        <v>165</v>
      </c>
      <c r="AF32" s="206"/>
      <c r="AG32" s="136"/>
      <c r="AH32" s="136"/>
      <c r="AI32" s="136"/>
      <c r="AJ32" s="136"/>
      <c r="AK32" s="136"/>
      <c r="AM32" s="137"/>
      <c r="AN32" s="137"/>
      <c r="AO32" s="137"/>
      <c r="AP32" s="137"/>
      <c r="AQ32" s="137"/>
      <c r="AS32" s="135" t="s">
        <v>165</v>
      </c>
    </row>
    <row r="33" spans="1:45" s="135" customFormat="1" ht="15.75" customHeight="1" thickBot="1">
      <c r="A33" s="208"/>
      <c r="B33" s="240" t="s">
        <v>186</v>
      </c>
      <c r="C33" s="212"/>
      <c r="D33" s="200"/>
      <c r="E33" s="254" t="s">
        <v>209</v>
      </c>
      <c r="F33" s="211" t="s">
        <v>203</v>
      </c>
      <c r="G33" s="243">
        <f>VLOOKUP($E33,'[2]UMH Monthly'!$D$4:$V$510,19,0)</f>
        <v>1.4674999999999999E-2</v>
      </c>
      <c r="H33" s="192"/>
      <c r="I33" s="193">
        <v>0</v>
      </c>
      <c r="J33" s="194">
        <v>0</v>
      </c>
      <c r="K33" s="195">
        <v>0</v>
      </c>
      <c r="L33" s="196">
        <f t="shared" si="29"/>
        <v>0</v>
      </c>
      <c r="M33" s="205">
        <f>VLOOKUP($E33,[3]Sheet1!$B$8:$AF$147,13,0)</f>
        <v>0</v>
      </c>
      <c r="N33" s="197">
        <f t="shared" si="16"/>
        <v>0</v>
      </c>
      <c r="O33" s="198">
        <f t="shared" si="17"/>
        <v>0</v>
      </c>
      <c r="P33" s="205">
        <f>VLOOKUP($E33,[3]Sheet1!$B$8:$AF$461,19,0)</f>
        <v>20</v>
      </c>
      <c r="Q33" s="195">
        <f t="shared" si="18"/>
        <v>20</v>
      </c>
      <c r="R33" s="199">
        <f t="shared" si="19"/>
        <v>0</v>
      </c>
      <c r="S33" s="205">
        <f>VLOOKUP($E33,[3]Sheet1!$B$8:$AF$461,25,0)</f>
        <v>0</v>
      </c>
      <c r="T33" s="197">
        <f t="shared" si="20"/>
        <v>0</v>
      </c>
      <c r="U33" s="198">
        <f t="shared" si="21"/>
        <v>0</v>
      </c>
      <c r="V33" s="205">
        <f>VLOOKUP($E33,[3]Sheet1!$B$8:$BF$461,31,0)</f>
        <v>0</v>
      </c>
      <c r="W33" s="195">
        <f t="shared" si="22"/>
        <v>0</v>
      </c>
      <c r="X33" s="199">
        <f t="shared" si="23"/>
        <v>0</v>
      </c>
      <c r="Y33" s="205">
        <f>VLOOKUP($E33,[3]Sheet1!$B$8:$BF$461,37,0)</f>
        <v>0</v>
      </c>
      <c r="Z33" s="197">
        <f t="shared" si="24"/>
        <v>0</v>
      </c>
      <c r="AA33" s="199">
        <f t="shared" si="25"/>
        <v>0</v>
      </c>
      <c r="AB33" s="205">
        <f t="shared" si="26"/>
        <v>0</v>
      </c>
      <c r="AC33" s="197">
        <f t="shared" si="27"/>
        <v>0</v>
      </c>
      <c r="AD33" s="198">
        <f t="shared" si="28"/>
        <v>0</v>
      </c>
      <c r="AE33" s="134" t="s">
        <v>209</v>
      </c>
      <c r="AF33" s="206"/>
      <c r="AG33" s="136"/>
      <c r="AH33" s="136"/>
      <c r="AI33" s="136"/>
      <c r="AJ33" s="136"/>
      <c r="AK33" s="136"/>
      <c r="AM33" s="137"/>
      <c r="AN33" s="137"/>
      <c r="AO33" s="137"/>
      <c r="AP33" s="137"/>
      <c r="AQ33" s="137"/>
      <c r="AS33" s="135" t="s">
        <v>209</v>
      </c>
    </row>
    <row r="34" spans="1:45" s="135" customFormat="1" ht="15.75" customHeight="1" thickBot="1">
      <c r="A34" s="208"/>
      <c r="B34" s="240" t="s">
        <v>187</v>
      </c>
      <c r="C34" s="212"/>
      <c r="D34" s="200"/>
      <c r="E34" s="254" t="s">
        <v>210</v>
      </c>
      <c r="F34" s="211" t="s">
        <v>203</v>
      </c>
      <c r="G34" s="243">
        <f>VLOOKUP($E34,'[2]UMH Monthly'!$D$4:$V$510,19,0)</f>
        <v>1.6293333333333333E-2</v>
      </c>
      <c r="H34" s="192"/>
      <c r="I34" s="193">
        <v>0</v>
      </c>
      <c r="J34" s="194">
        <v>0</v>
      </c>
      <c r="K34" s="195">
        <v>0</v>
      </c>
      <c r="L34" s="196">
        <f t="shared" si="29"/>
        <v>0</v>
      </c>
      <c r="M34" s="205">
        <f>VLOOKUP($E34,[3]Sheet1!$B$8:$AF$147,13,0)</f>
        <v>0</v>
      </c>
      <c r="N34" s="197">
        <f t="shared" si="16"/>
        <v>0</v>
      </c>
      <c r="O34" s="198">
        <f t="shared" si="17"/>
        <v>0</v>
      </c>
      <c r="P34" s="205">
        <f>VLOOKUP($E34,[3]Sheet1!$B$8:$AF$461,19,0)</f>
        <v>40</v>
      </c>
      <c r="Q34" s="195">
        <f t="shared" si="18"/>
        <v>40</v>
      </c>
      <c r="R34" s="199">
        <f t="shared" si="19"/>
        <v>0</v>
      </c>
      <c r="S34" s="205">
        <f>VLOOKUP($E34,[3]Sheet1!$B$8:$AF$461,25,0)</f>
        <v>0</v>
      </c>
      <c r="T34" s="197">
        <f t="shared" si="20"/>
        <v>0</v>
      </c>
      <c r="U34" s="198">
        <f t="shared" si="21"/>
        <v>0</v>
      </c>
      <c r="V34" s="205">
        <f>VLOOKUP($E34,[3]Sheet1!$B$8:$BF$461,31,0)</f>
        <v>0</v>
      </c>
      <c r="W34" s="195">
        <f t="shared" si="22"/>
        <v>0</v>
      </c>
      <c r="X34" s="199">
        <f t="shared" si="23"/>
        <v>0</v>
      </c>
      <c r="Y34" s="205">
        <f>VLOOKUP($E34,[3]Sheet1!$B$8:$BF$461,37,0)</f>
        <v>0</v>
      </c>
      <c r="Z34" s="197">
        <f t="shared" si="24"/>
        <v>0</v>
      </c>
      <c r="AA34" s="199">
        <f t="shared" si="25"/>
        <v>0</v>
      </c>
      <c r="AB34" s="205">
        <f t="shared" si="26"/>
        <v>0</v>
      </c>
      <c r="AC34" s="197">
        <f t="shared" si="27"/>
        <v>0</v>
      </c>
      <c r="AD34" s="198">
        <f t="shared" si="28"/>
        <v>0</v>
      </c>
      <c r="AE34" s="134" t="s">
        <v>210</v>
      </c>
      <c r="AF34" s="206"/>
      <c r="AG34" s="136"/>
      <c r="AH34" s="136"/>
      <c r="AI34" s="136"/>
      <c r="AJ34" s="136"/>
      <c r="AK34" s="136"/>
      <c r="AM34" s="137"/>
      <c r="AN34" s="137"/>
      <c r="AO34" s="137"/>
      <c r="AP34" s="137"/>
      <c r="AQ34" s="137"/>
      <c r="AS34" s="135" t="s">
        <v>210</v>
      </c>
    </row>
    <row r="35" spans="1:45" s="135" customFormat="1" ht="15.75" customHeight="1" thickBot="1">
      <c r="A35" s="208"/>
      <c r="B35" s="240" t="s">
        <v>188</v>
      </c>
      <c r="C35" s="212"/>
      <c r="D35" s="200"/>
      <c r="E35" s="203" t="s">
        <v>218</v>
      </c>
      <c r="F35" s="211" t="s">
        <v>203</v>
      </c>
      <c r="G35" s="243">
        <f>VLOOKUP($E35,'[2]UMH Monthly'!$D$4:$V$510,19,0)</f>
        <v>1.4731666666666667E-2</v>
      </c>
      <c r="H35" s="192"/>
      <c r="I35" s="193">
        <v>0</v>
      </c>
      <c r="J35" s="194">
        <v>0</v>
      </c>
      <c r="K35" s="195">
        <v>0</v>
      </c>
      <c r="L35" s="196">
        <f t="shared" si="29"/>
        <v>0</v>
      </c>
      <c r="M35" s="205">
        <f>VLOOKUP($E35,[3]Sheet1!$B$8:$AF$147,13,0)</f>
        <v>0</v>
      </c>
      <c r="N35" s="197">
        <f t="shared" si="16"/>
        <v>0</v>
      </c>
      <c r="O35" s="198">
        <f t="shared" si="17"/>
        <v>0</v>
      </c>
      <c r="P35" s="205">
        <f>VLOOKUP($E35,[3]Sheet1!$B$8:$AF$461,19,0)</f>
        <v>0</v>
      </c>
      <c r="Q35" s="195">
        <f t="shared" si="18"/>
        <v>0</v>
      </c>
      <c r="R35" s="199">
        <f t="shared" si="19"/>
        <v>0</v>
      </c>
      <c r="S35" s="205">
        <f>VLOOKUP($E35,[3]Sheet1!$B$8:$AF$461,25,0)</f>
        <v>0</v>
      </c>
      <c r="T35" s="197">
        <f t="shared" si="20"/>
        <v>0</v>
      </c>
      <c r="U35" s="198">
        <f t="shared" si="21"/>
        <v>0</v>
      </c>
      <c r="V35" s="205">
        <f>VLOOKUP($E35,[3]Sheet1!$B$8:$BF$461,31,0)</f>
        <v>0</v>
      </c>
      <c r="W35" s="195">
        <f t="shared" si="22"/>
        <v>0</v>
      </c>
      <c r="X35" s="199">
        <f t="shared" si="23"/>
        <v>0</v>
      </c>
      <c r="Y35" s="205">
        <f>VLOOKUP($E35,[3]Sheet1!$B$8:$BF$461,37,0)</f>
        <v>0</v>
      </c>
      <c r="Z35" s="197">
        <f t="shared" si="24"/>
        <v>0</v>
      </c>
      <c r="AA35" s="199">
        <f t="shared" si="25"/>
        <v>0</v>
      </c>
      <c r="AB35" s="205">
        <f t="shared" si="26"/>
        <v>0</v>
      </c>
      <c r="AC35" s="197">
        <f t="shared" si="27"/>
        <v>0</v>
      </c>
      <c r="AD35" s="198">
        <f t="shared" si="28"/>
        <v>0</v>
      </c>
      <c r="AE35" s="134" t="s">
        <v>211</v>
      </c>
      <c r="AF35" s="206"/>
      <c r="AG35" s="136"/>
      <c r="AH35" s="136"/>
      <c r="AI35" s="136"/>
      <c r="AJ35" s="136"/>
      <c r="AK35" s="136"/>
      <c r="AM35" s="137"/>
      <c r="AN35" s="137"/>
      <c r="AO35" s="137"/>
      <c r="AP35" s="137"/>
      <c r="AQ35" s="137"/>
      <c r="AS35" s="135" t="s">
        <v>218</v>
      </c>
    </row>
    <row r="36" spans="1:45" s="135" customFormat="1" ht="15.75" customHeight="1" thickBot="1">
      <c r="A36" s="208"/>
      <c r="B36" s="240" t="s">
        <v>189</v>
      </c>
      <c r="C36" s="212"/>
      <c r="D36" s="200"/>
      <c r="E36" s="254" t="s">
        <v>211</v>
      </c>
      <c r="F36" s="211" t="s">
        <v>203</v>
      </c>
      <c r="G36" s="243">
        <f>VLOOKUP($E36,'[2]UMH Monthly'!$D$4:$V$510,19,0)</f>
        <v>1.6293333333333333E-2</v>
      </c>
      <c r="H36" s="192"/>
      <c r="I36" s="193">
        <v>0</v>
      </c>
      <c r="J36" s="194">
        <v>20</v>
      </c>
      <c r="K36" s="195">
        <v>20</v>
      </c>
      <c r="L36" s="196">
        <f t="shared" si="29"/>
        <v>0</v>
      </c>
      <c r="M36" s="205">
        <f>VLOOKUP($E36,[3]Sheet1!$B$8:$AF$147,13,0)</f>
        <v>40</v>
      </c>
      <c r="N36" s="197">
        <f t="shared" si="16"/>
        <v>40</v>
      </c>
      <c r="O36" s="198">
        <f t="shared" si="17"/>
        <v>0</v>
      </c>
      <c r="P36" s="205">
        <f>VLOOKUP($E36,[3]Sheet1!$B$8:$AF$461,19,0)</f>
        <v>40</v>
      </c>
      <c r="Q36" s="195">
        <f t="shared" si="18"/>
        <v>40</v>
      </c>
      <c r="R36" s="199">
        <f t="shared" si="19"/>
        <v>0</v>
      </c>
      <c r="S36" s="205">
        <f>VLOOKUP($E36,[3]Sheet1!$B$8:$AF$461,25,0)</f>
        <v>20</v>
      </c>
      <c r="T36" s="197">
        <f t="shared" si="20"/>
        <v>20</v>
      </c>
      <c r="U36" s="198">
        <f t="shared" si="21"/>
        <v>0</v>
      </c>
      <c r="V36" s="205">
        <f>VLOOKUP($E36,[3]Sheet1!$B$8:$BF$461,31,0)</f>
        <v>0</v>
      </c>
      <c r="W36" s="195">
        <f t="shared" si="22"/>
        <v>0</v>
      </c>
      <c r="X36" s="199">
        <f t="shared" si="23"/>
        <v>0</v>
      </c>
      <c r="Y36" s="205">
        <f>VLOOKUP($E36,[3]Sheet1!$B$8:$BF$461,37,0)</f>
        <v>0</v>
      </c>
      <c r="Z36" s="197">
        <f t="shared" si="24"/>
        <v>0</v>
      </c>
      <c r="AA36" s="199">
        <f t="shared" si="25"/>
        <v>0</v>
      </c>
      <c r="AB36" s="205">
        <f t="shared" si="26"/>
        <v>0</v>
      </c>
      <c r="AC36" s="197">
        <f t="shared" si="27"/>
        <v>0</v>
      </c>
      <c r="AD36" s="198">
        <f t="shared" si="28"/>
        <v>0</v>
      </c>
      <c r="AE36" s="134" t="s">
        <v>212</v>
      </c>
      <c r="AF36" s="206"/>
      <c r="AG36" s="136"/>
      <c r="AH36" s="136"/>
      <c r="AI36" s="136"/>
      <c r="AJ36" s="136"/>
      <c r="AK36" s="136"/>
      <c r="AM36" s="137"/>
      <c r="AN36" s="137"/>
      <c r="AO36" s="137"/>
      <c r="AP36" s="137"/>
      <c r="AQ36" s="137"/>
      <c r="AS36" s="135" t="s">
        <v>211</v>
      </c>
    </row>
    <row r="37" spans="1:45" s="135" customFormat="1" ht="15.75" customHeight="1" thickBot="1">
      <c r="A37" s="208"/>
      <c r="B37" s="240" t="s">
        <v>190</v>
      </c>
      <c r="C37" s="212"/>
      <c r="D37" s="200"/>
      <c r="E37" s="254" t="s">
        <v>212</v>
      </c>
      <c r="F37" s="211" t="s">
        <v>203</v>
      </c>
      <c r="G37" s="243">
        <f>VLOOKUP($E37,'[2]UMH Monthly'!$D$4:$V$510,19,0)</f>
        <v>1.6279999999999999E-2</v>
      </c>
      <c r="H37" s="192"/>
      <c r="I37" s="193">
        <v>0</v>
      </c>
      <c r="J37" s="194">
        <v>40</v>
      </c>
      <c r="K37" s="195">
        <v>40</v>
      </c>
      <c r="L37" s="196">
        <f t="shared" si="29"/>
        <v>0</v>
      </c>
      <c r="M37" s="205">
        <f>VLOOKUP($E37,[3]Sheet1!$B$8:$AF$147,13,0)</f>
        <v>20</v>
      </c>
      <c r="N37" s="197">
        <f t="shared" si="16"/>
        <v>20</v>
      </c>
      <c r="O37" s="198">
        <f t="shared" si="17"/>
        <v>0</v>
      </c>
      <c r="P37" s="205">
        <f>VLOOKUP($E37,[3]Sheet1!$B$8:$AF$461,19,0)</f>
        <v>20</v>
      </c>
      <c r="Q37" s="195">
        <f t="shared" si="18"/>
        <v>20</v>
      </c>
      <c r="R37" s="199">
        <f t="shared" si="19"/>
        <v>0</v>
      </c>
      <c r="S37" s="205">
        <f>VLOOKUP($E37,[3]Sheet1!$B$8:$AF$461,25,0)</f>
        <v>20</v>
      </c>
      <c r="T37" s="197">
        <f t="shared" si="20"/>
        <v>20</v>
      </c>
      <c r="U37" s="198">
        <f t="shared" si="21"/>
        <v>0</v>
      </c>
      <c r="V37" s="205">
        <f>VLOOKUP($E37,[3]Sheet1!$B$8:$BF$461,31,0)</f>
        <v>0</v>
      </c>
      <c r="W37" s="195">
        <f t="shared" si="22"/>
        <v>0</v>
      </c>
      <c r="X37" s="199">
        <f t="shared" si="23"/>
        <v>0</v>
      </c>
      <c r="Y37" s="205">
        <f>VLOOKUP($E37,[3]Sheet1!$B$8:$BF$461,37,0)</f>
        <v>0</v>
      </c>
      <c r="Z37" s="197">
        <f t="shared" si="24"/>
        <v>0</v>
      </c>
      <c r="AA37" s="199">
        <f t="shared" si="25"/>
        <v>0</v>
      </c>
      <c r="AB37" s="205">
        <f t="shared" si="26"/>
        <v>0</v>
      </c>
      <c r="AC37" s="197">
        <f t="shared" si="27"/>
        <v>0</v>
      </c>
      <c r="AD37" s="198">
        <f t="shared" si="28"/>
        <v>0</v>
      </c>
      <c r="AE37" s="134" t="s">
        <v>213</v>
      </c>
      <c r="AF37" s="206">
        <f t="shared" si="30"/>
        <v>100</v>
      </c>
      <c r="AG37" s="136">
        <f t="shared" si="31"/>
        <v>4</v>
      </c>
      <c r="AH37" s="136">
        <f t="shared" si="32"/>
        <v>5</v>
      </c>
      <c r="AI37" s="136">
        <f t="shared" si="33"/>
        <v>0</v>
      </c>
      <c r="AJ37" s="136">
        <f t="shared" si="34"/>
        <v>0</v>
      </c>
      <c r="AK37" s="136">
        <f t="shared" si="35"/>
        <v>0</v>
      </c>
      <c r="AL37" s="135" t="e">
        <f>+#REF!+1</f>
        <v>#REF!</v>
      </c>
      <c r="AM37" s="137">
        <f t="shared" si="36"/>
        <v>20</v>
      </c>
      <c r="AN37" s="137">
        <f t="shared" si="37"/>
        <v>20</v>
      </c>
      <c r="AO37" s="137">
        <f t="shared" si="38"/>
        <v>0</v>
      </c>
      <c r="AP37" s="137">
        <f t="shared" si="39"/>
        <v>0</v>
      </c>
      <c r="AQ37" s="137">
        <f t="shared" si="40"/>
        <v>0</v>
      </c>
      <c r="AR37" s="135" t="e">
        <f>VLOOKUP(E37,'[4]DATA SR'!$D$79:$D$238,1,2)</f>
        <v>#N/A</v>
      </c>
      <c r="AS37" s="135" t="s">
        <v>212</v>
      </c>
    </row>
    <row r="38" spans="1:45" s="135" customFormat="1" ht="15.75" customHeight="1" thickBot="1">
      <c r="A38" s="208"/>
      <c r="B38" s="240" t="s">
        <v>214</v>
      </c>
      <c r="C38" s="212"/>
      <c r="D38" s="200"/>
      <c r="E38" s="254" t="s">
        <v>213</v>
      </c>
      <c r="F38" s="211" t="s">
        <v>203</v>
      </c>
      <c r="G38" s="243">
        <f>VLOOKUP($E38,'[2]UMH Monthly'!$D$4:$V$510,19,0)</f>
        <v>1.6305E-2</v>
      </c>
      <c r="H38" s="192"/>
      <c r="I38" s="193">
        <v>0</v>
      </c>
      <c r="J38" s="194">
        <v>40</v>
      </c>
      <c r="K38" s="195">
        <v>40</v>
      </c>
      <c r="L38" s="196">
        <f t="shared" si="29"/>
        <v>0</v>
      </c>
      <c r="M38" s="205">
        <f>VLOOKUP($E38,[3]Sheet1!$B$8:$AF$147,13,0)</f>
        <v>20</v>
      </c>
      <c r="N38" s="197">
        <f t="shared" si="16"/>
        <v>20</v>
      </c>
      <c r="O38" s="198">
        <f t="shared" si="17"/>
        <v>0</v>
      </c>
      <c r="P38" s="205">
        <f>VLOOKUP($E38,[3]Sheet1!$B$8:$AF$461,19,0)</f>
        <v>40</v>
      </c>
      <c r="Q38" s="195">
        <f t="shared" si="18"/>
        <v>40</v>
      </c>
      <c r="R38" s="199">
        <f t="shared" si="19"/>
        <v>0</v>
      </c>
      <c r="S38" s="205">
        <f>VLOOKUP($E38,[3]Sheet1!$B$8:$AF$461,25,0)</f>
        <v>20</v>
      </c>
      <c r="T38" s="197">
        <f t="shared" si="20"/>
        <v>20</v>
      </c>
      <c r="U38" s="198">
        <f t="shared" si="21"/>
        <v>0</v>
      </c>
      <c r="V38" s="205">
        <f>VLOOKUP($E38,[3]Sheet1!$B$8:$BF$461,31,0)</f>
        <v>0</v>
      </c>
      <c r="W38" s="195">
        <f t="shared" si="22"/>
        <v>0</v>
      </c>
      <c r="X38" s="199">
        <f t="shared" si="23"/>
        <v>0</v>
      </c>
      <c r="Y38" s="205">
        <f>VLOOKUP($E38,[3]Sheet1!$B$8:$BF$461,37,0)</f>
        <v>0</v>
      </c>
      <c r="Z38" s="197">
        <f t="shared" si="24"/>
        <v>0</v>
      </c>
      <c r="AA38" s="199">
        <f t="shared" si="25"/>
        <v>0</v>
      </c>
      <c r="AB38" s="205">
        <f t="shared" si="26"/>
        <v>0</v>
      </c>
      <c r="AC38" s="197">
        <f t="shared" si="27"/>
        <v>0</v>
      </c>
      <c r="AD38" s="198">
        <f t="shared" si="28"/>
        <v>0</v>
      </c>
      <c r="AE38" s="134" t="s">
        <v>219</v>
      </c>
      <c r="AF38" s="206"/>
      <c r="AG38" s="136"/>
      <c r="AH38" s="136"/>
      <c r="AI38" s="136"/>
      <c r="AJ38" s="136"/>
      <c r="AK38" s="136"/>
      <c r="AM38" s="137"/>
      <c r="AN38" s="137"/>
      <c r="AO38" s="137"/>
      <c r="AP38" s="137"/>
      <c r="AQ38" s="137"/>
      <c r="AS38" s="135" t="s">
        <v>213</v>
      </c>
    </row>
    <row r="39" spans="1:45" s="135" customFormat="1" ht="15.75" customHeight="1" thickBot="1">
      <c r="A39" s="208"/>
      <c r="B39" s="240" t="s">
        <v>191</v>
      </c>
      <c r="C39" s="212"/>
      <c r="D39" s="200"/>
      <c r="E39" s="239" t="s">
        <v>215</v>
      </c>
      <c r="F39" s="211" t="s">
        <v>203</v>
      </c>
      <c r="G39" s="243">
        <f>VLOOKUP($E39,'[2]UMH Monthly'!$D$4:$V$510,19,0)</f>
        <v>1.4756666666666666E-2</v>
      </c>
      <c r="H39" s="192"/>
      <c r="I39" s="193">
        <v>0</v>
      </c>
      <c r="J39" s="194">
        <v>0</v>
      </c>
      <c r="K39" s="195">
        <v>0</v>
      </c>
      <c r="L39" s="196">
        <f t="shared" si="29"/>
        <v>0</v>
      </c>
      <c r="M39" s="205">
        <f>VLOOKUP($E39,[3]Sheet1!$B$8:$AF$147,13,0)</f>
        <v>0</v>
      </c>
      <c r="N39" s="197">
        <f t="shared" si="16"/>
        <v>0</v>
      </c>
      <c r="O39" s="198">
        <f t="shared" si="17"/>
        <v>0</v>
      </c>
      <c r="P39" s="205">
        <f>VLOOKUP($E39,[3]Sheet1!$B$8:$AF$461,19,0)</f>
        <v>0</v>
      </c>
      <c r="Q39" s="195">
        <f t="shared" si="18"/>
        <v>0</v>
      </c>
      <c r="R39" s="199">
        <f t="shared" si="19"/>
        <v>0</v>
      </c>
      <c r="S39" s="205">
        <f>VLOOKUP($E39,[3]Sheet1!$B$8:$AF$461,25,0)</f>
        <v>0</v>
      </c>
      <c r="T39" s="197">
        <f t="shared" si="20"/>
        <v>0</v>
      </c>
      <c r="U39" s="198">
        <f t="shared" si="21"/>
        <v>0</v>
      </c>
      <c r="V39" s="205">
        <f>VLOOKUP($E39,[3]Sheet1!$B$8:$BF$461,31,0)</f>
        <v>0</v>
      </c>
      <c r="W39" s="195">
        <f t="shared" si="22"/>
        <v>0</v>
      </c>
      <c r="X39" s="199">
        <f t="shared" si="23"/>
        <v>0</v>
      </c>
      <c r="Y39" s="205">
        <f>VLOOKUP($E39,[3]Sheet1!$B$8:$BF$461,37,0)</f>
        <v>0</v>
      </c>
      <c r="Z39" s="197">
        <f t="shared" si="24"/>
        <v>0</v>
      </c>
      <c r="AA39" s="199">
        <f t="shared" si="25"/>
        <v>0</v>
      </c>
      <c r="AB39" s="205">
        <f t="shared" si="26"/>
        <v>0</v>
      </c>
      <c r="AC39" s="197">
        <f t="shared" si="27"/>
        <v>0</v>
      </c>
      <c r="AD39" s="198">
        <f t="shared" si="28"/>
        <v>0</v>
      </c>
      <c r="AE39" s="134" t="s">
        <v>220</v>
      </c>
      <c r="AF39" s="206">
        <f t="shared" si="30"/>
        <v>0</v>
      </c>
      <c r="AG39" s="136">
        <f t="shared" si="31"/>
        <v>0</v>
      </c>
      <c r="AH39" s="136">
        <f t="shared" si="32"/>
        <v>0</v>
      </c>
      <c r="AI39" s="136">
        <f t="shared" si="33"/>
        <v>0</v>
      </c>
      <c r="AJ39" s="136">
        <f t="shared" si="34"/>
        <v>0</v>
      </c>
      <c r="AK39" s="136">
        <f t="shared" si="35"/>
        <v>0</v>
      </c>
      <c r="AL39" s="135" t="e">
        <f>+#REF!+1</f>
        <v>#REF!</v>
      </c>
      <c r="AM39" s="137">
        <f t="shared" si="36"/>
        <v>0</v>
      </c>
      <c r="AN39" s="137">
        <f t="shared" si="37"/>
        <v>0</v>
      </c>
      <c r="AO39" s="137">
        <f t="shared" si="38"/>
        <v>0</v>
      </c>
      <c r="AP39" s="137">
        <f t="shared" si="39"/>
        <v>0</v>
      </c>
      <c r="AQ39" s="137">
        <f t="shared" si="40"/>
        <v>0</v>
      </c>
      <c r="AR39" s="135" t="e">
        <f>VLOOKUP(E39,'[4]DATA SR'!$D$79:$D$238,1,2)</f>
        <v>#N/A</v>
      </c>
      <c r="AS39" s="135" t="s">
        <v>215</v>
      </c>
    </row>
    <row r="40" spans="1:45" s="135" customFormat="1" ht="15.75" customHeight="1" thickBot="1">
      <c r="A40" s="208"/>
      <c r="B40" s="240" t="s">
        <v>192</v>
      </c>
      <c r="C40" s="212"/>
      <c r="D40" s="200"/>
      <c r="E40" s="239" t="s">
        <v>216</v>
      </c>
      <c r="F40" s="211" t="s">
        <v>203</v>
      </c>
      <c r="G40" s="243">
        <f>VLOOKUP($E40,'[2]UMH Monthly'!$D$4:$V$510,19,0)</f>
        <v>1.4745000000000001E-2</v>
      </c>
      <c r="H40" s="192"/>
      <c r="I40" s="193">
        <v>0</v>
      </c>
      <c r="J40" s="194">
        <v>0</v>
      </c>
      <c r="K40" s="195">
        <v>0</v>
      </c>
      <c r="L40" s="196">
        <f t="shared" si="29"/>
        <v>0</v>
      </c>
      <c r="M40" s="205">
        <f>VLOOKUP($E40,[3]Sheet1!$B$8:$AF$147,13,0)</f>
        <v>0</v>
      </c>
      <c r="N40" s="197">
        <f t="shared" si="16"/>
        <v>0</v>
      </c>
      <c r="O40" s="198">
        <f t="shared" si="17"/>
        <v>0</v>
      </c>
      <c r="P40" s="205">
        <f>VLOOKUP($E40,[3]Sheet1!$B$8:$AF$461,19,0)</f>
        <v>0</v>
      </c>
      <c r="Q40" s="195">
        <f t="shared" si="18"/>
        <v>0</v>
      </c>
      <c r="R40" s="199">
        <f t="shared" si="19"/>
        <v>0</v>
      </c>
      <c r="S40" s="205">
        <f>VLOOKUP($E40,[3]Sheet1!$B$8:$AF$461,25,0)</f>
        <v>0</v>
      </c>
      <c r="T40" s="197">
        <f t="shared" si="20"/>
        <v>0</v>
      </c>
      <c r="U40" s="198">
        <f t="shared" si="21"/>
        <v>0</v>
      </c>
      <c r="V40" s="205">
        <f>VLOOKUP($E40,[3]Sheet1!$B$8:$BF$461,31,0)</f>
        <v>0</v>
      </c>
      <c r="W40" s="195">
        <f t="shared" si="22"/>
        <v>0</v>
      </c>
      <c r="X40" s="199">
        <f t="shared" si="23"/>
        <v>0</v>
      </c>
      <c r="Y40" s="205">
        <f>VLOOKUP($E40,[3]Sheet1!$B$8:$BF$461,37,0)</f>
        <v>0</v>
      </c>
      <c r="Z40" s="197">
        <f t="shared" si="24"/>
        <v>0</v>
      </c>
      <c r="AA40" s="199">
        <f t="shared" si="25"/>
        <v>0</v>
      </c>
      <c r="AB40" s="205">
        <f t="shared" si="26"/>
        <v>0</v>
      </c>
      <c r="AC40" s="197">
        <f t="shared" si="27"/>
        <v>0</v>
      </c>
      <c r="AD40" s="198">
        <f t="shared" si="28"/>
        <v>0</v>
      </c>
      <c r="AE40" s="134" t="s">
        <v>123</v>
      </c>
      <c r="AF40" s="206">
        <f t="shared" si="30"/>
        <v>0</v>
      </c>
      <c r="AG40" s="136">
        <f t="shared" si="31"/>
        <v>0</v>
      </c>
      <c r="AH40" s="136">
        <f t="shared" si="32"/>
        <v>0</v>
      </c>
      <c r="AI40" s="136">
        <f t="shared" si="33"/>
        <v>0</v>
      </c>
      <c r="AJ40" s="136">
        <f t="shared" si="34"/>
        <v>0</v>
      </c>
      <c r="AK40" s="136">
        <f t="shared" si="35"/>
        <v>0</v>
      </c>
      <c r="AL40" s="135" t="e">
        <f>+AL37+1</f>
        <v>#REF!</v>
      </c>
      <c r="AM40" s="137">
        <f t="shared" si="36"/>
        <v>0</v>
      </c>
      <c r="AN40" s="137">
        <f t="shared" si="37"/>
        <v>0</v>
      </c>
      <c r="AO40" s="137">
        <f t="shared" si="38"/>
        <v>0</v>
      </c>
      <c r="AP40" s="137">
        <f t="shared" si="39"/>
        <v>0</v>
      </c>
      <c r="AQ40" s="137">
        <f t="shared" si="40"/>
        <v>0</v>
      </c>
      <c r="AR40" s="135" t="e">
        <f>VLOOKUP(E40,'[4]DATA SR'!$D$79:$D$238,1,2)</f>
        <v>#N/A</v>
      </c>
      <c r="AS40" s="135" t="s">
        <v>216</v>
      </c>
    </row>
    <row r="41" spans="1:45" s="135" customFormat="1" ht="15.75" customHeight="1" thickBot="1">
      <c r="A41" s="208"/>
      <c r="B41" s="240" t="s">
        <v>193</v>
      </c>
      <c r="C41" s="212"/>
      <c r="D41" s="200"/>
      <c r="E41" s="239" t="s">
        <v>217</v>
      </c>
      <c r="F41" s="211" t="s">
        <v>203</v>
      </c>
      <c r="G41" s="243">
        <f>VLOOKUP($E41,'[2]UMH Monthly'!$D$4:$V$510,19,0)</f>
        <v>1.4745000000000001E-2</v>
      </c>
      <c r="H41" s="192"/>
      <c r="I41" s="193">
        <v>0</v>
      </c>
      <c r="J41" s="194">
        <v>0</v>
      </c>
      <c r="K41" s="195">
        <v>0</v>
      </c>
      <c r="L41" s="196">
        <f t="shared" si="29"/>
        <v>0</v>
      </c>
      <c r="M41" s="205">
        <f>VLOOKUP($E41,[3]Sheet1!$B$8:$AF$147,13,0)</f>
        <v>0</v>
      </c>
      <c r="N41" s="197">
        <f t="shared" si="16"/>
        <v>0</v>
      </c>
      <c r="O41" s="198">
        <f t="shared" si="17"/>
        <v>0</v>
      </c>
      <c r="P41" s="205">
        <f>VLOOKUP($E41,[3]Sheet1!$B$8:$AF$461,19,0)</f>
        <v>0</v>
      </c>
      <c r="Q41" s="195">
        <f t="shared" si="18"/>
        <v>0</v>
      </c>
      <c r="R41" s="199">
        <f t="shared" si="19"/>
        <v>0</v>
      </c>
      <c r="S41" s="205">
        <f>VLOOKUP($E41,[3]Sheet1!$B$8:$AF$461,25,0)</f>
        <v>0</v>
      </c>
      <c r="T41" s="197">
        <f t="shared" si="20"/>
        <v>0</v>
      </c>
      <c r="U41" s="198">
        <f t="shared" si="21"/>
        <v>0</v>
      </c>
      <c r="V41" s="205">
        <f>VLOOKUP($E41,[3]Sheet1!$B$8:$BF$461,31,0)</f>
        <v>0</v>
      </c>
      <c r="W41" s="195">
        <f t="shared" si="22"/>
        <v>0</v>
      </c>
      <c r="X41" s="199">
        <f t="shared" si="23"/>
        <v>0</v>
      </c>
      <c r="Y41" s="205">
        <f>VLOOKUP($E41,[3]Sheet1!$B$8:$BF$461,37,0)</f>
        <v>0</v>
      </c>
      <c r="Z41" s="197">
        <f t="shared" si="24"/>
        <v>0</v>
      </c>
      <c r="AA41" s="199">
        <f t="shared" si="25"/>
        <v>0</v>
      </c>
      <c r="AB41" s="205">
        <f t="shared" si="26"/>
        <v>0</v>
      </c>
      <c r="AC41" s="197">
        <f t="shared" si="27"/>
        <v>0</v>
      </c>
      <c r="AD41" s="198">
        <f t="shared" si="28"/>
        <v>0</v>
      </c>
      <c r="AE41" s="134" t="s">
        <v>123</v>
      </c>
      <c r="AF41" s="206">
        <f t="shared" si="30"/>
        <v>0</v>
      </c>
      <c r="AG41" s="136">
        <f t="shared" si="31"/>
        <v>0</v>
      </c>
      <c r="AH41" s="136">
        <f t="shared" si="32"/>
        <v>0</v>
      </c>
      <c r="AI41" s="136">
        <f t="shared" si="33"/>
        <v>0</v>
      </c>
      <c r="AJ41" s="136">
        <f t="shared" si="34"/>
        <v>0</v>
      </c>
      <c r="AK41" s="136">
        <f t="shared" si="35"/>
        <v>0</v>
      </c>
      <c r="AL41" s="135" t="e">
        <f>+AL39+1</f>
        <v>#REF!</v>
      </c>
      <c r="AM41" s="137">
        <f t="shared" si="36"/>
        <v>0</v>
      </c>
      <c r="AN41" s="137">
        <f t="shared" si="37"/>
        <v>0</v>
      </c>
      <c r="AO41" s="137">
        <f t="shared" si="38"/>
        <v>0</v>
      </c>
      <c r="AP41" s="137">
        <f t="shared" si="39"/>
        <v>0</v>
      </c>
      <c r="AQ41" s="137">
        <f t="shared" si="40"/>
        <v>0</v>
      </c>
      <c r="AR41" s="135" t="e">
        <f>VLOOKUP(E41,'[4]DATA SR'!$D$79:$D$238,1,2)</f>
        <v>#N/A</v>
      </c>
      <c r="AS41" s="135" t="s">
        <v>217</v>
      </c>
    </row>
    <row r="42" spans="1:45" s="135" customFormat="1" ht="15.75" customHeight="1" thickBot="1">
      <c r="A42" s="208"/>
      <c r="B42" s="240" t="s">
        <v>194</v>
      </c>
      <c r="C42" s="212"/>
      <c r="D42" s="200"/>
      <c r="E42" s="239" t="s">
        <v>166</v>
      </c>
      <c r="F42" s="211" t="s">
        <v>204</v>
      </c>
      <c r="G42" s="243">
        <f>VLOOKUP($E42,'[2]UMH Monthly'!$D$4:$V$510,19,0)</f>
        <v>1.2791666666666666E-2</v>
      </c>
      <c r="H42" s="192"/>
      <c r="I42" s="193">
        <v>0</v>
      </c>
      <c r="J42" s="194">
        <v>4520</v>
      </c>
      <c r="K42" s="195">
        <v>4520</v>
      </c>
      <c r="L42" s="196">
        <f t="shared" si="29"/>
        <v>0</v>
      </c>
      <c r="M42" s="205">
        <f>VLOOKUP($E42,[3]Sheet1!$B$8:$AF$147,13,0)</f>
        <v>5000</v>
      </c>
      <c r="N42" s="197">
        <f t="shared" si="16"/>
        <v>5000</v>
      </c>
      <c r="O42" s="198">
        <f t="shared" si="17"/>
        <v>0</v>
      </c>
      <c r="P42" s="205">
        <f>VLOOKUP($E42,[3]Sheet1!$B$8:$AF$461,19,0)</f>
        <v>5320</v>
      </c>
      <c r="Q42" s="195">
        <f t="shared" si="18"/>
        <v>5320</v>
      </c>
      <c r="R42" s="199">
        <f t="shared" si="19"/>
        <v>0</v>
      </c>
      <c r="S42" s="205">
        <f>VLOOKUP($E42,[3]Sheet1!$B$8:$AF$461,25,0)</f>
        <v>4440</v>
      </c>
      <c r="T42" s="197">
        <f t="shared" si="20"/>
        <v>4440</v>
      </c>
      <c r="U42" s="198">
        <f t="shared" si="21"/>
        <v>0</v>
      </c>
      <c r="V42" s="205">
        <f>VLOOKUP($E42,[3]Sheet1!$B$8:$BF$461,31,0)</f>
        <v>5280</v>
      </c>
      <c r="W42" s="195">
        <f t="shared" si="22"/>
        <v>5280</v>
      </c>
      <c r="X42" s="199">
        <f t="shared" si="23"/>
        <v>0</v>
      </c>
      <c r="Y42" s="205">
        <f>VLOOKUP($E42,[3]Sheet1!$B$8:$BF$461,37,0)</f>
        <v>6280</v>
      </c>
      <c r="Z42" s="197">
        <f t="shared" si="24"/>
        <v>6280</v>
      </c>
      <c r="AA42" s="199">
        <f t="shared" si="25"/>
        <v>0</v>
      </c>
      <c r="AB42" s="205">
        <f t="shared" si="26"/>
        <v>6280</v>
      </c>
      <c r="AC42" s="197">
        <f t="shared" si="27"/>
        <v>6280</v>
      </c>
      <c r="AD42" s="198">
        <f t="shared" si="28"/>
        <v>0</v>
      </c>
      <c r="AE42" s="134" t="s">
        <v>124</v>
      </c>
      <c r="AF42" s="206">
        <f t="shared" si="30"/>
        <v>37120</v>
      </c>
      <c r="AG42" s="136">
        <f t="shared" si="31"/>
        <v>1064</v>
      </c>
      <c r="AH42" s="136">
        <f t="shared" si="32"/>
        <v>1110</v>
      </c>
      <c r="AI42" s="136">
        <f t="shared" si="33"/>
        <v>1320</v>
      </c>
      <c r="AJ42" s="136">
        <f t="shared" si="34"/>
        <v>1256</v>
      </c>
      <c r="AK42" s="136">
        <f t="shared" si="35"/>
        <v>1570</v>
      </c>
      <c r="AL42" s="135" t="e">
        <f>+#REF!+1</f>
        <v>#REF!</v>
      </c>
      <c r="AM42" s="137">
        <f t="shared" si="36"/>
        <v>5320</v>
      </c>
      <c r="AN42" s="137">
        <f t="shared" si="37"/>
        <v>4440</v>
      </c>
      <c r="AO42" s="137">
        <f t="shared" si="38"/>
        <v>5280</v>
      </c>
      <c r="AP42" s="137">
        <f t="shared" si="39"/>
        <v>6280</v>
      </c>
      <c r="AQ42" s="137">
        <f t="shared" si="40"/>
        <v>6280</v>
      </c>
      <c r="AR42" s="135" t="e">
        <f>VLOOKUP(E42,'[4]DATA SR'!$D$79:$D$238,1,2)</f>
        <v>#N/A</v>
      </c>
      <c r="AS42" s="135" t="s">
        <v>166</v>
      </c>
    </row>
    <row r="43" spans="1:45" s="135" customFormat="1" ht="15.75" customHeight="1" thickBot="1">
      <c r="A43" s="208"/>
      <c r="B43" s="240" t="s">
        <v>195</v>
      </c>
      <c r="C43" s="212"/>
      <c r="D43" s="200"/>
      <c r="E43" s="239" t="s">
        <v>167</v>
      </c>
      <c r="F43" s="211" t="s">
        <v>204</v>
      </c>
      <c r="G43" s="243">
        <f>VLOOKUP($E43,'[2]UMH Monthly'!$D$4:$V$510,19,0)</f>
        <v>1.391E-2</v>
      </c>
      <c r="H43" s="192"/>
      <c r="I43" s="193">
        <v>0</v>
      </c>
      <c r="J43" s="194">
        <v>0</v>
      </c>
      <c r="K43" s="195">
        <v>0</v>
      </c>
      <c r="L43" s="196">
        <f t="shared" si="29"/>
        <v>0</v>
      </c>
      <c r="M43" s="205">
        <f>VLOOKUP($E43,[3]Sheet1!$B$8:$AF$147,13,0)</f>
        <v>120</v>
      </c>
      <c r="N43" s="197">
        <f t="shared" si="16"/>
        <v>120</v>
      </c>
      <c r="O43" s="198">
        <f t="shared" si="17"/>
        <v>0</v>
      </c>
      <c r="P43" s="205">
        <f>VLOOKUP($E43,[3]Sheet1!$B$8:$AF$461,19,0)</f>
        <v>60</v>
      </c>
      <c r="Q43" s="195">
        <f t="shared" si="18"/>
        <v>60</v>
      </c>
      <c r="R43" s="199">
        <f t="shared" si="19"/>
        <v>0</v>
      </c>
      <c r="S43" s="205">
        <f>VLOOKUP($E43,[3]Sheet1!$B$8:$AF$461,25,0)</f>
        <v>0</v>
      </c>
      <c r="T43" s="197">
        <f t="shared" si="20"/>
        <v>0</v>
      </c>
      <c r="U43" s="198">
        <f t="shared" si="21"/>
        <v>0</v>
      </c>
      <c r="V43" s="205">
        <f>VLOOKUP($E43,[3]Sheet1!$B$8:$BF$461,31,0)</f>
        <v>60</v>
      </c>
      <c r="W43" s="195">
        <f t="shared" si="22"/>
        <v>60</v>
      </c>
      <c r="X43" s="199">
        <f t="shared" si="23"/>
        <v>0</v>
      </c>
      <c r="Y43" s="205">
        <f>VLOOKUP($E43,[3]Sheet1!$B$8:$BF$461,37,0)</f>
        <v>60</v>
      </c>
      <c r="Z43" s="197">
        <f t="shared" si="24"/>
        <v>60</v>
      </c>
      <c r="AA43" s="199">
        <f t="shared" si="25"/>
        <v>0</v>
      </c>
      <c r="AB43" s="205">
        <f t="shared" si="26"/>
        <v>60</v>
      </c>
      <c r="AC43" s="197">
        <f t="shared" si="27"/>
        <v>60</v>
      </c>
      <c r="AD43" s="198">
        <f t="shared" si="28"/>
        <v>0</v>
      </c>
      <c r="AE43" s="134" t="s">
        <v>124</v>
      </c>
      <c r="AF43" s="206">
        <f t="shared" si="30"/>
        <v>360</v>
      </c>
      <c r="AG43" s="136">
        <f t="shared" si="31"/>
        <v>12</v>
      </c>
      <c r="AH43" s="136">
        <f t="shared" si="32"/>
        <v>0</v>
      </c>
      <c r="AI43" s="136">
        <f t="shared" si="33"/>
        <v>15</v>
      </c>
      <c r="AJ43" s="136">
        <f t="shared" si="34"/>
        <v>12</v>
      </c>
      <c r="AK43" s="136">
        <f t="shared" si="35"/>
        <v>15</v>
      </c>
      <c r="AL43" s="135" t="e">
        <f>+#REF!+1</f>
        <v>#REF!</v>
      </c>
      <c r="AM43" s="137">
        <f t="shared" si="36"/>
        <v>60</v>
      </c>
      <c r="AN43" s="137">
        <f t="shared" si="37"/>
        <v>0</v>
      </c>
      <c r="AO43" s="137">
        <f t="shared" si="38"/>
        <v>60</v>
      </c>
      <c r="AP43" s="137">
        <f t="shared" si="39"/>
        <v>60</v>
      </c>
      <c r="AQ43" s="137">
        <f t="shared" si="40"/>
        <v>60</v>
      </c>
      <c r="AR43" s="135" t="e">
        <f>VLOOKUP(E43,'[4]DATA SR'!$D$79:$D$238,1,2)</f>
        <v>#N/A</v>
      </c>
      <c r="AS43" s="135" t="s">
        <v>167</v>
      </c>
    </row>
    <row r="44" spans="1:45" s="135" customFormat="1" ht="15.75" customHeight="1" thickBot="1">
      <c r="A44" s="208"/>
      <c r="B44" s="240" t="s">
        <v>196</v>
      </c>
      <c r="C44" s="212"/>
      <c r="D44" s="200"/>
      <c r="E44" s="239" t="s">
        <v>168</v>
      </c>
      <c r="F44" s="211" t="s">
        <v>204</v>
      </c>
      <c r="G44" s="243">
        <f>VLOOKUP($E44,'[2]UMH Monthly'!$D$4:$V$510,19,0)</f>
        <v>1.3613333333333335E-2</v>
      </c>
      <c r="H44" s="192"/>
      <c r="I44" s="193">
        <v>0</v>
      </c>
      <c r="J44" s="194">
        <v>0</v>
      </c>
      <c r="K44" s="195">
        <v>0</v>
      </c>
      <c r="L44" s="196">
        <f t="shared" si="29"/>
        <v>0</v>
      </c>
      <c r="M44" s="205">
        <f>VLOOKUP($E44,[3]Sheet1!$B$8:$AF$147,13,0)</f>
        <v>0</v>
      </c>
      <c r="N44" s="197">
        <f t="shared" si="16"/>
        <v>0</v>
      </c>
      <c r="O44" s="198">
        <f t="shared" si="17"/>
        <v>0</v>
      </c>
      <c r="P44" s="205">
        <f>VLOOKUP($E44,[3]Sheet1!$B$8:$AF$461,19,0)</f>
        <v>0</v>
      </c>
      <c r="Q44" s="195">
        <f t="shared" si="18"/>
        <v>0</v>
      </c>
      <c r="R44" s="199">
        <f t="shared" si="19"/>
        <v>0</v>
      </c>
      <c r="S44" s="205">
        <f>VLOOKUP($E44,[3]Sheet1!$B$8:$AF$461,25,0)</f>
        <v>0</v>
      </c>
      <c r="T44" s="197">
        <f t="shared" si="20"/>
        <v>0</v>
      </c>
      <c r="U44" s="198">
        <f t="shared" si="21"/>
        <v>0</v>
      </c>
      <c r="V44" s="205">
        <f>VLOOKUP($E44,[3]Sheet1!$B$8:$BF$461,31,0)</f>
        <v>0</v>
      </c>
      <c r="W44" s="195">
        <f t="shared" si="22"/>
        <v>0</v>
      </c>
      <c r="X44" s="199">
        <f t="shared" si="23"/>
        <v>0</v>
      </c>
      <c r="Y44" s="205">
        <f>VLOOKUP($E44,[3]Sheet1!$B$8:$BF$461,37,0)</f>
        <v>0</v>
      </c>
      <c r="Z44" s="197">
        <f t="shared" si="24"/>
        <v>0</v>
      </c>
      <c r="AA44" s="199">
        <f t="shared" si="25"/>
        <v>0</v>
      </c>
      <c r="AB44" s="205">
        <f t="shared" si="26"/>
        <v>0</v>
      </c>
      <c r="AC44" s="197">
        <f t="shared" si="27"/>
        <v>0</v>
      </c>
      <c r="AD44" s="198">
        <f t="shared" si="28"/>
        <v>0</v>
      </c>
      <c r="AE44" s="134" t="s">
        <v>125</v>
      </c>
      <c r="AF44" s="206">
        <f t="shared" si="30"/>
        <v>0</v>
      </c>
      <c r="AG44" s="136">
        <f t="shared" si="31"/>
        <v>0</v>
      </c>
      <c r="AH44" s="136">
        <f t="shared" si="32"/>
        <v>0</v>
      </c>
      <c r="AI44" s="136">
        <f t="shared" si="33"/>
        <v>0</v>
      </c>
      <c r="AJ44" s="136">
        <f t="shared" si="34"/>
        <v>0</v>
      </c>
      <c r="AK44" s="136">
        <f t="shared" si="35"/>
        <v>0</v>
      </c>
      <c r="AL44" s="135" t="e">
        <f>+#REF!+1</f>
        <v>#REF!</v>
      </c>
      <c r="AM44" s="137">
        <f t="shared" si="36"/>
        <v>0</v>
      </c>
      <c r="AN44" s="137">
        <f t="shared" si="37"/>
        <v>0</v>
      </c>
      <c r="AO44" s="137">
        <f t="shared" si="38"/>
        <v>0</v>
      </c>
      <c r="AP44" s="137">
        <f t="shared" si="39"/>
        <v>0</v>
      </c>
      <c r="AQ44" s="137">
        <f t="shared" si="40"/>
        <v>0</v>
      </c>
      <c r="AR44" s="135" t="e">
        <f>VLOOKUP(E44,'[4]DATA SR'!$D$79:$D$238,1,2)</f>
        <v>#N/A</v>
      </c>
      <c r="AS44" s="135" t="s">
        <v>168</v>
      </c>
    </row>
    <row r="45" spans="1:45" s="135" customFormat="1" ht="15.75" customHeight="1" thickBot="1">
      <c r="A45" s="208"/>
      <c r="B45" s="240" t="s">
        <v>197</v>
      </c>
      <c r="C45" s="212"/>
      <c r="D45" s="200"/>
      <c r="E45" s="239" t="s">
        <v>208</v>
      </c>
      <c r="F45" s="211" t="s">
        <v>204</v>
      </c>
      <c r="G45" s="243">
        <f>VLOOKUP($E45,'[2]UMH Monthly'!$D$4:$V$510,19,0)</f>
        <v>1.2791666666666666E-2</v>
      </c>
      <c r="H45" s="192"/>
      <c r="I45" s="193">
        <v>0</v>
      </c>
      <c r="J45" s="194">
        <v>6920</v>
      </c>
      <c r="K45" s="195">
        <v>6920</v>
      </c>
      <c r="L45" s="196">
        <f t="shared" si="29"/>
        <v>0</v>
      </c>
      <c r="M45" s="205">
        <f>VLOOKUP($E45,[3]Sheet1!$B$8:$AF$147,13,0)</f>
        <v>6440</v>
      </c>
      <c r="N45" s="197">
        <f t="shared" si="16"/>
        <v>6440</v>
      </c>
      <c r="O45" s="198">
        <f t="shared" si="17"/>
        <v>0</v>
      </c>
      <c r="P45" s="205">
        <f>VLOOKUP($E45,[3]Sheet1!$B$8:$AF$461,19,0)</f>
        <v>6480</v>
      </c>
      <c r="Q45" s="195">
        <f t="shared" si="18"/>
        <v>6480</v>
      </c>
      <c r="R45" s="199">
        <f t="shared" si="19"/>
        <v>0</v>
      </c>
      <c r="S45" s="205">
        <f>VLOOKUP($E45,[3]Sheet1!$B$8:$AF$461,25,0)</f>
        <v>5600</v>
      </c>
      <c r="T45" s="197">
        <f t="shared" si="20"/>
        <v>5600</v>
      </c>
      <c r="U45" s="198">
        <f t="shared" si="21"/>
        <v>0</v>
      </c>
      <c r="V45" s="205">
        <f>VLOOKUP($E45,[3]Sheet1!$B$8:$BF$461,31,0)</f>
        <v>6800</v>
      </c>
      <c r="W45" s="195">
        <f t="shared" si="22"/>
        <v>6800</v>
      </c>
      <c r="X45" s="199">
        <f t="shared" si="23"/>
        <v>0</v>
      </c>
      <c r="Y45" s="205">
        <f>VLOOKUP($E45,[3]Sheet1!$B$8:$BF$461,37,0)</f>
        <v>8440</v>
      </c>
      <c r="Z45" s="197">
        <f t="shared" si="24"/>
        <v>8440</v>
      </c>
      <c r="AA45" s="199">
        <f t="shared" si="25"/>
        <v>0</v>
      </c>
      <c r="AB45" s="205">
        <f t="shared" si="26"/>
        <v>8440</v>
      </c>
      <c r="AC45" s="197">
        <f t="shared" si="27"/>
        <v>8440</v>
      </c>
      <c r="AD45" s="198">
        <f t="shared" si="28"/>
        <v>0</v>
      </c>
      <c r="AE45" s="134"/>
      <c r="AF45" s="206"/>
      <c r="AG45" s="136"/>
      <c r="AH45" s="136"/>
      <c r="AI45" s="136"/>
      <c r="AJ45" s="136"/>
      <c r="AK45" s="136"/>
      <c r="AM45" s="137"/>
      <c r="AN45" s="137"/>
      <c r="AO45" s="137"/>
      <c r="AP45" s="137"/>
      <c r="AQ45" s="137"/>
      <c r="AS45" s="135" t="s">
        <v>208</v>
      </c>
    </row>
    <row r="46" spans="1:45" s="135" customFormat="1" ht="15.75" customHeight="1" thickBot="1">
      <c r="A46" s="208"/>
      <c r="B46" s="240" t="s">
        <v>198</v>
      </c>
      <c r="C46" s="212"/>
      <c r="D46" s="200"/>
      <c r="E46" s="254" t="s">
        <v>219</v>
      </c>
      <c r="F46" s="211" t="s">
        <v>205</v>
      </c>
      <c r="G46" s="243">
        <f>VLOOKUP($E46,'[2]UMH Monthly'!$D$4:$V$510,19,0)</f>
        <v>1.4745000000000001E-2</v>
      </c>
      <c r="H46" s="192"/>
      <c r="I46" s="193">
        <v>0</v>
      </c>
      <c r="J46" s="194">
        <v>0</v>
      </c>
      <c r="K46" s="195">
        <v>0</v>
      </c>
      <c r="L46" s="196">
        <f t="shared" si="29"/>
        <v>0</v>
      </c>
      <c r="M46" s="205">
        <f>VLOOKUP($E46,[3]Sheet1!$B$8:$AF$147,13,0)</f>
        <v>0</v>
      </c>
      <c r="N46" s="197">
        <f t="shared" si="16"/>
        <v>0</v>
      </c>
      <c r="O46" s="198">
        <f t="shared" si="17"/>
        <v>0</v>
      </c>
      <c r="P46" s="205">
        <f>VLOOKUP($E46,[3]Sheet1!$B$8:$AF$461,19,0)</f>
        <v>0</v>
      </c>
      <c r="Q46" s="195">
        <f t="shared" si="18"/>
        <v>0</v>
      </c>
      <c r="R46" s="199">
        <f t="shared" si="19"/>
        <v>0</v>
      </c>
      <c r="S46" s="205">
        <f>VLOOKUP($E46,[3]Sheet1!$B$8:$AF$461,25,0)</f>
        <v>0</v>
      </c>
      <c r="T46" s="197">
        <f t="shared" si="20"/>
        <v>0</v>
      </c>
      <c r="U46" s="198">
        <f t="shared" si="21"/>
        <v>0</v>
      </c>
      <c r="V46" s="205">
        <f>VLOOKUP($E46,[3]Sheet1!$B$8:$BF$461,31,0)</f>
        <v>0</v>
      </c>
      <c r="W46" s="195">
        <f t="shared" si="22"/>
        <v>0</v>
      </c>
      <c r="X46" s="199">
        <f t="shared" si="23"/>
        <v>0</v>
      </c>
      <c r="Y46" s="205">
        <f>VLOOKUP($E46,[3]Sheet1!$B$8:$BF$461,37,0)</f>
        <v>0</v>
      </c>
      <c r="Z46" s="197">
        <f t="shared" si="24"/>
        <v>0</v>
      </c>
      <c r="AA46" s="199">
        <f t="shared" si="25"/>
        <v>0</v>
      </c>
      <c r="AB46" s="205">
        <f t="shared" si="26"/>
        <v>0</v>
      </c>
      <c r="AC46" s="197">
        <f t="shared" si="27"/>
        <v>0</v>
      </c>
      <c r="AD46" s="198">
        <f t="shared" si="28"/>
        <v>0</v>
      </c>
      <c r="AE46" s="134" t="s">
        <v>125</v>
      </c>
      <c r="AF46" s="206">
        <f>+AB46+Y46+V46+S46+P46+M46+J46</f>
        <v>0</v>
      </c>
      <c r="AG46" s="136">
        <f>ROUNDUP((Q46/$AG$7),0)</f>
        <v>0</v>
      </c>
      <c r="AH46" s="136">
        <f>ROUNDUP((T46/$AH$7),0)</f>
        <v>0</v>
      </c>
      <c r="AI46" s="136">
        <f>ROUNDUP((W46/$AI$7),0)</f>
        <v>0</v>
      </c>
      <c r="AJ46" s="136">
        <f>ROUNDUP((Z46/$AJ$7),0)</f>
        <v>0</v>
      </c>
      <c r="AK46" s="136">
        <f>ROUNDUP((AC46/$AK$7),0)</f>
        <v>0</v>
      </c>
      <c r="AL46" s="135" t="e">
        <f>+#REF!+1</f>
        <v>#REF!</v>
      </c>
      <c r="AM46" s="137">
        <f t="shared" ref="AM46:AQ47" si="41">AG46*AG$7</f>
        <v>0</v>
      </c>
      <c r="AN46" s="137">
        <f t="shared" si="41"/>
        <v>0</v>
      </c>
      <c r="AO46" s="137">
        <f t="shared" si="41"/>
        <v>0</v>
      </c>
      <c r="AP46" s="137">
        <f t="shared" si="41"/>
        <v>0</v>
      </c>
      <c r="AQ46" s="137">
        <f t="shared" si="41"/>
        <v>0</v>
      </c>
      <c r="AR46" s="135" t="e">
        <f>VLOOKUP(E46,'[4]DATA SR'!$D$79:$D$238,1,2)</f>
        <v>#N/A</v>
      </c>
      <c r="AS46" s="135" t="s">
        <v>219</v>
      </c>
    </row>
    <row r="47" spans="1:45" s="135" customFormat="1" ht="15.75" customHeight="1" thickBot="1">
      <c r="A47" s="208"/>
      <c r="B47" s="240" t="s">
        <v>199</v>
      </c>
      <c r="C47" s="212"/>
      <c r="D47" s="200"/>
      <c r="E47" s="254" t="s">
        <v>220</v>
      </c>
      <c r="F47" s="211" t="s">
        <v>205</v>
      </c>
      <c r="G47" s="243">
        <f>VLOOKUP($E47,'[2]UMH Monthly'!$D$4:$V$510,19,0)</f>
        <v>1.4745000000000001E-2</v>
      </c>
      <c r="H47" s="192"/>
      <c r="I47" s="193">
        <v>0</v>
      </c>
      <c r="J47" s="194">
        <v>0</v>
      </c>
      <c r="K47" s="195">
        <v>0</v>
      </c>
      <c r="L47" s="196">
        <f t="shared" si="29"/>
        <v>0</v>
      </c>
      <c r="M47" s="205">
        <f>VLOOKUP($E47,[3]Sheet1!$B$8:$AF$147,13,0)</f>
        <v>0</v>
      </c>
      <c r="N47" s="197">
        <f t="shared" si="16"/>
        <v>0</v>
      </c>
      <c r="O47" s="198">
        <f t="shared" si="17"/>
        <v>0</v>
      </c>
      <c r="P47" s="205">
        <f>VLOOKUP($E47,[3]Sheet1!$B$8:$AF$461,19,0)</f>
        <v>0</v>
      </c>
      <c r="Q47" s="195">
        <f t="shared" si="18"/>
        <v>0</v>
      </c>
      <c r="R47" s="199">
        <f t="shared" si="19"/>
        <v>0</v>
      </c>
      <c r="S47" s="205">
        <f>VLOOKUP($E47,[3]Sheet1!$B$8:$AF$461,25,0)</f>
        <v>0</v>
      </c>
      <c r="T47" s="197">
        <f t="shared" si="20"/>
        <v>0</v>
      </c>
      <c r="U47" s="198">
        <f t="shared" si="21"/>
        <v>0</v>
      </c>
      <c r="V47" s="205">
        <f>VLOOKUP($E47,[3]Sheet1!$B$8:$BF$461,31,0)</f>
        <v>0</v>
      </c>
      <c r="W47" s="195">
        <f t="shared" si="22"/>
        <v>0</v>
      </c>
      <c r="X47" s="199">
        <f t="shared" si="23"/>
        <v>0</v>
      </c>
      <c r="Y47" s="205">
        <f>VLOOKUP($E47,[3]Sheet1!$B$8:$BF$461,37,0)</f>
        <v>0</v>
      </c>
      <c r="Z47" s="197">
        <f t="shared" si="24"/>
        <v>0</v>
      </c>
      <c r="AA47" s="199">
        <f t="shared" si="25"/>
        <v>0</v>
      </c>
      <c r="AB47" s="205">
        <f t="shared" si="26"/>
        <v>0</v>
      </c>
      <c r="AC47" s="197">
        <f t="shared" si="27"/>
        <v>0</v>
      </c>
      <c r="AD47" s="198">
        <f t="shared" si="28"/>
        <v>0</v>
      </c>
      <c r="AE47" s="134" t="s">
        <v>125</v>
      </c>
      <c r="AF47" s="206">
        <f>+AB47+Y47+V47+S47+P47+M47+J47</f>
        <v>0</v>
      </c>
      <c r="AG47" s="136">
        <f>ROUNDUP((Q47/$AG$7),0)</f>
        <v>0</v>
      </c>
      <c r="AH47" s="136">
        <f>ROUNDUP((T47/$AH$7),0)</f>
        <v>0</v>
      </c>
      <c r="AI47" s="136">
        <f>ROUNDUP((W47/$AI$7),0)</f>
        <v>0</v>
      </c>
      <c r="AJ47" s="136">
        <f>ROUNDUP((Z47/$AJ$7),0)</f>
        <v>0</v>
      </c>
      <c r="AK47" s="136">
        <f>ROUNDUP((AC47/$AK$7),0)</f>
        <v>0</v>
      </c>
      <c r="AL47" s="135" t="e">
        <f>+#REF!+1</f>
        <v>#REF!</v>
      </c>
      <c r="AM47" s="137">
        <f t="shared" si="41"/>
        <v>0</v>
      </c>
      <c r="AN47" s="137">
        <f t="shared" si="41"/>
        <v>0</v>
      </c>
      <c r="AO47" s="137">
        <f t="shared" si="41"/>
        <v>0</v>
      </c>
      <c r="AP47" s="137">
        <f t="shared" si="41"/>
        <v>0</v>
      </c>
      <c r="AQ47" s="137">
        <f t="shared" si="41"/>
        <v>0</v>
      </c>
      <c r="AR47" s="135" t="e">
        <f>VLOOKUP(E47,'[4]DATA SR'!$D$79:$D$238,1,2)</f>
        <v>#N/A</v>
      </c>
      <c r="AS47" s="135" t="s">
        <v>220</v>
      </c>
    </row>
    <row r="48" spans="1:45" s="135" customFormat="1" ht="15.75" customHeight="1">
      <c r="A48" s="247"/>
      <c r="B48" s="248"/>
      <c r="C48" s="249"/>
      <c r="D48" s="200" t="s">
        <v>230</v>
      </c>
      <c r="E48" s="239" t="s">
        <v>224</v>
      </c>
      <c r="F48" s="253" t="s">
        <v>228</v>
      </c>
      <c r="G48" s="257">
        <f>VLOOKUP($E48,'[2]UMH Monthly'!$D$4:$V$510,19,0)</f>
        <v>1.2330000000000001E-2</v>
      </c>
      <c r="H48" s="250"/>
      <c r="I48" s="193">
        <v>0</v>
      </c>
      <c r="J48" s="194">
        <v>1480</v>
      </c>
      <c r="K48" s="195">
        <v>1480</v>
      </c>
      <c r="L48" s="196">
        <f t="shared" si="29"/>
        <v>0</v>
      </c>
      <c r="M48" s="205">
        <f>VLOOKUP($E48,[3]Sheet1!$B$8:$AF$147,13,0)</f>
        <v>2180</v>
      </c>
      <c r="N48" s="197">
        <f t="shared" si="16"/>
        <v>2180</v>
      </c>
      <c r="O48" s="198">
        <f t="shared" si="17"/>
        <v>0</v>
      </c>
      <c r="P48" s="205">
        <f>VLOOKUP($E48,[3]Sheet1!$B$8:$AF$461,19,0)</f>
        <v>1700</v>
      </c>
      <c r="Q48" s="195">
        <f t="shared" si="18"/>
        <v>1700</v>
      </c>
      <c r="R48" s="199">
        <f t="shared" si="19"/>
        <v>0</v>
      </c>
      <c r="S48" s="205">
        <f>VLOOKUP($E48,[3]Sheet1!$B$8:$AF$461,25,0)</f>
        <v>1520</v>
      </c>
      <c r="T48" s="197">
        <f t="shared" si="20"/>
        <v>1520</v>
      </c>
      <c r="U48" s="198">
        <f t="shared" si="21"/>
        <v>0</v>
      </c>
      <c r="V48" s="205">
        <f>VLOOKUP($E48,[3]Sheet1!$B$8:$BF$461,31,0)</f>
        <v>1700</v>
      </c>
      <c r="W48" s="195">
        <f t="shared" si="22"/>
        <v>1700</v>
      </c>
      <c r="X48" s="199">
        <f t="shared" si="23"/>
        <v>0</v>
      </c>
      <c r="Y48" s="205">
        <f>VLOOKUP($E48,[3]Sheet1!$B$8:$BF$461,37,0)</f>
        <v>1560</v>
      </c>
      <c r="Z48" s="197">
        <f t="shared" si="24"/>
        <v>1560</v>
      </c>
      <c r="AA48" s="199">
        <f t="shared" si="25"/>
        <v>0</v>
      </c>
      <c r="AB48" s="205">
        <f t="shared" si="26"/>
        <v>1560</v>
      </c>
      <c r="AC48" s="197">
        <f t="shared" si="27"/>
        <v>1560</v>
      </c>
      <c r="AD48" s="263">
        <f t="shared" si="28"/>
        <v>0</v>
      </c>
      <c r="AE48" s="134"/>
      <c r="AF48" s="206"/>
      <c r="AG48" s="252"/>
      <c r="AH48" s="252"/>
      <c r="AI48" s="252"/>
      <c r="AJ48" s="252"/>
      <c r="AK48" s="252"/>
      <c r="AM48" s="137"/>
      <c r="AN48" s="137"/>
      <c r="AO48" s="137"/>
      <c r="AP48" s="137"/>
      <c r="AQ48" s="137"/>
      <c r="AS48" s="135" t="s">
        <v>230</v>
      </c>
    </row>
    <row r="49" spans="1:45" s="135" customFormat="1" ht="15.75" customHeight="1">
      <c r="A49" s="247"/>
      <c r="B49" s="248"/>
      <c r="C49" s="249"/>
      <c r="D49" s="200" t="s">
        <v>231</v>
      </c>
      <c r="E49" s="239" t="s">
        <v>225</v>
      </c>
      <c r="F49" s="211" t="s">
        <v>228</v>
      </c>
      <c r="G49" s="257">
        <f>VLOOKUP($E49,'[2]UMH Monthly'!$D$4:$V$510,19,0)</f>
        <v>1.2791666666666666E-2</v>
      </c>
      <c r="H49" s="250"/>
      <c r="I49" s="193">
        <v>0</v>
      </c>
      <c r="J49" s="194">
        <v>5120</v>
      </c>
      <c r="K49" s="195">
        <v>5120</v>
      </c>
      <c r="L49" s="196">
        <f t="shared" si="29"/>
        <v>0</v>
      </c>
      <c r="M49" s="205">
        <f>VLOOKUP($E49,[3]Sheet1!$B$8:$AF$147,13,0)</f>
        <v>4240</v>
      </c>
      <c r="N49" s="197">
        <f t="shared" si="16"/>
        <v>4240</v>
      </c>
      <c r="O49" s="198">
        <f t="shared" si="17"/>
        <v>0</v>
      </c>
      <c r="P49" s="205">
        <f>VLOOKUP($E49,[3]Sheet1!$B$8:$AF$461,19,0)</f>
        <v>4520</v>
      </c>
      <c r="Q49" s="195">
        <f t="shared" si="18"/>
        <v>4520</v>
      </c>
      <c r="R49" s="199">
        <f t="shared" si="19"/>
        <v>0</v>
      </c>
      <c r="S49" s="205">
        <f>VLOOKUP($E49,[3]Sheet1!$B$8:$AF$461,25,0)</f>
        <v>3920</v>
      </c>
      <c r="T49" s="197">
        <f t="shared" si="20"/>
        <v>3920</v>
      </c>
      <c r="U49" s="198">
        <f t="shared" si="21"/>
        <v>0</v>
      </c>
      <c r="V49" s="205">
        <f>VLOOKUP($E49,[3]Sheet1!$B$8:$BF$461,31,0)</f>
        <v>4280</v>
      </c>
      <c r="W49" s="195">
        <f t="shared" si="22"/>
        <v>4280</v>
      </c>
      <c r="X49" s="199">
        <f t="shared" si="23"/>
        <v>0</v>
      </c>
      <c r="Y49" s="205">
        <f>VLOOKUP($E49,[3]Sheet1!$B$8:$BF$461,37,0)</f>
        <v>3960</v>
      </c>
      <c r="Z49" s="197">
        <f t="shared" si="24"/>
        <v>3960</v>
      </c>
      <c r="AA49" s="199">
        <f t="shared" si="25"/>
        <v>0</v>
      </c>
      <c r="AB49" s="205">
        <f t="shared" si="26"/>
        <v>3960</v>
      </c>
      <c r="AC49" s="197">
        <f t="shared" si="27"/>
        <v>3960</v>
      </c>
      <c r="AD49" s="263">
        <f t="shared" si="28"/>
        <v>0</v>
      </c>
      <c r="AE49" s="134"/>
      <c r="AF49" s="206"/>
      <c r="AG49" s="252"/>
      <c r="AH49" s="252"/>
      <c r="AI49" s="252"/>
      <c r="AJ49" s="252"/>
      <c r="AK49" s="252"/>
      <c r="AM49" s="137"/>
      <c r="AN49" s="137"/>
      <c r="AO49" s="137"/>
      <c r="AP49" s="137"/>
      <c r="AQ49" s="137"/>
      <c r="AS49" s="135" t="s">
        <v>231</v>
      </c>
    </row>
    <row r="50" spans="1:45" s="135" customFormat="1" ht="15.75" customHeight="1">
      <c r="A50" s="247"/>
      <c r="B50" s="248"/>
      <c r="C50" s="249"/>
      <c r="D50" s="200" t="s">
        <v>232</v>
      </c>
      <c r="E50" s="239" t="s">
        <v>226</v>
      </c>
      <c r="F50" s="211" t="s">
        <v>228</v>
      </c>
      <c r="G50" s="257">
        <f>VLOOKUP($E50,'[2]UMH Monthly'!$D$4:$V$510,19,0)</f>
        <v>1.2791666666666666E-2</v>
      </c>
      <c r="H50" s="250"/>
      <c r="I50" s="193">
        <v>0</v>
      </c>
      <c r="J50" s="194">
        <v>2800</v>
      </c>
      <c r="K50" s="195">
        <v>2800</v>
      </c>
      <c r="L50" s="196">
        <f t="shared" si="29"/>
        <v>0</v>
      </c>
      <c r="M50" s="205">
        <f>VLOOKUP($E50,[3]Sheet1!$B$8:$AF$147,13,0)</f>
        <v>1480</v>
      </c>
      <c r="N50" s="197">
        <f t="shared" si="16"/>
        <v>1480</v>
      </c>
      <c r="O50" s="198">
        <f t="shared" si="17"/>
        <v>0</v>
      </c>
      <c r="P50" s="205">
        <f>VLOOKUP($E50,[3]Sheet1!$B$8:$AF$461,19,0)</f>
        <v>2080</v>
      </c>
      <c r="Q50" s="195">
        <f t="shared" si="18"/>
        <v>2080</v>
      </c>
      <c r="R50" s="199">
        <f t="shared" si="19"/>
        <v>0</v>
      </c>
      <c r="S50" s="205">
        <f>VLOOKUP($E50,[3]Sheet1!$B$8:$AF$461,25,0)</f>
        <v>1880</v>
      </c>
      <c r="T50" s="197">
        <f t="shared" si="20"/>
        <v>1880</v>
      </c>
      <c r="U50" s="198">
        <f t="shared" si="21"/>
        <v>0</v>
      </c>
      <c r="V50" s="205">
        <f>VLOOKUP($E50,[3]Sheet1!$B$8:$BF$461,31,0)</f>
        <v>2040</v>
      </c>
      <c r="W50" s="195">
        <f t="shared" si="22"/>
        <v>2040</v>
      </c>
      <c r="X50" s="199">
        <f t="shared" si="23"/>
        <v>0</v>
      </c>
      <c r="Y50" s="205">
        <f>VLOOKUP($E50,[3]Sheet1!$B$8:$BF$461,37,0)</f>
        <v>1920</v>
      </c>
      <c r="Z50" s="197">
        <f t="shared" si="24"/>
        <v>1920</v>
      </c>
      <c r="AA50" s="199">
        <f t="shared" si="25"/>
        <v>0</v>
      </c>
      <c r="AB50" s="205">
        <f t="shared" si="26"/>
        <v>1920</v>
      </c>
      <c r="AC50" s="197">
        <f t="shared" si="27"/>
        <v>1920</v>
      </c>
      <c r="AD50" s="263">
        <f t="shared" si="28"/>
        <v>0</v>
      </c>
      <c r="AE50" s="134"/>
      <c r="AF50" s="206"/>
      <c r="AG50" s="252"/>
      <c r="AH50" s="252"/>
      <c r="AI50" s="252"/>
      <c r="AJ50" s="252"/>
      <c r="AK50" s="252"/>
      <c r="AM50" s="137"/>
      <c r="AN50" s="137"/>
      <c r="AO50" s="137"/>
      <c r="AP50" s="137"/>
      <c r="AQ50" s="137"/>
      <c r="AS50" s="135" t="s">
        <v>232</v>
      </c>
    </row>
    <row r="51" spans="1:45" s="135" customFormat="1" ht="15.75" customHeight="1">
      <c r="A51" s="247"/>
      <c r="B51" s="248"/>
      <c r="C51" s="249"/>
      <c r="D51" s="200" t="s">
        <v>233</v>
      </c>
      <c r="E51" s="239" t="s">
        <v>227</v>
      </c>
      <c r="F51" s="211" t="s">
        <v>228</v>
      </c>
      <c r="G51" s="257">
        <f>VLOOKUP($E51,'[2]UMH Monthly'!$D$4:$V$510,19,0)</f>
        <v>1.2343333333333335E-2</v>
      </c>
      <c r="H51" s="250"/>
      <c r="I51" s="193">
        <v>0</v>
      </c>
      <c r="J51" s="194">
        <v>1420</v>
      </c>
      <c r="K51" s="195">
        <v>1420</v>
      </c>
      <c r="L51" s="196">
        <f t="shared" si="29"/>
        <v>0</v>
      </c>
      <c r="M51" s="205">
        <f>VLOOKUP($E51,[3]Sheet1!$B$8:$AF$147,13,0)</f>
        <v>1300</v>
      </c>
      <c r="N51" s="197">
        <f t="shared" si="16"/>
        <v>1300</v>
      </c>
      <c r="O51" s="198">
        <f t="shared" si="17"/>
        <v>0</v>
      </c>
      <c r="P51" s="205">
        <f>VLOOKUP($E51,[3]Sheet1!$B$8:$AF$461,19,0)</f>
        <v>1380</v>
      </c>
      <c r="Q51" s="195">
        <f t="shared" si="18"/>
        <v>1380</v>
      </c>
      <c r="R51" s="199">
        <f t="shared" si="19"/>
        <v>0</v>
      </c>
      <c r="S51" s="205">
        <f>VLOOKUP($E51,[3]Sheet1!$B$8:$AF$461,25,0)</f>
        <v>1260</v>
      </c>
      <c r="T51" s="197">
        <f t="shared" si="20"/>
        <v>1260</v>
      </c>
      <c r="U51" s="198">
        <f t="shared" si="21"/>
        <v>0</v>
      </c>
      <c r="V51" s="205">
        <f>VLOOKUP($E51,[3]Sheet1!$B$8:$BF$461,31,0)</f>
        <v>1340</v>
      </c>
      <c r="W51" s="195">
        <f t="shared" si="22"/>
        <v>1340</v>
      </c>
      <c r="X51" s="199">
        <f t="shared" si="23"/>
        <v>0</v>
      </c>
      <c r="Y51" s="205">
        <f>VLOOKUP($E51,[3]Sheet1!$B$8:$BF$461,37,0)</f>
        <v>1220</v>
      </c>
      <c r="Z51" s="197">
        <f t="shared" si="24"/>
        <v>1220</v>
      </c>
      <c r="AA51" s="199">
        <f t="shared" si="25"/>
        <v>0</v>
      </c>
      <c r="AB51" s="205">
        <f t="shared" si="26"/>
        <v>1220</v>
      </c>
      <c r="AC51" s="197">
        <f t="shared" si="27"/>
        <v>1220</v>
      </c>
      <c r="AD51" s="263">
        <f t="shared" si="28"/>
        <v>0</v>
      </c>
      <c r="AE51" s="134"/>
      <c r="AF51" s="206"/>
      <c r="AG51" s="252"/>
      <c r="AH51" s="252"/>
      <c r="AI51" s="252"/>
      <c r="AJ51" s="252"/>
      <c r="AK51" s="252"/>
      <c r="AM51" s="137"/>
      <c r="AN51" s="137"/>
      <c r="AO51" s="137"/>
      <c r="AP51" s="137"/>
      <c r="AQ51" s="137"/>
      <c r="AS51" s="135" t="s">
        <v>233</v>
      </c>
    </row>
    <row r="52" spans="1:45" s="135" customFormat="1" ht="15.75" customHeight="1">
      <c r="A52" s="247"/>
      <c r="B52" s="248"/>
      <c r="C52" s="249"/>
      <c r="D52" s="200"/>
      <c r="E52" s="239" t="s">
        <v>234</v>
      </c>
      <c r="F52" s="211" t="s">
        <v>237</v>
      </c>
      <c r="G52" s="243">
        <f>VLOOKUP($E52,'[2]UMH Monthly'!$D$4:$V$510,19,0)</f>
        <v>1.589666666666667E-2</v>
      </c>
      <c r="H52" s="250"/>
      <c r="I52" s="193">
        <v>0</v>
      </c>
      <c r="J52" s="194">
        <v>0</v>
      </c>
      <c r="K52" s="195">
        <v>0</v>
      </c>
      <c r="L52" s="196">
        <f t="shared" si="29"/>
        <v>0</v>
      </c>
      <c r="M52" s="205">
        <f>VLOOKUP($E52,[3]Sheet1!$B$8:$AF$147,13,0)</f>
        <v>0</v>
      </c>
      <c r="N52" s="197">
        <f t="shared" si="16"/>
        <v>0</v>
      </c>
      <c r="O52" s="198">
        <f t="shared" si="17"/>
        <v>0</v>
      </c>
      <c r="P52" s="205">
        <f>VLOOKUP($E52,[3]Sheet1!$B$8:$AF$461,19,0)</f>
        <v>40</v>
      </c>
      <c r="Q52" s="195">
        <f t="shared" si="18"/>
        <v>40</v>
      </c>
      <c r="R52" s="199">
        <f t="shared" si="19"/>
        <v>0</v>
      </c>
      <c r="S52" s="205">
        <f>VLOOKUP($E52,[3]Sheet1!$B$8:$AF$461,25,0)</f>
        <v>40</v>
      </c>
      <c r="T52" s="197">
        <f t="shared" si="20"/>
        <v>40</v>
      </c>
      <c r="U52" s="198">
        <f t="shared" si="21"/>
        <v>0</v>
      </c>
      <c r="V52" s="205">
        <f>VLOOKUP($E52,[3]Sheet1!$B$8:$BF$461,31,0)</f>
        <v>0</v>
      </c>
      <c r="W52" s="195">
        <f t="shared" si="22"/>
        <v>0</v>
      </c>
      <c r="X52" s="199">
        <f t="shared" si="23"/>
        <v>0</v>
      </c>
      <c r="Y52" s="205">
        <f>VLOOKUP($E52,[3]Sheet1!$B$8:$BF$461,37,0)</f>
        <v>0</v>
      </c>
      <c r="Z52" s="197">
        <f t="shared" si="24"/>
        <v>0</v>
      </c>
      <c r="AA52" s="199">
        <f t="shared" si="25"/>
        <v>0</v>
      </c>
      <c r="AB52" s="205">
        <f t="shared" si="26"/>
        <v>0</v>
      </c>
      <c r="AC52" s="197">
        <f t="shared" si="27"/>
        <v>0</v>
      </c>
      <c r="AD52" s="263">
        <f t="shared" si="28"/>
        <v>0</v>
      </c>
      <c r="AE52" s="134"/>
      <c r="AF52" s="206"/>
      <c r="AG52" s="252"/>
      <c r="AH52" s="252"/>
      <c r="AI52" s="252"/>
      <c r="AJ52" s="252"/>
      <c r="AK52" s="252"/>
      <c r="AM52" s="137"/>
      <c r="AN52" s="137"/>
      <c r="AO52" s="137"/>
      <c r="AP52" s="137"/>
      <c r="AQ52" s="137"/>
    </row>
    <row r="53" spans="1:45" s="135" customFormat="1" ht="15.75" customHeight="1">
      <c r="A53" s="247"/>
      <c r="B53" s="248"/>
      <c r="C53" s="249"/>
      <c r="D53" s="200"/>
      <c r="E53" s="239" t="s">
        <v>235</v>
      </c>
      <c r="F53" s="211" t="s">
        <v>237</v>
      </c>
      <c r="G53" s="243">
        <f>VLOOKUP($E53,'[2]UMH Monthly'!$D$4:$V$510,19,0)</f>
        <v>1.5188333333333335E-2</v>
      </c>
      <c r="H53" s="250"/>
      <c r="I53" s="193">
        <v>0</v>
      </c>
      <c r="J53" s="194">
        <v>600</v>
      </c>
      <c r="K53" s="195">
        <v>600</v>
      </c>
      <c r="L53" s="196">
        <f t="shared" si="29"/>
        <v>0</v>
      </c>
      <c r="M53" s="205">
        <f>VLOOKUP($E53,[3]Sheet1!$B$8:$AF$147,13,0)</f>
        <v>640</v>
      </c>
      <c r="N53" s="197">
        <f t="shared" si="16"/>
        <v>640</v>
      </c>
      <c r="O53" s="198">
        <f t="shared" si="17"/>
        <v>0</v>
      </c>
      <c r="P53" s="205">
        <f>VLOOKUP($E53,[3]Sheet1!$B$8:$AF$461,19,0)</f>
        <v>360</v>
      </c>
      <c r="Q53" s="195">
        <f t="shared" si="18"/>
        <v>360</v>
      </c>
      <c r="R53" s="199">
        <f t="shared" si="19"/>
        <v>0</v>
      </c>
      <c r="S53" s="205">
        <f>VLOOKUP($E53,[3]Sheet1!$B$8:$AF$461,25,0)</f>
        <v>280</v>
      </c>
      <c r="T53" s="197">
        <f t="shared" si="20"/>
        <v>280</v>
      </c>
      <c r="U53" s="198">
        <f t="shared" si="21"/>
        <v>0</v>
      </c>
      <c r="V53" s="205">
        <f>VLOOKUP($E53,[3]Sheet1!$B$8:$BF$461,31,0)</f>
        <v>360</v>
      </c>
      <c r="W53" s="195">
        <f t="shared" si="22"/>
        <v>360</v>
      </c>
      <c r="X53" s="199">
        <f t="shared" si="23"/>
        <v>0</v>
      </c>
      <c r="Y53" s="205">
        <f>VLOOKUP($E53,[3]Sheet1!$B$8:$BF$461,37,0)</f>
        <v>600</v>
      </c>
      <c r="Z53" s="197">
        <f t="shared" si="24"/>
        <v>600</v>
      </c>
      <c r="AA53" s="199">
        <f t="shared" si="25"/>
        <v>0</v>
      </c>
      <c r="AB53" s="205">
        <f t="shared" si="26"/>
        <v>600</v>
      </c>
      <c r="AC53" s="197">
        <f t="shared" si="27"/>
        <v>600</v>
      </c>
      <c r="AD53" s="263">
        <f t="shared" si="28"/>
        <v>0</v>
      </c>
      <c r="AE53" s="134"/>
      <c r="AF53" s="206"/>
      <c r="AG53" s="252"/>
      <c r="AH53" s="252"/>
      <c r="AI53" s="252"/>
      <c r="AJ53" s="252"/>
      <c r="AK53" s="252"/>
      <c r="AM53" s="137"/>
      <c r="AN53" s="137"/>
      <c r="AO53" s="137"/>
      <c r="AP53" s="137"/>
      <c r="AQ53" s="137"/>
    </row>
    <row r="54" spans="1:45" s="135" customFormat="1" ht="15.75" customHeight="1">
      <c r="A54" s="247"/>
      <c r="B54" s="248"/>
      <c r="C54" s="249"/>
      <c r="D54" s="200"/>
      <c r="E54" s="239" t="s">
        <v>236</v>
      </c>
      <c r="F54" s="211" t="s">
        <v>237</v>
      </c>
      <c r="G54" s="243">
        <f>VLOOKUP($E54,'[2]UMH Monthly'!$D$4:$V$510,19,0)</f>
        <v>1.4901666666666667E-2</v>
      </c>
      <c r="H54" s="250"/>
      <c r="I54" s="193">
        <v>0</v>
      </c>
      <c r="J54" s="194">
        <v>6240</v>
      </c>
      <c r="K54" s="195">
        <v>6240</v>
      </c>
      <c r="L54" s="196">
        <f t="shared" si="29"/>
        <v>0</v>
      </c>
      <c r="M54" s="205">
        <f>VLOOKUP($E54,[3]Sheet1!$B$8:$AF$147,13,0)</f>
        <v>4680</v>
      </c>
      <c r="N54" s="197">
        <f t="shared" si="16"/>
        <v>4680</v>
      </c>
      <c r="O54" s="198">
        <f t="shared" si="17"/>
        <v>0</v>
      </c>
      <c r="P54" s="205">
        <f>VLOOKUP($E54,[3]Sheet1!$B$8:$AF$461,19,0)</f>
        <v>4160</v>
      </c>
      <c r="Q54" s="195">
        <f t="shared" si="18"/>
        <v>4160</v>
      </c>
      <c r="R54" s="199">
        <f t="shared" si="19"/>
        <v>0</v>
      </c>
      <c r="S54" s="205">
        <f>VLOOKUP($E54,[3]Sheet1!$B$8:$AF$461,25,0)</f>
        <v>3600</v>
      </c>
      <c r="T54" s="197">
        <f t="shared" si="20"/>
        <v>3600</v>
      </c>
      <c r="U54" s="198">
        <f t="shared" si="21"/>
        <v>0</v>
      </c>
      <c r="V54" s="205">
        <f>VLOOKUP($E54,[3]Sheet1!$B$8:$BF$461,31,0)</f>
        <v>3880</v>
      </c>
      <c r="W54" s="195">
        <f t="shared" si="22"/>
        <v>3880</v>
      </c>
      <c r="X54" s="199">
        <f t="shared" si="23"/>
        <v>0</v>
      </c>
      <c r="Y54" s="205">
        <f>VLOOKUP($E54,[3]Sheet1!$B$8:$BF$461,37,0)</f>
        <v>4360</v>
      </c>
      <c r="Z54" s="197">
        <f t="shared" si="24"/>
        <v>4360</v>
      </c>
      <c r="AA54" s="199">
        <f t="shared" si="25"/>
        <v>0</v>
      </c>
      <c r="AB54" s="205">
        <f t="shared" si="26"/>
        <v>4360</v>
      </c>
      <c r="AC54" s="197">
        <f t="shared" si="27"/>
        <v>4360</v>
      </c>
      <c r="AD54" s="263">
        <f t="shared" si="28"/>
        <v>0</v>
      </c>
      <c r="AE54" s="134"/>
      <c r="AF54" s="206"/>
      <c r="AG54" s="252"/>
      <c r="AH54" s="252"/>
      <c r="AI54" s="252"/>
      <c r="AJ54" s="252"/>
      <c r="AK54" s="252"/>
      <c r="AM54" s="137"/>
      <c r="AN54" s="137"/>
      <c r="AO54" s="137"/>
      <c r="AP54" s="137"/>
      <c r="AQ54" s="137"/>
    </row>
    <row r="55" spans="1:45" s="135" customFormat="1" ht="15.75" customHeight="1">
      <c r="A55" s="247"/>
      <c r="B55" s="248"/>
      <c r="C55" s="249"/>
      <c r="D55" s="200"/>
      <c r="E55" s="239" t="s">
        <v>238</v>
      </c>
      <c r="F55" s="211" t="s">
        <v>237</v>
      </c>
      <c r="G55" s="243">
        <v>1.3601666666666668E-2</v>
      </c>
      <c r="H55" s="250"/>
      <c r="I55" s="193">
        <v>0</v>
      </c>
      <c r="J55" s="194">
        <v>60</v>
      </c>
      <c r="K55" s="195">
        <v>60</v>
      </c>
      <c r="L55" s="196">
        <f t="shared" si="29"/>
        <v>0</v>
      </c>
      <c r="M55" s="205">
        <f>VLOOKUP($E55,[3]Sheet1!$B$8:$AF$147,13,0)</f>
        <v>120</v>
      </c>
      <c r="N55" s="197">
        <f t="shared" si="16"/>
        <v>120</v>
      </c>
      <c r="O55" s="198">
        <f t="shared" ref="O55:O84" si="42">L55+N55-M55</f>
        <v>0</v>
      </c>
      <c r="P55" s="205">
        <f>VLOOKUP($E55,[3]Sheet1!$B$8:$AF$461,19,0)</f>
        <v>60</v>
      </c>
      <c r="Q55" s="195">
        <f t="shared" ref="Q55:Q84" si="43">IF(O55&gt;P55,0,P55-O55)</f>
        <v>60</v>
      </c>
      <c r="R55" s="199">
        <f t="shared" ref="R55:R84" si="44">O55+Q55-P55</f>
        <v>0</v>
      </c>
      <c r="S55" s="205">
        <f>VLOOKUP($E55,[3]Sheet1!$B$8:$AF$461,25,0)</f>
        <v>0</v>
      </c>
      <c r="T55" s="197">
        <f t="shared" ref="T55:T84" si="45">IF(R55&gt;S55,0,S55-R55)</f>
        <v>0</v>
      </c>
      <c r="U55" s="198">
        <f t="shared" ref="U55:U84" si="46">R55+T55-S55</f>
        <v>0</v>
      </c>
      <c r="V55" s="205">
        <f>VLOOKUP($E55,[3]Sheet1!$B$8:$BF$461,31,0)</f>
        <v>60</v>
      </c>
      <c r="W55" s="195">
        <f t="shared" ref="W55:W84" si="47">IF(U55&gt;V55,0,V55-U55)</f>
        <v>60</v>
      </c>
      <c r="X55" s="199">
        <f t="shared" ref="X55:X84" si="48">U55+W55-V55</f>
        <v>0</v>
      </c>
      <c r="Y55" s="205">
        <f>VLOOKUP($E55,[3]Sheet1!$B$8:$BF$461,37,0)</f>
        <v>60</v>
      </c>
      <c r="Z55" s="197">
        <f t="shared" ref="Z55:Z84" si="49">IF(X55&gt;Y55,0,Y55-X55)</f>
        <v>60</v>
      </c>
      <c r="AA55" s="199">
        <f t="shared" ref="AA55:AA84" si="50">X55+Z55-Y55</f>
        <v>0</v>
      </c>
      <c r="AB55" s="205">
        <f t="shared" ref="AB55:AB84" si="51">+Y55</f>
        <v>60</v>
      </c>
      <c r="AC55" s="197">
        <f t="shared" ref="AC55:AC84" si="52">IF(AA55&gt;AB55,0,AB55-AA55)</f>
        <v>60</v>
      </c>
      <c r="AD55" s="263"/>
      <c r="AE55" s="134"/>
      <c r="AF55" s="206"/>
      <c r="AG55" s="252"/>
      <c r="AH55" s="252"/>
      <c r="AI55" s="252"/>
      <c r="AJ55" s="252"/>
      <c r="AK55" s="252"/>
      <c r="AM55" s="137"/>
      <c r="AN55" s="137"/>
      <c r="AO55" s="137"/>
      <c r="AP55" s="137"/>
      <c r="AQ55" s="137"/>
    </row>
    <row r="56" spans="1:45" s="135" customFormat="1" ht="15.75" customHeight="1">
      <c r="A56" s="247"/>
      <c r="B56" s="248" t="s">
        <v>239</v>
      </c>
      <c r="C56" s="249"/>
      <c r="D56" s="200"/>
      <c r="E56" s="266" t="s">
        <v>240</v>
      </c>
      <c r="F56" s="258"/>
      <c r="G56" s="243">
        <f>VLOOKUP($B56,'[2]UMH Monthly'!$E$4:$V$512,18,0)</f>
        <v>2.1368333333333329E-2</v>
      </c>
      <c r="H56" s="250"/>
      <c r="I56" s="193">
        <v>0</v>
      </c>
      <c r="J56" s="194">
        <v>0</v>
      </c>
      <c r="K56" s="195">
        <v>0</v>
      </c>
      <c r="L56" s="196">
        <f t="shared" si="29"/>
        <v>0</v>
      </c>
      <c r="M56" s="205">
        <f>VLOOKUP($E56,[3]Sheet1!$B$8:$AF$147,13,0)</f>
        <v>0</v>
      </c>
      <c r="N56" s="197">
        <f t="shared" si="16"/>
        <v>0</v>
      </c>
      <c r="O56" s="198">
        <f t="shared" si="42"/>
        <v>0</v>
      </c>
      <c r="P56" s="205">
        <f>VLOOKUP($E56,[3]Sheet1!$B$8:$AF$461,19,0)</f>
        <v>0</v>
      </c>
      <c r="Q56" s="195">
        <f t="shared" si="43"/>
        <v>0</v>
      </c>
      <c r="R56" s="199">
        <f t="shared" si="44"/>
        <v>0</v>
      </c>
      <c r="S56" s="205">
        <f>VLOOKUP($E56,[3]Sheet1!$B$8:$AF$461,25,0)</f>
        <v>0</v>
      </c>
      <c r="T56" s="197">
        <f t="shared" si="45"/>
        <v>0</v>
      </c>
      <c r="U56" s="198">
        <f t="shared" si="46"/>
        <v>0</v>
      </c>
      <c r="V56" s="205">
        <f>VLOOKUP($E56,[3]Sheet1!$B$8:$BF$461,31,0)</f>
        <v>0</v>
      </c>
      <c r="W56" s="195">
        <f t="shared" si="47"/>
        <v>0</v>
      </c>
      <c r="X56" s="199">
        <f t="shared" si="48"/>
        <v>0</v>
      </c>
      <c r="Y56" s="205">
        <f>VLOOKUP($E56,[3]Sheet1!$B$8:$BF$461,37,0)</f>
        <v>0</v>
      </c>
      <c r="Z56" s="197">
        <f t="shared" si="49"/>
        <v>0</v>
      </c>
      <c r="AA56" s="199">
        <f t="shared" si="50"/>
        <v>0</v>
      </c>
      <c r="AB56" s="205">
        <f t="shared" si="51"/>
        <v>0</v>
      </c>
      <c r="AC56" s="197">
        <f t="shared" si="52"/>
        <v>0</v>
      </c>
      <c r="AD56" s="263"/>
      <c r="AE56" s="134"/>
      <c r="AF56" s="206"/>
      <c r="AG56" s="252"/>
      <c r="AH56" s="252"/>
      <c r="AI56" s="252"/>
      <c r="AJ56" s="252"/>
      <c r="AK56" s="252"/>
      <c r="AM56" s="137"/>
      <c r="AN56" s="137"/>
      <c r="AO56" s="137"/>
      <c r="AP56" s="137"/>
      <c r="AQ56" s="137"/>
    </row>
    <row r="57" spans="1:45" s="135" customFormat="1" ht="15.75" customHeight="1">
      <c r="A57" s="247"/>
      <c r="B57" s="248" t="s">
        <v>241</v>
      </c>
      <c r="C57" s="249"/>
      <c r="D57" s="200"/>
      <c r="E57" s="266" t="s">
        <v>242</v>
      </c>
      <c r="F57" s="258"/>
      <c r="G57" s="243">
        <f>VLOOKUP($B57,'[2]UMH Monthly'!$E$4:$V$512,18,0)</f>
        <v>1.7923333333333333E-2</v>
      </c>
      <c r="H57" s="250"/>
      <c r="I57" s="193">
        <v>0</v>
      </c>
      <c r="J57" s="194">
        <v>0</v>
      </c>
      <c r="K57" s="195">
        <v>0</v>
      </c>
      <c r="L57" s="196">
        <f t="shared" si="29"/>
        <v>0</v>
      </c>
      <c r="M57" s="205">
        <f>VLOOKUP($E57,[3]Sheet1!$B$8:$AF$147,13,0)</f>
        <v>0</v>
      </c>
      <c r="N57" s="197">
        <f t="shared" ref="N57:N84" si="53">IF(L57&gt;M57,0,M57-L57)</f>
        <v>0</v>
      </c>
      <c r="O57" s="198">
        <f t="shared" si="42"/>
        <v>0</v>
      </c>
      <c r="P57" s="205">
        <f>VLOOKUP($E57,[3]Sheet1!$B$8:$AF$461,19,0)</f>
        <v>0</v>
      </c>
      <c r="Q57" s="195">
        <f t="shared" si="43"/>
        <v>0</v>
      </c>
      <c r="R57" s="199">
        <f t="shared" si="44"/>
        <v>0</v>
      </c>
      <c r="S57" s="205">
        <f>VLOOKUP($E57,[3]Sheet1!$B$8:$AF$461,25,0)</f>
        <v>0</v>
      </c>
      <c r="T57" s="197">
        <f t="shared" si="45"/>
        <v>0</v>
      </c>
      <c r="U57" s="198">
        <f t="shared" si="46"/>
        <v>0</v>
      </c>
      <c r="V57" s="205">
        <f>VLOOKUP($E57,[3]Sheet1!$B$8:$BF$461,31,0)</f>
        <v>0</v>
      </c>
      <c r="W57" s="195">
        <f t="shared" si="47"/>
        <v>0</v>
      </c>
      <c r="X57" s="199">
        <f t="shared" si="48"/>
        <v>0</v>
      </c>
      <c r="Y57" s="205">
        <f>VLOOKUP($E57,[3]Sheet1!$B$8:$BF$461,37,0)</f>
        <v>0</v>
      </c>
      <c r="Z57" s="197">
        <f t="shared" si="49"/>
        <v>0</v>
      </c>
      <c r="AA57" s="199">
        <f t="shared" si="50"/>
        <v>0</v>
      </c>
      <c r="AB57" s="205">
        <f t="shared" si="51"/>
        <v>0</v>
      </c>
      <c r="AC57" s="197">
        <f t="shared" si="52"/>
        <v>0</v>
      </c>
      <c r="AD57" s="263"/>
      <c r="AE57" s="134"/>
      <c r="AF57" s="206"/>
      <c r="AG57" s="252"/>
      <c r="AH57" s="252"/>
      <c r="AI57" s="252"/>
      <c r="AJ57" s="252"/>
      <c r="AK57" s="252"/>
      <c r="AM57" s="137"/>
      <c r="AN57" s="137"/>
      <c r="AO57" s="137"/>
      <c r="AP57" s="137"/>
      <c r="AQ57" s="137"/>
    </row>
    <row r="58" spans="1:45" s="135" customFormat="1" ht="15.75" customHeight="1">
      <c r="A58" s="247"/>
      <c r="B58" s="248" t="s">
        <v>243</v>
      </c>
      <c r="C58" s="249"/>
      <c r="D58" s="200"/>
      <c r="E58" s="266" t="s">
        <v>244</v>
      </c>
      <c r="F58" s="258"/>
      <c r="G58" s="268">
        <f>VLOOKUP($B58,[7]Sheet1!$E$303:$V$362,18,0)</f>
        <v>1.6306666666666667E-2</v>
      </c>
      <c r="H58" s="250"/>
      <c r="I58" s="193">
        <v>0</v>
      </c>
      <c r="J58" s="194">
        <v>0</v>
      </c>
      <c r="K58" s="195">
        <v>0</v>
      </c>
      <c r="L58" s="196">
        <f t="shared" si="29"/>
        <v>0</v>
      </c>
      <c r="M58" s="205">
        <f>VLOOKUP($E58,[3]Sheet1!$B$8:$AF$147,13,0)</f>
        <v>0</v>
      </c>
      <c r="N58" s="197">
        <f t="shared" si="53"/>
        <v>0</v>
      </c>
      <c r="O58" s="198">
        <f t="shared" si="42"/>
        <v>0</v>
      </c>
      <c r="P58" s="205">
        <f>VLOOKUP($E58,[3]Sheet1!$B$8:$AF$461,19,0)</f>
        <v>0</v>
      </c>
      <c r="Q58" s="195">
        <f t="shared" si="43"/>
        <v>0</v>
      </c>
      <c r="R58" s="199">
        <f t="shared" si="44"/>
        <v>0</v>
      </c>
      <c r="S58" s="205">
        <f>VLOOKUP($E58,[3]Sheet1!$B$8:$AF$461,25,0)</f>
        <v>0</v>
      </c>
      <c r="T58" s="197">
        <f t="shared" si="45"/>
        <v>0</v>
      </c>
      <c r="U58" s="198">
        <f t="shared" si="46"/>
        <v>0</v>
      </c>
      <c r="V58" s="205">
        <f>VLOOKUP($E58,[3]Sheet1!$B$8:$BF$461,31,0)</f>
        <v>0</v>
      </c>
      <c r="W58" s="195">
        <f t="shared" si="47"/>
        <v>0</v>
      </c>
      <c r="X58" s="199">
        <f t="shared" si="48"/>
        <v>0</v>
      </c>
      <c r="Y58" s="205">
        <f>VLOOKUP($E58,[3]Sheet1!$B$8:$BF$461,37,0)</f>
        <v>0</v>
      </c>
      <c r="Z58" s="197">
        <f t="shared" si="49"/>
        <v>0</v>
      </c>
      <c r="AA58" s="199">
        <f t="shared" si="50"/>
        <v>0</v>
      </c>
      <c r="AB58" s="205">
        <f t="shared" si="51"/>
        <v>0</v>
      </c>
      <c r="AC58" s="197">
        <f t="shared" si="52"/>
        <v>0</v>
      </c>
      <c r="AD58" s="263"/>
      <c r="AE58" s="134"/>
      <c r="AF58" s="206"/>
      <c r="AG58" s="252"/>
      <c r="AH58" s="252"/>
      <c r="AI58" s="252"/>
      <c r="AJ58" s="252"/>
      <c r="AK58" s="252"/>
      <c r="AM58" s="137"/>
      <c r="AN58" s="137"/>
      <c r="AO58" s="137"/>
      <c r="AP58" s="137"/>
      <c r="AQ58" s="137"/>
    </row>
    <row r="59" spans="1:45" s="135" customFormat="1" ht="15.75" customHeight="1">
      <c r="A59" s="247"/>
      <c r="B59" s="248" t="s">
        <v>245</v>
      </c>
      <c r="C59" s="249"/>
      <c r="D59" s="200"/>
      <c r="E59" s="266" t="s">
        <v>246</v>
      </c>
      <c r="F59" s="258"/>
      <c r="G59" s="243">
        <f>VLOOKUP($B59,[7]Sheet1!$E$303:$V$362,18,0)</f>
        <v>1.8749999999999999E-2</v>
      </c>
      <c r="H59" s="250"/>
      <c r="I59" s="193">
        <v>0</v>
      </c>
      <c r="J59" s="194">
        <v>0</v>
      </c>
      <c r="K59" s="195">
        <v>0</v>
      </c>
      <c r="L59" s="196">
        <f t="shared" si="29"/>
        <v>0</v>
      </c>
      <c r="M59" s="205">
        <f>VLOOKUP($E59,[3]Sheet1!$B$8:$AF$147,13,0)</f>
        <v>0</v>
      </c>
      <c r="N59" s="197">
        <f t="shared" si="53"/>
        <v>0</v>
      </c>
      <c r="O59" s="198">
        <f t="shared" si="42"/>
        <v>0</v>
      </c>
      <c r="P59" s="205">
        <f>VLOOKUP($E59,[3]Sheet1!$B$8:$AF$461,19,0)</f>
        <v>0</v>
      </c>
      <c r="Q59" s="195">
        <f t="shared" si="43"/>
        <v>0</v>
      </c>
      <c r="R59" s="199">
        <f t="shared" si="44"/>
        <v>0</v>
      </c>
      <c r="S59" s="205">
        <f>VLOOKUP($E59,[3]Sheet1!$B$8:$AF$461,25,0)</f>
        <v>0</v>
      </c>
      <c r="T59" s="197">
        <f t="shared" si="45"/>
        <v>0</v>
      </c>
      <c r="U59" s="198">
        <f t="shared" si="46"/>
        <v>0</v>
      </c>
      <c r="V59" s="205">
        <f>VLOOKUP($E59,[3]Sheet1!$B$8:$BF$461,31,0)</f>
        <v>0</v>
      </c>
      <c r="W59" s="195">
        <f t="shared" si="47"/>
        <v>0</v>
      </c>
      <c r="X59" s="199">
        <f t="shared" si="48"/>
        <v>0</v>
      </c>
      <c r="Y59" s="205">
        <f>VLOOKUP($E59,[3]Sheet1!$B$8:$BF$461,37,0)</f>
        <v>0</v>
      </c>
      <c r="Z59" s="197">
        <f t="shared" si="49"/>
        <v>0</v>
      </c>
      <c r="AA59" s="199">
        <f t="shared" si="50"/>
        <v>0</v>
      </c>
      <c r="AB59" s="205">
        <f t="shared" si="51"/>
        <v>0</v>
      </c>
      <c r="AC59" s="197">
        <f t="shared" si="52"/>
        <v>0</v>
      </c>
      <c r="AD59" s="263"/>
      <c r="AE59" s="134"/>
      <c r="AF59" s="206"/>
      <c r="AG59" s="252"/>
      <c r="AH59" s="252"/>
      <c r="AI59" s="252"/>
      <c r="AJ59" s="252"/>
      <c r="AK59" s="252"/>
      <c r="AM59" s="137"/>
      <c r="AN59" s="137"/>
      <c r="AO59" s="137"/>
      <c r="AP59" s="137"/>
      <c r="AQ59" s="137"/>
    </row>
    <row r="60" spans="1:45" s="135" customFormat="1" ht="15.75" customHeight="1">
      <c r="A60" s="247"/>
      <c r="B60" s="248" t="s">
        <v>247</v>
      </c>
      <c r="C60" s="249"/>
      <c r="D60" s="200"/>
      <c r="E60" s="266" t="s">
        <v>248</v>
      </c>
      <c r="F60" s="258"/>
      <c r="G60" s="243">
        <f>VLOOKUP($B60,'[2]UMH Monthly'!$E$4:$V$512,18,0)</f>
        <v>1.291E-2</v>
      </c>
      <c r="H60" s="250"/>
      <c r="I60" s="193">
        <v>0</v>
      </c>
      <c r="J60" s="194">
        <v>0</v>
      </c>
      <c r="K60" s="195">
        <v>0</v>
      </c>
      <c r="L60" s="196">
        <f t="shared" si="29"/>
        <v>0</v>
      </c>
      <c r="M60" s="205">
        <f>VLOOKUP($E60,[3]Sheet1!$B$8:$AF$147,13,0)</f>
        <v>0</v>
      </c>
      <c r="N60" s="197">
        <f t="shared" si="53"/>
        <v>0</v>
      </c>
      <c r="O60" s="198">
        <f t="shared" si="42"/>
        <v>0</v>
      </c>
      <c r="P60" s="205">
        <f>VLOOKUP($E60,[3]Sheet1!$B$8:$AF$461,19,0)</f>
        <v>0</v>
      </c>
      <c r="Q60" s="195">
        <f t="shared" si="43"/>
        <v>0</v>
      </c>
      <c r="R60" s="199">
        <f t="shared" si="44"/>
        <v>0</v>
      </c>
      <c r="S60" s="205">
        <f>VLOOKUP($E60,[3]Sheet1!$B$8:$AF$461,25,0)</f>
        <v>0</v>
      </c>
      <c r="T60" s="197">
        <f t="shared" si="45"/>
        <v>0</v>
      </c>
      <c r="U60" s="198">
        <f t="shared" si="46"/>
        <v>0</v>
      </c>
      <c r="V60" s="205">
        <f>VLOOKUP($E60,[3]Sheet1!$B$8:$BF$461,31,0)</f>
        <v>0</v>
      </c>
      <c r="W60" s="195">
        <f t="shared" si="47"/>
        <v>0</v>
      </c>
      <c r="X60" s="199">
        <f t="shared" si="48"/>
        <v>0</v>
      </c>
      <c r="Y60" s="205">
        <f>VLOOKUP($E60,[3]Sheet1!$B$8:$BF$461,37,0)</f>
        <v>0</v>
      </c>
      <c r="Z60" s="197">
        <f t="shared" si="49"/>
        <v>0</v>
      </c>
      <c r="AA60" s="199">
        <f t="shared" si="50"/>
        <v>0</v>
      </c>
      <c r="AB60" s="205">
        <f t="shared" si="51"/>
        <v>0</v>
      </c>
      <c r="AC60" s="197">
        <f t="shared" si="52"/>
        <v>0</v>
      </c>
      <c r="AD60" s="263"/>
      <c r="AE60" s="134"/>
      <c r="AF60" s="206"/>
      <c r="AG60" s="252"/>
      <c r="AH60" s="252"/>
      <c r="AI60" s="252"/>
      <c r="AJ60" s="252"/>
      <c r="AK60" s="252"/>
      <c r="AM60" s="137"/>
      <c r="AN60" s="137"/>
      <c r="AO60" s="137"/>
      <c r="AP60" s="137"/>
      <c r="AQ60" s="137"/>
    </row>
    <row r="61" spans="1:45" s="135" customFormat="1" ht="15.75" customHeight="1">
      <c r="A61" s="247"/>
      <c r="B61" s="248" t="s">
        <v>249</v>
      </c>
      <c r="C61" s="249"/>
      <c r="D61" s="200"/>
      <c r="E61" s="266" t="s">
        <v>250</v>
      </c>
      <c r="F61" s="258"/>
      <c r="G61" s="243">
        <f>VLOOKUP($B61,'[2]UMH Monthly'!$E$4:$V$512,18,0)</f>
        <v>1.3510000000000001E-2</v>
      </c>
      <c r="H61" s="250"/>
      <c r="I61" s="193">
        <v>0</v>
      </c>
      <c r="J61" s="194">
        <v>0</v>
      </c>
      <c r="K61" s="195">
        <v>0</v>
      </c>
      <c r="L61" s="196">
        <f>I61+K61-J61</f>
        <v>0</v>
      </c>
      <c r="M61" s="205">
        <f>VLOOKUP($E61,[3]Sheet1!$B$8:$AF$147,13,0)</f>
        <v>0</v>
      </c>
      <c r="N61" s="197">
        <f t="shared" si="53"/>
        <v>0</v>
      </c>
      <c r="O61" s="198">
        <f t="shared" si="42"/>
        <v>0</v>
      </c>
      <c r="P61" s="205">
        <f>VLOOKUP($E61,[3]Sheet1!$B$8:$AF$461,19,0)</f>
        <v>0</v>
      </c>
      <c r="Q61" s="195">
        <f t="shared" si="43"/>
        <v>0</v>
      </c>
      <c r="R61" s="199">
        <f t="shared" si="44"/>
        <v>0</v>
      </c>
      <c r="S61" s="205">
        <f>VLOOKUP($E61,[3]Sheet1!$B$8:$AF$461,25,0)</f>
        <v>0</v>
      </c>
      <c r="T61" s="197">
        <f t="shared" si="45"/>
        <v>0</v>
      </c>
      <c r="U61" s="198">
        <f t="shared" si="46"/>
        <v>0</v>
      </c>
      <c r="V61" s="205">
        <f>VLOOKUP($E61,[3]Sheet1!$B$8:$BF$461,31,0)</f>
        <v>0</v>
      </c>
      <c r="W61" s="195">
        <f t="shared" si="47"/>
        <v>0</v>
      </c>
      <c r="X61" s="199">
        <f t="shared" si="48"/>
        <v>0</v>
      </c>
      <c r="Y61" s="205">
        <f>VLOOKUP($E61,[3]Sheet1!$B$8:$BF$461,37,0)</f>
        <v>0</v>
      </c>
      <c r="Z61" s="197">
        <f t="shared" si="49"/>
        <v>0</v>
      </c>
      <c r="AA61" s="199">
        <f t="shared" si="50"/>
        <v>0</v>
      </c>
      <c r="AB61" s="205">
        <f t="shared" si="51"/>
        <v>0</v>
      </c>
      <c r="AC61" s="197">
        <f t="shared" si="52"/>
        <v>0</v>
      </c>
      <c r="AD61" s="263"/>
      <c r="AE61" s="134"/>
      <c r="AF61" s="206"/>
      <c r="AG61" s="252"/>
      <c r="AH61" s="252"/>
      <c r="AI61" s="252"/>
      <c r="AJ61" s="252"/>
      <c r="AK61" s="252"/>
      <c r="AM61" s="137"/>
      <c r="AN61" s="137"/>
      <c r="AO61" s="137"/>
      <c r="AP61" s="137"/>
      <c r="AQ61" s="137"/>
    </row>
    <row r="62" spans="1:45" s="135" customFormat="1" ht="15.75" customHeight="1">
      <c r="A62" s="247"/>
      <c r="B62" s="248" t="s">
        <v>251</v>
      </c>
      <c r="C62" s="249"/>
      <c r="D62" s="200"/>
      <c r="E62" s="266" t="s">
        <v>252</v>
      </c>
      <c r="F62" s="258"/>
      <c r="G62" s="243">
        <f>VLOOKUP($B62,'[2]UMH Monthly'!$E$4:$V$512,18,0)</f>
        <v>1.1786666666666668E-2</v>
      </c>
      <c r="H62" s="250"/>
      <c r="I62" s="193">
        <v>0</v>
      </c>
      <c r="J62" s="194">
        <v>4440</v>
      </c>
      <c r="K62" s="195">
        <v>4440</v>
      </c>
      <c r="L62" s="196">
        <f>I62+K62-J62</f>
        <v>0</v>
      </c>
      <c r="M62" s="205">
        <f>VLOOKUP($E62,[3]Sheet1!$B$8:$AF$147,13,0)</f>
        <v>2160</v>
      </c>
      <c r="N62" s="197">
        <f t="shared" si="53"/>
        <v>2160</v>
      </c>
      <c r="O62" s="198">
        <f t="shared" si="42"/>
        <v>0</v>
      </c>
      <c r="P62" s="205">
        <f>VLOOKUP($E62,[3]Sheet1!$B$8:$AF$461,19,0)</f>
        <v>0</v>
      </c>
      <c r="Q62" s="195">
        <f t="shared" si="43"/>
        <v>0</v>
      </c>
      <c r="R62" s="199">
        <f t="shared" si="44"/>
        <v>0</v>
      </c>
      <c r="S62" s="205">
        <f>VLOOKUP($E62,[3]Sheet1!$B$8:$AF$461,25,0)</f>
        <v>360</v>
      </c>
      <c r="T62" s="197">
        <f t="shared" si="45"/>
        <v>360</v>
      </c>
      <c r="U62" s="198">
        <f t="shared" si="46"/>
        <v>0</v>
      </c>
      <c r="V62" s="205">
        <f>VLOOKUP($E62,[3]Sheet1!$B$8:$BF$461,31,0)</f>
        <v>360</v>
      </c>
      <c r="W62" s="195">
        <f t="shared" si="47"/>
        <v>360</v>
      </c>
      <c r="X62" s="199">
        <f t="shared" si="48"/>
        <v>0</v>
      </c>
      <c r="Y62" s="205">
        <f>VLOOKUP($E62,[3]Sheet1!$B$8:$BF$461,37,0)</f>
        <v>360</v>
      </c>
      <c r="Z62" s="197">
        <f t="shared" si="49"/>
        <v>360</v>
      </c>
      <c r="AA62" s="199">
        <f t="shared" si="50"/>
        <v>0</v>
      </c>
      <c r="AB62" s="205">
        <f t="shared" si="51"/>
        <v>360</v>
      </c>
      <c r="AC62" s="197">
        <f t="shared" si="52"/>
        <v>360</v>
      </c>
      <c r="AD62" s="263"/>
      <c r="AE62" s="134"/>
      <c r="AF62" s="206"/>
      <c r="AG62" s="252"/>
      <c r="AH62" s="252"/>
      <c r="AI62" s="252"/>
      <c r="AJ62" s="252"/>
      <c r="AK62" s="252"/>
      <c r="AM62" s="137"/>
      <c r="AN62" s="137"/>
      <c r="AO62" s="137"/>
      <c r="AP62" s="137"/>
      <c r="AQ62" s="137"/>
    </row>
    <row r="63" spans="1:45" s="135" customFormat="1" ht="15.75" customHeight="1">
      <c r="A63" s="247"/>
      <c r="B63" s="248" t="s">
        <v>253</v>
      </c>
      <c r="C63" s="249"/>
      <c r="D63" s="200"/>
      <c r="E63" s="266" t="s">
        <v>254</v>
      </c>
      <c r="F63" s="258"/>
      <c r="G63" s="243">
        <f>VLOOKUP($B63,'[2]UMH Monthly'!$E$4:$V$512,18,0)</f>
        <v>1.1863333333333333E-2</v>
      </c>
      <c r="H63" s="250"/>
      <c r="I63" s="193">
        <v>0</v>
      </c>
      <c r="J63" s="194">
        <v>13440</v>
      </c>
      <c r="K63" s="195">
        <v>13440</v>
      </c>
      <c r="L63" s="196">
        <f>I63+K63-J63</f>
        <v>0</v>
      </c>
      <c r="M63" s="205">
        <f>VLOOKUP($E63,[3]Sheet1!$B$8:$AF$147,13,0)</f>
        <v>10980</v>
      </c>
      <c r="N63" s="197">
        <f t="shared" si="53"/>
        <v>10980</v>
      </c>
      <c r="O63" s="198">
        <f t="shared" si="42"/>
        <v>0</v>
      </c>
      <c r="P63" s="205">
        <f>VLOOKUP($E63,[3]Sheet1!$B$8:$AF$461,19,0)</f>
        <v>10260</v>
      </c>
      <c r="Q63" s="195">
        <f t="shared" si="43"/>
        <v>10260</v>
      </c>
      <c r="R63" s="199">
        <f t="shared" si="44"/>
        <v>0</v>
      </c>
      <c r="S63" s="205">
        <f>VLOOKUP($E63,[3]Sheet1!$B$8:$AF$461,25,0)</f>
        <v>8340</v>
      </c>
      <c r="T63" s="197">
        <f t="shared" si="45"/>
        <v>8340</v>
      </c>
      <c r="U63" s="198">
        <f t="shared" si="46"/>
        <v>0</v>
      </c>
      <c r="V63" s="205">
        <f>VLOOKUP($E63,[3]Sheet1!$B$8:$BF$461,31,0)</f>
        <v>10260</v>
      </c>
      <c r="W63" s="195">
        <f t="shared" si="47"/>
        <v>10260</v>
      </c>
      <c r="X63" s="199">
        <f t="shared" si="48"/>
        <v>0</v>
      </c>
      <c r="Y63" s="205">
        <f>VLOOKUP($E63,[3]Sheet1!$B$8:$BF$461,37,0)</f>
        <v>11580</v>
      </c>
      <c r="Z63" s="197">
        <f t="shared" si="49"/>
        <v>11580</v>
      </c>
      <c r="AA63" s="199">
        <f t="shared" si="50"/>
        <v>0</v>
      </c>
      <c r="AB63" s="205">
        <f t="shared" si="51"/>
        <v>11580</v>
      </c>
      <c r="AC63" s="197">
        <f t="shared" si="52"/>
        <v>11580</v>
      </c>
      <c r="AD63" s="263"/>
      <c r="AE63" s="134"/>
      <c r="AF63" s="206"/>
      <c r="AG63" s="252"/>
      <c r="AH63" s="252"/>
      <c r="AI63" s="252"/>
      <c r="AJ63" s="252"/>
      <c r="AK63" s="252"/>
      <c r="AM63" s="137"/>
      <c r="AN63" s="137"/>
      <c r="AO63" s="137"/>
      <c r="AP63" s="137"/>
      <c r="AQ63" s="137"/>
    </row>
    <row r="64" spans="1:45" s="135" customFormat="1" ht="15.75" customHeight="1">
      <c r="A64" s="247"/>
      <c r="B64" s="248" t="s">
        <v>255</v>
      </c>
      <c r="C64" s="249"/>
      <c r="D64" s="200"/>
      <c r="E64" s="266" t="s">
        <v>256</v>
      </c>
      <c r="F64" s="258"/>
      <c r="G64" s="243">
        <v>0</v>
      </c>
      <c r="H64" s="250"/>
      <c r="I64" s="193">
        <v>0</v>
      </c>
      <c r="J64" s="194">
        <v>0</v>
      </c>
      <c r="K64" s="195">
        <v>0</v>
      </c>
      <c r="L64" s="196">
        <f>I64+K64-J64</f>
        <v>0</v>
      </c>
      <c r="M64" s="205">
        <f>VLOOKUP($E64,[3]Sheet1!$B$8:$AF$147,13,0)</f>
        <v>0</v>
      </c>
      <c r="N64" s="197">
        <f t="shared" si="53"/>
        <v>0</v>
      </c>
      <c r="O64" s="198">
        <f t="shared" si="42"/>
        <v>0</v>
      </c>
      <c r="P64" s="205">
        <f>VLOOKUP($E64,[3]Sheet1!$B$8:$AF$461,19,0)</f>
        <v>0</v>
      </c>
      <c r="Q64" s="195">
        <f t="shared" si="43"/>
        <v>0</v>
      </c>
      <c r="R64" s="199">
        <f t="shared" si="44"/>
        <v>0</v>
      </c>
      <c r="S64" s="205">
        <f>VLOOKUP($E64,[3]Sheet1!$B$8:$AF$461,25,0)</f>
        <v>0</v>
      </c>
      <c r="T64" s="197">
        <f t="shared" si="45"/>
        <v>0</v>
      </c>
      <c r="U64" s="198">
        <f t="shared" si="46"/>
        <v>0</v>
      </c>
      <c r="V64" s="205">
        <f>VLOOKUP($E64,[3]Sheet1!$B$8:$BF$461,31,0)</f>
        <v>0</v>
      </c>
      <c r="W64" s="195">
        <f t="shared" si="47"/>
        <v>0</v>
      </c>
      <c r="X64" s="199">
        <f t="shared" si="48"/>
        <v>0</v>
      </c>
      <c r="Y64" s="205">
        <f>VLOOKUP($E64,[3]Sheet1!$B$8:$BF$461,37,0)</f>
        <v>0</v>
      </c>
      <c r="Z64" s="197">
        <f t="shared" si="49"/>
        <v>0</v>
      </c>
      <c r="AA64" s="199">
        <f t="shared" si="50"/>
        <v>0</v>
      </c>
      <c r="AB64" s="205">
        <f t="shared" si="51"/>
        <v>0</v>
      </c>
      <c r="AC64" s="197">
        <f t="shared" si="52"/>
        <v>0</v>
      </c>
      <c r="AD64" s="263"/>
      <c r="AE64" s="134"/>
      <c r="AF64" s="206"/>
      <c r="AG64" s="252"/>
      <c r="AH64" s="252"/>
      <c r="AI64" s="252"/>
      <c r="AJ64" s="252"/>
      <c r="AK64" s="252"/>
      <c r="AM64" s="137"/>
      <c r="AN64" s="137"/>
      <c r="AO64" s="137"/>
      <c r="AP64" s="137"/>
      <c r="AQ64" s="137"/>
    </row>
    <row r="65" spans="1:43" s="135" customFormat="1" ht="15.75" customHeight="1">
      <c r="A65" s="247"/>
      <c r="B65" s="248" t="s">
        <v>257</v>
      </c>
      <c r="C65" s="249"/>
      <c r="D65" s="200"/>
      <c r="E65" s="266" t="s">
        <v>258</v>
      </c>
      <c r="F65" s="258"/>
      <c r="G65" s="243">
        <v>0</v>
      </c>
      <c r="H65" s="250"/>
      <c r="I65" s="193">
        <v>0</v>
      </c>
      <c r="J65" s="194">
        <v>0</v>
      </c>
      <c r="K65" s="195">
        <v>0</v>
      </c>
      <c r="L65" s="196">
        <f t="shared" si="29"/>
        <v>0</v>
      </c>
      <c r="M65" s="205">
        <f>VLOOKUP($E65,[3]Sheet1!$B$8:$AF$147,13,0)</f>
        <v>0</v>
      </c>
      <c r="N65" s="197">
        <f t="shared" si="53"/>
        <v>0</v>
      </c>
      <c r="O65" s="198">
        <f t="shared" si="42"/>
        <v>0</v>
      </c>
      <c r="P65" s="205">
        <f>VLOOKUP($E65,[3]Sheet1!$B$8:$AF$461,19,0)</f>
        <v>0</v>
      </c>
      <c r="Q65" s="195">
        <f t="shared" si="43"/>
        <v>0</v>
      </c>
      <c r="R65" s="199">
        <f t="shared" si="44"/>
        <v>0</v>
      </c>
      <c r="S65" s="205">
        <f>VLOOKUP($E65,[3]Sheet1!$B$8:$AF$461,25,0)</f>
        <v>0</v>
      </c>
      <c r="T65" s="197">
        <f t="shared" si="45"/>
        <v>0</v>
      </c>
      <c r="U65" s="198">
        <f t="shared" si="46"/>
        <v>0</v>
      </c>
      <c r="V65" s="205">
        <f>VLOOKUP($E65,[3]Sheet1!$B$8:$BF$461,31,0)</f>
        <v>0</v>
      </c>
      <c r="W65" s="195">
        <f t="shared" si="47"/>
        <v>0</v>
      </c>
      <c r="X65" s="199">
        <f t="shared" si="48"/>
        <v>0</v>
      </c>
      <c r="Y65" s="205">
        <f>VLOOKUP($E65,[3]Sheet1!$B$8:$BF$461,37,0)</f>
        <v>0</v>
      </c>
      <c r="Z65" s="197">
        <f t="shared" si="49"/>
        <v>0</v>
      </c>
      <c r="AA65" s="199">
        <f t="shared" si="50"/>
        <v>0</v>
      </c>
      <c r="AB65" s="205">
        <f t="shared" si="51"/>
        <v>0</v>
      </c>
      <c r="AC65" s="197">
        <f t="shared" si="52"/>
        <v>0</v>
      </c>
      <c r="AD65" s="263"/>
      <c r="AE65" s="134"/>
      <c r="AF65" s="206"/>
      <c r="AG65" s="252"/>
      <c r="AH65" s="252"/>
      <c r="AI65" s="252"/>
      <c r="AJ65" s="252"/>
      <c r="AK65" s="252"/>
      <c r="AM65" s="137"/>
      <c r="AN65" s="137"/>
      <c r="AO65" s="137"/>
      <c r="AP65" s="137"/>
      <c r="AQ65" s="137"/>
    </row>
    <row r="66" spans="1:43" s="135" customFormat="1" ht="15.75" customHeight="1">
      <c r="A66" s="247"/>
      <c r="B66" s="248" t="s">
        <v>259</v>
      </c>
      <c r="C66" s="249"/>
      <c r="D66" s="200"/>
      <c r="E66" s="266" t="s">
        <v>260</v>
      </c>
      <c r="F66" s="258"/>
      <c r="G66" s="243">
        <v>0</v>
      </c>
      <c r="H66" s="250"/>
      <c r="I66" s="193">
        <v>0</v>
      </c>
      <c r="J66" s="194">
        <v>0</v>
      </c>
      <c r="K66" s="195">
        <v>0</v>
      </c>
      <c r="L66" s="196">
        <f t="shared" si="29"/>
        <v>0</v>
      </c>
      <c r="M66" s="205">
        <f>VLOOKUP($E66,[3]Sheet1!$B$8:$AF$147,13,0)</f>
        <v>0</v>
      </c>
      <c r="N66" s="197">
        <f t="shared" si="53"/>
        <v>0</v>
      </c>
      <c r="O66" s="198">
        <f t="shared" si="42"/>
        <v>0</v>
      </c>
      <c r="P66" s="205">
        <f>VLOOKUP($E66,[3]Sheet1!$B$8:$AF$461,19,0)</f>
        <v>0</v>
      </c>
      <c r="Q66" s="195">
        <f t="shared" si="43"/>
        <v>0</v>
      </c>
      <c r="R66" s="199">
        <f t="shared" si="44"/>
        <v>0</v>
      </c>
      <c r="S66" s="205">
        <f>VLOOKUP($E66,[3]Sheet1!$B$8:$AF$461,25,0)</f>
        <v>0</v>
      </c>
      <c r="T66" s="197">
        <f t="shared" si="45"/>
        <v>0</v>
      </c>
      <c r="U66" s="198">
        <f t="shared" si="46"/>
        <v>0</v>
      </c>
      <c r="V66" s="205">
        <f>VLOOKUP($E66,[3]Sheet1!$B$8:$BF$461,31,0)</f>
        <v>0</v>
      </c>
      <c r="W66" s="195">
        <f t="shared" si="47"/>
        <v>0</v>
      </c>
      <c r="X66" s="199">
        <f t="shared" si="48"/>
        <v>0</v>
      </c>
      <c r="Y66" s="205">
        <f>VLOOKUP($E66,[3]Sheet1!$B$8:$BF$461,37,0)</f>
        <v>0</v>
      </c>
      <c r="Z66" s="197">
        <f t="shared" si="49"/>
        <v>0</v>
      </c>
      <c r="AA66" s="199">
        <f t="shared" si="50"/>
        <v>0</v>
      </c>
      <c r="AB66" s="205">
        <f t="shared" si="51"/>
        <v>0</v>
      </c>
      <c r="AC66" s="197">
        <f t="shared" si="52"/>
        <v>0</v>
      </c>
      <c r="AD66" s="263"/>
      <c r="AE66" s="134"/>
      <c r="AF66" s="206"/>
      <c r="AG66" s="252"/>
      <c r="AH66" s="252"/>
      <c r="AI66" s="252"/>
      <c r="AJ66" s="252"/>
      <c r="AK66" s="252"/>
      <c r="AM66" s="137"/>
      <c r="AN66" s="137"/>
      <c r="AO66" s="137"/>
      <c r="AP66" s="137"/>
      <c r="AQ66" s="137"/>
    </row>
    <row r="67" spans="1:43" s="135" customFormat="1" ht="15.75" customHeight="1">
      <c r="A67" s="247"/>
      <c r="B67" s="248" t="s">
        <v>261</v>
      </c>
      <c r="C67" s="249"/>
      <c r="D67" s="200"/>
      <c r="E67" s="266" t="s">
        <v>262</v>
      </c>
      <c r="F67" s="258"/>
      <c r="G67" s="243">
        <f>VLOOKUP($B67,'[2]UMH Monthly'!$E$4:$V$512,18,0)</f>
        <v>1.2346666666666667E-2</v>
      </c>
      <c r="H67" s="250"/>
      <c r="I67" s="193">
        <v>0</v>
      </c>
      <c r="J67" s="194">
        <v>0</v>
      </c>
      <c r="K67" s="195">
        <v>0</v>
      </c>
      <c r="L67" s="196">
        <f t="shared" si="29"/>
        <v>0</v>
      </c>
      <c r="M67" s="205">
        <f>VLOOKUP($E67,[3]Sheet1!$B$8:$AF$147,13,0)</f>
        <v>0</v>
      </c>
      <c r="N67" s="197">
        <f t="shared" si="53"/>
        <v>0</v>
      </c>
      <c r="O67" s="198">
        <f t="shared" si="42"/>
        <v>0</v>
      </c>
      <c r="P67" s="205">
        <f>VLOOKUP($E67,[3]Sheet1!$B$8:$AF$461,19,0)</f>
        <v>0</v>
      </c>
      <c r="Q67" s="195">
        <f t="shared" si="43"/>
        <v>0</v>
      </c>
      <c r="R67" s="199">
        <f t="shared" si="44"/>
        <v>0</v>
      </c>
      <c r="S67" s="205">
        <f>VLOOKUP($E67,[3]Sheet1!$B$8:$AF$461,25,0)</f>
        <v>0</v>
      </c>
      <c r="T67" s="197">
        <f t="shared" si="45"/>
        <v>0</v>
      </c>
      <c r="U67" s="198">
        <f t="shared" si="46"/>
        <v>0</v>
      </c>
      <c r="V67" s="205">
        <f>VLOOKUP($E67,[3]Sheet1!$B$8:$BF$461,31,0)</f>
        <v>0</v>
      </c>
      <c r="W67" s="195">
        <f t="shared" si="47"/>
        <v>0</v>
      </c>
      <c r="X67" s="199">
        <f t="shared" si="48"/>
        <v>0</v>
      </c>
      <c r="Y67" s="205">
        <f>VLOOKUP($E67,[3]Sheet1!$B$8:$BF$461,37,0)</f>
        <v>0</v>
      </c>
      <c r="Z67" s="197">
        <f t="shared" si="49"/>
        <v>0</v>
      </c>
      <c r="AA67" s="199">
        <f t="shared" si="50"/>
        <v>0</v>
      </c>
      <c r="AB67" s="205">
        <f t="shared" si="51"/>
        <v>0</v>
      </c>
      <c r="AC67" s="197">
        <f t="shared" si="52"/>
        <v>0</v>
      </c>
      <c r="AD67" s="263"/>
      <c r="AE67" s="134"/>
      <c r="AF67" s="206"/>
      <c r="AG67" s="252"/>
      <c r="AH67" s="252"/>
      <c r="AI67" s="252"/>
      <c r="AJ67" s="252"/>
      <c r="AK67" s="252"/>
      <c r="AM67" s="137"/>
      <c r="AN67" s="137"/>
      <c r="AO67" s="137"/>
      <c r="AP67" s="137"/>
      <c r="AQ67" s="137"/>
    </row>
    <row r="68" spans="1:43" s="135" customFormat="1" ht="15.75" customHeight="1">
      <c r="A68" s="247"/>
      <c r="B68" s="248" t="s">
        <v>263</v>
      </c>
      <c r="C68" s="249"/>
      <c r="D68" s="200"/>
      <c r="E68" s="266" t="s">
        <v>264</v>
      </c>
      <c r="F68" s="258"/>
      <c r="G68" s="243">
        <v>0</v>
      </c>
      <c r="H68" s="250"/>
      <c r="I68" s="193">
        <v>0</v>
      </c>
      <c r="J68" s="194">
        <v>0</v>
      </c>
      <c r="K68" s="195">
        <v>0</v>
      </c>
      <c r="L68" s="196">
        <f t="shared" si="29"/>
        <v>0</v>
      </c>
      <c r="M68" s="205">
        <f>VLOOKUP($E68,[3]Sheet1!$B$8:$AF$147,13,0)</f>
        <v>0</v>
      </c>
      <c r="N68" s="197">
        <f t="shared" si="53"/>
        <v>0</v>
      </c>
      <c r="O68" s="198">
        <f t="shared" si="42"/>
        <v>0</v>
      </c>
      <c r="P68" s="205">
        <f>VLOOKUP($E68,[3]Sheet1!$B$8:$AF$461,19,0)</f>
        <v>0</v>
      </c>
      <c r="Q68" s="195">
        <f t="shared" si="43"/>
        <v>0</v>
      </c>
      <c r="R68" s="199">
        <f t="shared" si="44"/>
        <v>0</v>
      </c>
      <c r="S68" s="205">
        <f>VLOOKUP($E68,[3]Sheet1!$B$8:$AF$461,25,0)</f>
        <v>0</v>
      </c>
      <c r="T68" s="197">
        <f t="shared" si="45"/>
        <v>0</v>
      </c>
      <c r="U68" s="198">
        <f t="shared" si="46"/>
        <v>0</v>
      </c>
      <c r="V68" s="205">
        <f>VLOOKUP($E68,[3]Sheet1!$B$8:$BF$461,31,0)</f>
        <v>0</v>
      </c>
      <c r="W68" s="195">
        <f t="shared" si="47"/>
        <v>0</v>
      </c>
      <c r="X68" s="199">
        <f t="shared" si="48"/>
        <v>0</v>
      </c>
      <c r="Y68" s="205">
        <f>VLOOKUP($E68,[3]Sheet1!$B$8:$BF$461,37,0)</f>
        <v>0</v>
      </c>
      <c r="Z68" s="197">
        <f t="shared" si="49"/>
        <v>0</v>
      </c>
      <c r="AA68" s="199">
        <f t="shared" si="50"/>
        <v>0</v>
      </c>
      <c r="AB68" s="205">
        <f t="shared" si="51"/>
        <v>0</v>
      </c>
      <c r="AC68" s="197">
        <f t="shared" si="52"/>
        <v>0</v>
      </c>
      <c r="AD68" s="263"/>
      <c r="AE68" s="134"/>
      <c r="AF68" s="206"/>
      <c r="AG68" s="252"/>
      <c r="AH68" s="252"/>
      <c r="AI68" s="252"/>
      <c r="AJ68" s="252"/>
      <c r="AK68" s="252"/>
      <c r="AM68" s="137"/>
      <c r="AN68" s="137"/>
      <c r="AO68" s="137"/>
      <c r="AP68" s="137"/>
      <c r="AQ68" s="137"/>
    </row>
    <row r="69" spans="1:43" s="135" customFormat="1" ht="15.75" customHeight="1">
      <c r="A69" s="247"/>
      <c r="B69" s="248" t="s">
        <v>265</v>
      </c>
      <c r="C69" s="249"/>
      <c r="D69" s="200"/>
      <c r="E69" s="266" t="s">
        <v>266</v>
      </c>
      <c r="F69" s="258"/>
      <c r="G69" s="243">
        <f>VLOOKUP($B69,'[2]UMH Monthly'!$E$4:$V$512,18,0)</f>
        <v>1.2345E-2</v>
      </c>
      <c r="H69" s="250"/>
      <c r="I69" s="193">
        <v>0</v>
      </c>
      <c r="J69" s="194">
        <v>0</v>
      </c>
      <c r="K69" s="195">
        <v>0</v>
      </c>
      <c r="L69" s="196">
        <f t="shared" si="29"/>
        <v>0</v>
      </c>
      <c r="M69" s="205">
        <f>VLOOKUP($E69,[3]Sheet1!$B$8:$AF$147,13,0)</f>
        <v>0</v>
      </c>
      <c r="N69" s="197">
        <f t="shared" si="53"/>
        <v>0</v>
      </c>
      <c r="O69" s="198">
        <f t="shared" si="42"/>
        <v>0</v>
      </c>
      <c r="P69" s="205">
        <f>VLOOKUP($E69,[3]Sheet1!$B$8:$AF$461,19,0)</f>
        <v>0</v>
      </c>
      <c r="Q69" s="195">
        <f t="shared" si="43"/>
        <v>0</v>
      </c>
      <c r="R69" s="199">
        <f t="shared" si="44"/>
        <v>0</v>
      </c>
      <c r="S69" s="205">
        <f>VLOOKUP($E69,[3]Sheet1!$B$8:$AF$461,25,0)</f>
        <v>0</v>
      </c>
      <c r="T69" s="197">
        <f t="shared" si="45"/>
        <v>0</v>
      </c>
      <c r="U69" s="198">
        <f t="shared" si="46"/>
        <v>0</v>
      </c>
      <c r="V69" s="205">
        <f>VLOOKUP($E69,[3]Sheet1!$B$8:$BF$461,31,0)</f>
        <v>0</v>
      </c>
      <c r="W69" s="195">
        <f t="shared" si="47"/>
        <v>0</v>
      </c>
      <c r="X69" s="199">
        <f t="shared" si="48"/>
        <v>0</v>
      </c>
      <c r="Y69" s="205">
        <f>VLOOKUP($E69,[3]Sheet1!$B$8:$BF$461,37,0)</f>
        <v>0</v>
      </c>
      <c r="Z69" s="197">
        <f t="shared" si="49"/>
        <v>0</v>
      </c>
      <c r="AA69" s="199">
        <f t="shared" si="50"/>
        <v>0</v>
      </c>
      <c r="AB69" s="205">
        <f t="shared" si="51"/>
        <v>0</v>
      </c>
      <c r="AC69" s="197">
        <f t="shared" si="52"/>
        <v>0</v>
      </c>
      <c r="AD69" s="263"/>
      <c r="AE69" s="134"/>
      <c r="AF69" s="206"/>
      <c r="AG69" s="252"/>
      <c r="AH69" s="252"/>
      <c r="AI69" s="252"/>
      <c r="AJ69" s="252"/>
      <c r="AK69" s="252"/>
      <c r="AM69" s="137"/>
      <c r="AN69" s="137"/>
      <c r="AO69" s="137"/>
      <c r="AP69" s="137"/>
      <c r="AQ69" s="137"/>
    </row>
    <row r="70" spans="1:43" s="135" customFormat="1" ht="15.75" customHeight="1">
      <c r="A70" s="247"/>
      <c r="B70" s="248" t="s">
        <v>267</v>
      </c>
      <c r="C70" s="249"/>
      <c r="D70" s="200"/>
      <c r="E70" s="266" t="s">
        <v>268</v>
      </c>
      <c r="F70" s="258"/>
      <c r="G70" s="243">
        <f>VLOOKUP($B70,'[2]UMH Monthly'!$E$4:$V$512,18,0)</f>
        <v>1.3930000000000001E-2</v>
      </c>
      <c r="H70" s="250"/>
      <c r="I70" s="193">
        <v>0</v>
      </c>
      <c r="J70" s="194">
        <v>0</v>
      </c>
      <c r="K70" s="195">
        <v>0</v>
      </c>
      <c r="L70" s="196">
        <f t="shared" si="29"/>
        <v>0</v>
      </c>
      <c r="M70" s="205">
        <f>VLOOKUP($E70,[3]Sheet1!$B$8:$AF$147,13,0)</f>
        <v>0</v>
      </c>
      <c r="N70" s="197">
        <f t="shared" si="53"/>
        <v>0</v>
      </c>
      <c r="O70" s="198">
        <f t="shared" si="42"/>
        <v>0</v>
      </c>
      <c r="P70" s="205">
        <f>VLOOKUP($E70,[3]Sheet1!$B$8:$AF$461,19,0)</f>
        <v>0</v>
      </c>
      <c r="Q70" s="195">
        <f t="shared" si="43"/>
        <v>0</v>
      </c>
      <c r="R70" s="199">
        <f t="shared" si="44"/>
        <v>0</v>
      </c>
      <c r="S70" s="205">
        <f>VLOOKUP($E70,[3]Sheet1!$B$8:$AF$461,25,0)</f>
        <v>0</v>
      </c>
      <c r="T70" s="197">
        <f t="shared" si="45"/>
        <v>0</v>
      </c>
      <c r="U70" s="198">
        <f t="shared" si="46"/>
        <v>0</v>
      </c>
      <c r="V70" s="205">
        <f>VLOOKUP($E70,[3]Sheet1!$B$8:$BF$461,31,0)</f>
        <v>0</v>
      </c>
      <c r="W70" s="195">
        <f t="shared" si="47"/>
        <v>0</v>
      </c>
      <c r="X70" s="199">
        <f t="shared" si="48"/>
        <v>0</v>
      </c>
      <c r="Y70" s="205">
        <f>VLOOKUP($E70,[3]Sheet1!$B$8:$BF$461,37,0)</f>
        <v>0</v>
      </c>
      <c r="Z70" s="197">
        <f t="shared" si="49"/>
        <v>0</v>
      </c>
      <c r="AA70" s="199">
        <f t="shared" si="50"/>
        <v>0</v>
      </c>
      <c r="AB70" s="205">
        <f t="shared" si="51"/>
        <v>0</v>
      </c>
      <c r="AC70" s="197">
        <f t="shared" si="52"/>
        <v>0</v>
      </c>
      <c r="AD70" s="263"/>
      <c r="AE70" s="134"/>
      <c r="AF70" s="206"/>
      <c r="AG70" s="252"/>
      <c r="AH70" s="252"/>
      <c r="AI70" s="252"/>
      <c r="AJ70" s="252"/>
      <c r="AK70" s="252"/>
      <c r="AM70" s="137"/>
      <c r="AN70" s="137"/>
      <c r="AO70" s="137"/>
      <c r="AP70" s="137"/>
      <c r="AQ70" s="137"/>
    </row>
    <row r="71" spans="1:43" s="135" customFormat="1" ht="15.75" customHeight="1">
      <c r="A71" s="247"/>
      <c r="B71" s="248" t="s">
        <v>269</v>
      </c>
      <c r="C71" s="249"/>
      <c r="D71" s="200"/>
      <c r="E71" s="266" t="s">
        <v>270</v>
      </c>
      <c r="F71" s="258"/>
      <c r="G71" s="243">
        <f>VLOOKUP($B71,'[2]UMH Monthly'!$E$4:$V$512,18,0)</f>
        <v>1.3655E-2</v>
      </c>
      <c r="H71" s="250"/>
      <c r="I71" s="193">
        <v>0</v>
      </c>
      <c r="J71" s="194">
        <v>0</v>
      </c>
      <c r="K71" s="195">
        <v>0</v>
      </c>
      <c r="L71" s="196">
        <f t="shared" si="29"/>
        <v>0</v>
      </c>
      <c r="M71" s="205">
        <f>VLOOKUP($E71,[3]Sheet1!$B$8:$AF$147,13,0)</f>
        <v>0</v>
      </c>
      <c r="N71" s="197">
        <f t="shared" si="53"/>
        <v>0</v>
      </c>
      <c r="O71" s="198">
        <f t="shared" si="42"/>
        <v>0</v>
      </c>
      <c r="P71" s="205">
        <f>VLOOKUP($E71,[3]Sheet1!$B$8:$AF$461,19,0)</f>
        <v>0</v>
      </c>
      <c r="Q71" s="195">
        <f t="shared" si="43"/>
        <v>0</v>
      </c>
      <c r="R71" s="199">
        <f t="shared" si="44"/>
        <v>0</v>
      </c>
      <c r="S71" s="205">
        <f>VLOOKUP($E71,[3]Sheet1!$B$8:$AF$461,25,0)</f>
        <v>0</v>
      </c>
      <c r="T71" s="197">
        <f t="shared" si="45"/>
        <v>0</v>
      </c>
      <c r="U71" s="198">
        <f t="shared" si="46"/>
        <v>0</v>
      </c>
      <c r="V71" s="205">
        <f>VLOOKUP($E71,[3]Sheet1!$B$8:$BF$461,31,0)</f>
        <v>0</v>
      </c>
      <c r="W71" s="195">
        <f t="shared" si="47"/>
        <v>0</v>
      </c>
      <c r="X71" s="199">
        <f t="shared" si="48"/>
        <v>0</v>
      </c>
      <c r="Y71" s="205">
        <f>VLOOKUP($E71,[3]Sheet1!$B$8:$BF$461,37,0)</f>
        <v>0</v>
      </c>
      <c r="Z71" s="197">
        <f t="shared" si="49"/>
        <v>0</v>
      </c>
      <c r="AA71" s="199">
        <f t="shared" si="50"/>
        <v>0</v>
      </c>
      <c r="AB71" s="205">
        <f t="shared" si="51"/>
        <v>0</v>
      </c>
      <c r="AC71" s="197">
        <f t="shared" si="52"/>
        <v>0</v>
      </c>
      <c r="AD71" s="263"/>
      <c r="AE71" s="134"/>
      <c r="AF71" s="206"/>
      <c r="AG71" s="252"/>
      <c r="AH71" s="252"/>
      <c r="AI71" s="252"/>
      <c r="AJ71" s="252"/>
      <c r="AK71" s="252"/>
      <c r="AM71" s="137"/>
      <c r="AN71" s="137"/>
      <c r="AO71" s="137"/>
      <c r="AP71" s="137"/>
      <c r="AQ71" s="137"/>
    </row>
    <row r="72" spans="1:43" s="135" customFormat="1" ht="15.75" customHeight="1">
      <c r="A72" s="247"/>
      <c r="B72" s="248" t="s">
        <v>271</v>
      </c>
      <c r="C72" s="249"/>
      <c r="D72" s="200"/>
      <c r="E72" s="266" t="s">
        <v>272</v>
      </c>
      <c r="F72" s="258"/>
      <c r="G72" s="243">
        <f>VLOOKUP($B72,'[2]UMH Monthly'!$E$4:$V$512,18,0)</f>
        <v>1.2791666666666666E-2</v>
      </c>
      <c r="H72" s="250"/>
      <c r="I72" s="193">
        <v>0</v>
      </c>
      <c r="J72" s="194">
        <v>0</v>
      </c>
      <c r="K72" s="195">
        <v>0</v>
      </c>
      <c r="L72" s="196">
        <f t="shared" si="29"/>
        <v>0</v>
      </c>
      <c r="M72" s="205">
        <f>VLOOKUP($E72,[3]Sheet1!$B$8:$AF$147,13,0)</f>
        <v>0</v>
      </c>
      <c r="N72" s="197">
        <f t="shared" si="53"/>
        <v>0</v>
      </c>
      <c r="O72" s="198">
        <f t="shared" si="42"/>
        <v>0</v>
      </c>
      <c r="P72" s="205">
        <f>VLOOKUP($E72,[3]Sheet1!$B$8:$AF$461,19,0)</f>
        <v>0</v>
      </c>
      <c r="Q72" s="195">
        <f t="shared" si="43"/>
        <v>0</v>
      </c>
      <c r="R72" s="199">
        <f t="shared" si="44"/>
        <v>0</v>
      </c>
      <c r="S72" s="205">
        <f>VLOOKUP($E72,[3]Sheet1!$B$8:$AF$461,25,0)</f>
        <v>0</v>
      </c>
      <c r="T72" s="197">
        <f t="shared" si="45"/>
        <v>0</v>
      </c>
      <c r="U72" s="198">
        <f t="shared" si="46"/>
        <v>0</v>
      </c>
      <c r="V72" s="205">
        <f>VLOOKUP($E72,[3]Sheet1!$B$8:$BF$461,31,0)</f>
        <v>0</v>
      </c>
      <c r="W72" s="195">
        <f t="shared" si="47"/>
        <v>0</v>
      </c>
      <c r="X72" s="199">
        <f t="shared" si="48"/>
        <v>0</v>
      </c>
      <c r="Y72" s="205">
        <f>VLOOKUP($E72,[3]Sheet1!$B$8:$BF$461,37,0)</f>
        <v>0</v>
      </c>
      <c r="Z72" s="197">
        <f t="shared" si="49"/>
        <v>0</v>
      </c>
      <c r="AA72" s="199">
        <f t="shared" si="50"/>
        <v>0</v>
      </c>
      <c r="AB72" s="205">
        <f t="shared" si="51"/>
        <v>0</v>
      </c>
      <c r="AC72" s="197">
        <f t="shared" si="52"/>
        <v>0</v>
      </c>
      <c r="AD72" s="263"/>
      <c r="AE72" s="134"/>
      <c r="AF72" s="206"/>
      <c r="AG72" s="252"/>
      <c r="AH72" s="252"/>
      <c r="AI72" s="252"/>
      <c r="AJ72" s="252"/>
      <c r="AK72" s="252"/>
      <c r="AM72" s="137"/>
      <c r="AN72" s="137"/>
      <c r="AO72" s="137"/>
      <c r="AP72" s="137"/>
      <c r="AQ72" s="137"/>
    </row>
    <row r="73" spans="1:43" s="135" customFormat="1" ht="15.75" customHeight="1">
      <c r="A73" s="247"/>
      <c r="B73" s="248" t="s">
        <v>273</v>
      </c>
      <c r="C73" s="249"/>
      <c r="D73" s="200"/>
      <c r="E73" s="266" t="s">
        <v>274</v>
      </c>
      <c r="F73" s="258"/>
      <c r="G73" s="243">
        <f>VLOOKUP($B73,'[2]UMH Monthly'!$E$4:$V$512,18,0)</f>
        <v>1.2325000000000001E-2</v>
      </c>
      <c r="H73" s="250"/>
      <c r="I73" s="193">
        <v>0</v>
      </c>
      <c r="J73" s="194">
        <v>3620</v>
      </c>
      <c r="K73" s="195">
        <v>3620</v>
      </c>
      <c r="L73" s="196">
        <f t="shared" si="29"/>
        <v>0</v>
      </c>
      <c r="M73" s="205">
        <f>VLOOKUP($E73,[3]Sheet1!$B$8:$AF$147,13,0)</f>
        <v>2360</v>
      </c>
      <c r="N73" s="197">
        <f t="shared" si="53"/>
        <v>2360</v>
      </c>
      <c r="O73" s="198">
        <f t="shared" si="42"/>
        <v>0</v>
      </c>
      <c r="P73" s="205">
        <f>VLOOKUP($E73,[3]Sheet1!$B$8:$AF$461,19,0)</f>
        <v>2340</v>
      </c>
      <c r="Q73" s="195">
        <f t="shared" si="43"/>
        <v>2340</v>
      </c>
      <c r="R73" s="199">
        <f t="shared" si="44"/>
        <v>0</v>
      </c>
      <c r="S73" s="205">
        <f>VLOOKUP($E73,[3]Sheet1!$B$8:$AF$461,25,0)</f>
        <v>3340</v>
      </c>
      <c r="T73" s="197">
        <f t="shared" si="45"/>
        <v>3340</v>
      </c>
      <c r="U73" s="198">
        <f t="shared" si="46"/>
        <v>0</v>
      </c>
      <c r="V73" s="205">
        <f>VLOOKUP($E73,[3]Sheet1!$B$8:$BF$461,31,0)</f>
        <v>4560</v>
      </c>
      <c r="W73" s="195">
        <f t="shared" si="47"/>
        <v>4560</v>
      </c>
      <c r="X73" s="199">
        <f t="shared" si="48"/>
        <v>0</v>
      </c>
      <c r="Y73" s="205">
        <f>VLOOKUP($E73,[3]Sheet1!$B$8:$BF$461,37,0)</f>
        <v>3980</v>
      </c>
      <c r="Z73" s="197">
        <f t="shared" si="49"/>
        <v>3980</v>
      </c>
      <c r="AA73" s="199">
        <f t="shared" si="50"/>
        <v>0</v>
      </c>
      <c r="AB73" s="205">
        <f t="shared" si="51"/>
        <v>3980</v>
      </c>
      <c r="AC73" s="197">
        <f t="shared" si="52"/>
        <v>3980</v>
      </c>
      <c r="AD73" s="263"/>
      <c r="AE73" s="134"/>
      <c r="AF73" s="206"/>
      <c r="AG73" s="252"/>
      <c r="AH73" s="252"/>
      <c r="AI73" s="252"/>
      <c r="AJ73" s="252"/>
      <c r="AK73" s="252"/>
      <c r="AM73" s="137"/>
      <c r="AN73" s="137"/>
      <c r="AO73" s="137"/>
      <c r="AP73" s="137"/>
      <c r="AQ73" s="137"/>
    </row>
    <row r="74" spans="1:43" s="135" customFormat="1" ht="15.75" customHeight="1">
      <c r="A74" s="247"/>
      <c r="B74" s="248" t="s">
        <v>275</v>
      </c>
      <c r="C74" s="249"/>
      <c r="D74" s="200"/>
      <c r="E74" s="266" t="s">
        <v>276</v>
      </c>
      <c r="F74" s="258"/>
      <c r="G74" s="243">
        <f>VLOOKUP($B74,'[2]UMH Monthly'!$E$4:$V$512,18,0)</f>
        <v>1.2788333333333332E-2</v>
      </c>
      <c r="H74" s="250"/>
      <c r="I74" s="193">
        <v>0</v>
      </c>
      <c r="J74" s="194">
        <v>240</v>
      </c>
      <c r="K74" s="195">
        <v>240</v>
      </c>
      <c r="L74" s="196">
        <f t="shared" si="29"/>
        <v>0</v>
      </c>
      <c r="M74" s="205">
        <f>VLOOKUP($E74,[3]Sheet1!$B$8:$AF$147,13,0)</f>
        <v>320</v>
      </c>
      <c r="N74" s="197">
        <f t="shared" si="53"/>
        <v>320</v>
      </c>
      <c r="O74" s="198">
        <f t="shared" si="42"/>
        <v>0</v>
      </c>
      <c r="P74" s="205">
        <f>VLOOKUP($E74,[3]Sheet1!$B$8:$AF$461,19,0)</f>
        <v>400</v>
      </c>
      <c r="Q74" s="195">
        <f t="shared" si="43"/>
        <v>400</v>
      </c>
      <c r="R74" s="199">
        <f t="shared" si="44"/>
        <v>0</v>
      </c>
      <c r="S74" s="205">
        <f>VLOOKUP($E74,[3]Sheet1!$B$8:$AF$461,25,0)</f>
        <v>480</v>
      </c>
      <c r="T74" s="197">
        <f t="shared" si="45"/>
        <v>480</v>
      </c>
      <c r="U74" s="198">
        <f t="shared" si="46"/>
        <v>0</v>
      </c>
      <c r="V74" s="205">
        <f>VLOOKUP($E74,[3]Sheet1!$B$8:$BF$461,31,0)</f>
        <v>720</v>
      </c>
      <c r="W74" s="195">
        <f t="shared" si="47"/>
        <v>720</v>
      </c>
      <c r="X74" s="199">
        <f t="shared" si="48"/>
        <v>0</v>
      </c>
      <c r="Y74" s="205">
        <f>VLOOKUP($E74,[3]Sheet1!$B$8:$BF$461,37,0)</f>
        <v>640</v>
      </c>
      <c r="Z74" s="197">
        <f t="shared" si="49"/>
        <v>640</v>
      </c>
      <c r="AA74" s="199">
        <f t="shared" si="50"/>
        <v>0</v>
      </c>
      <c r="AB74" s="205">
        <f t="shared" si="51"/>
        <v>640</v>
      </c>
      <c r="AC74" s="197">
        <f t="shared" si="52"/>
        <v>640</v>
      </c>
      <c r="AD74" s="263"/>
      <c r="AE74" s="134"/>
      <c r="AF74" s="206"/>
      <c r="AG74" s="252"/>
      <c r="AH74" s="252"/>
      <c r="AI74" s="252"/>
      <c r="AJ74" s="252"/>
      <c r="AK74" s="252"/>
      <c r="AM74" s="137"/>
      <c r="AN74" s="137"/>
      <c r="AO74" s="137"/>
      <c r="AP74" s="137"/>
      <c r="AQ74" s="137"/>
    </row>
    <row r="75" spans="1:43" s="135" customFormat="1" ht="15.75" customHeight="1">
      <c r="A75" s="247"/>
      <c r="B75" s="248" t="s">
        <v>277</v>
      </c>
      <c r="C75" s="249"/>
      <c r="D75" s="200"/>
      <c r="E75" s="266" t="s">
        <v>278</v>
      </c>
      <c r="F75" s="258"/>
      <c r="G75" s="243">
        <f>VLOOKUP($B75,'[2]UMH Monthly'!$E$4:$V$512,18,0)</f>
        <v>1.2326666666666666E-2</v>
      </c>
      <c r="H75" s="250"/>
      <c r="I75" s="193">
        <v>0</v>
      </c>
      <c r="J75" s="194">
        <v>3080</v>
      </c>
      <c r="K75" s="195">
        <v>3080</v>
      </c>
      <c r="L75" s="196">
        <f t="shared" si="29"/>
        <v>0</v>
      </c>
      <c r="M75" s="205">
        <f>VLOOKUP($E75,[3]Sheet1!$B$8:$AF$147,13,0)</f>
        <v>3020</v>
      </c>
      <c r="N75" s="197">
        <f t="shared" si="53"/>
        <v>3020</v>
      </c>
      <c r="O75" s="198">
        <f t="shared" si="42"/>
        <v>0</v>
      </c>
      <c r="P75" s="205">
        <f>VLOOKUP($E75,[3]Sheet1!$B$8:$AF$461,19,0)</f>
        <v>2480</v>
      </c>
      <c r="Q75" s="195">
        <f t="shared" si="43"/>
        <v>2480</v>
      </c>
      <c r="R75" s="199">
        <f t="shared" si="44"/>
        <v>0</v>
      </c>
      <c r="S75" s="205">
        <f>VLOOKUP($E75,[3]Sheet1!$B$8:$AF$461,25,0)</f>
        <v>2340</v>
      </c>
      <c r="T75" s="197">
        <f t="shared" si="45"/>
        <v>2340</v>
      </c>
      <c r="U75" s="198">
        <f t="shared" si="46"/>
        <v>0</v>
      </c>
      <c r="V75" s="205">
        <f>VLOOKUP($E75,[3]Sheet1!$B$8:$BF$461,31,0)</f>
        <v>2860</v>
      </c>
      <c r="W75" s="195">
        <f t="shared" si="47"/>
        <v>2860</v>
      </c>
      <c r="X75" s="199">
        <f t="shared" si="48"/>
        <v>0</v>
      </c>
      <c r="Y75" s="205">
        <f>VLOOKUP($E75,[3]Sheet1!$B$8:$BF$461,37,0)</f>
        <v>2560</v>
      </c>
      <c r="Z75" s="197">
        <f t="shared" si="49"/>
        <v>2560</v>
      </c>
      <c r="AA75" s="199">
        <f t="shared" si="50"/>
        <v>0</v>
      </c>
      <c r="AB75" s="205">
        <f t="shared" si="51"/>
        <v>2560</v>
      </c>
      <c r="AC75" s="197">
        <f t="shared" si="52"/>
        <v>2560</v>
      </c>
      <c r="AD75" s="263"/>
      <c r="AE75" s="134"/>
      <c r="AF75" s="206"/>
      <c r="AG75" s="252"/>
      <c r="AH75" s="252"/>
      <c r="AI75" s="252"/>
      <c r="AJ75" s="252"/>
      <c r="AK75" s="252"/>
      <c r="AM75" s="137"/>
      <c r="AN75" s="137"/>
      <c r="AO75" s="137"/>
      <c r="AP75" s="137"/>
      <c r="AQ75" s="137"/>
    </row>
    <row r="76" spans="1:43" s="135" customFormat="1" ht="15.75" customHeight="1">
      <c r="A76" s="247"/>
      <c r="B76" s="248" t="s">
        <v>279</v>
      </c>
      <c r="C76" s="249"/>
      <c r="D76" s="200"/>
      <c r="E76" s="266" t="s">
        <v>280</v>
      </c>
      <c r="F76" s="258"/>
      <c r="G76" s="243">
        <f>VLOOKUP($B76,'[2]UMH Monthly'!$E$4:$V$512,18,0)</f>
        <v>1.2788333333333332E-2</v>
      </c>
      <c r="H76" s="250"/>
      <c r="I76" s="193">
        <v>0</v>
      </c>
      <c r="J76" s="194">
        <v>1120</v>
      </c>
      <c r="K76" s="195">
        <v>1120</v>
      </c>
      <c r="L76" s="196">
        <f t="shared" si="29"/>
        <v>0</v>
      </c>
      <c r="M76" s="205">
        <f>VLOOKUP($E76,[3]Sheet1!$B$8:$AF$147,13,0)</f>
        <v>1120</v>
      </c>
      <c r="N76" s="197">
        <f t="shared" si="53"/>
        <v>1120</v>
      </c>
      <c r="O76" s="198">
        <f t="shared" si="42"/>
        <v>0</v>
      </c>
      <c r="P76" s="205">
        <f>VLOOKUP($E76,[3]Sheet1!$B$8:$AF$461,19,0)</f>
        <v>1040</v>
      </c>
      <c r="Q76" s="195">
        <f t="shared" si="43"/>
        <v>1040</v>
      </c>
      <c r="R76" s="199">
        <f t="shared" si="44"/>
        <v>0</v>
      </c>
      <c r="S76" s="205">
        <f>VLOOKUP($E76,[3]Sheet1!$B$8:$AF$461,25,0)</f>
        <v>920</v>
      </c>
      <c r="T76" s="197">
        <f t="shared" si="45"/>
        <v>920</v>
      </c>
      <c r="U76" s="198">
        <f t="shared" si="46"/>
        <v>0</v>
      </c>
      <c r="V76" s="205">
        <f>VLOOKUP($E76,[3]Sheet1!$B$8:$BF$461,31,0)</f>
        <v>1120</v>
      </c>
      <c r="W76" s="195">
        <f t="shared" si="47"/>
        <v>1120</v>
      </c>
      <c r="X76" s="199">
        <f t="shared" si="48"/>
        <v>0</v>
      </c>
      <c r="Y76" s="205">
        <f>VLOOKUP($E76,[3]Sheet1!$B$8:$BF$461,37,0)</f>
        <v>1040</v>
      </c>
      <c r="Z76" s="197">
        <f t="shared" si="49"/>
        <v>1040</v>
      </c>
      <c r="AA76" s="199">
        <f t="shared" si="50"/>
        <v>0</v>
      </c>
      <c r="AB76" s="205">
        <f t="shared" si="51"/>
        <v>1040</v>
      </c>
      <c r="AC76" s="197">
        <f t="shared" si="52"/>
        <v>1040</v>
      </c>
      <c r="AD76" s="263"/>
      <c r="AE76" s="134"/>
      <c r="AF76" s="206"/>
      <c r="AG76" s="252"/>
      <c r="AH76" s="252"/>
      <c r="AI76" s="252"/>
      <c r="AJ76" s="252"/>
      <c r="AK76" s="252"/>
      <c r="AM76" s="137"/>
      <c r="AN76" s="137"/>
      <c r="AO76" s="137"/>
      <c r="AP76" s="137"/>
      <c r="AQ76" s="137"/>
    </row>
    <row r="77" spans="1:43" s="135" customFormat="1" ht="15.75" customHeight="1">
      <c r="A77" s="247"/>
      <c r="B77" s="248" t="s">
        <v>281</v>
      </c>
      <c r="C77" s="249"/>
      <c r="D77" s="200"/>
      <c r="E77" s="266" t="s">
        <v>282</v>
      </c>
      <c r="F77" s="258"/>
      <c r="G77" s="243">
        <f>VLOOKUP($B77,'[2]UMH Monthly'!$E$4:$V$512,18,0)</f>
        <v>2.131333333333333E-2</v>
      </c>
      <c r="H77" s="250"/>
      <c r="I77" s="193">
        <v>0</v>
      </c>
      <c r="J77" s="194">
        <v>0</v>
      </c>
      <c r="K77" s="195">
        <v>0</v>
      </c>
      <c r="L77" s="196">
        <f t="shared" si="29"/>
        <v>0</v>
      </c>
      <c r="M77" s="205">
        <f>VLOOKUP($E77,[3]Sheet1!$B$8:$AF$147,13,0)</f>
        <v>0</v>
      </c>
      <c r="N77" s="197">
        <f t="shared" si="53"/>
        <v>0</v>
      </c>
      <c r="O77" s="198">
        <f t="shared" si="42"/>
        <v>0</v>
      </c>
      <c r="P77" s="205">
        <f>VLOOKUP($E77,[3]Sheet1!$B$8:$AF$461,19,0)</f>
        <v>0</v>
      </c>
      <c r="Q77" s="195">
        <f t="shared" si="43"/>
        <v>0</v>
      </c>
      <c r="R77" s="199">
        <f t="shared" si="44"/>
        <v>0</v>
      </c>
      <c r="S77" s="205">
        <f>VLOOKUP($E77,[3]Sheet1!$B$8:$AF$461,25,0)</f>
        <v>0</v>
      </c>
      <c r="T77" s="197">
        <f t="shared" si="45"/>
        <v>0</v>
      </c>
      <c r="U77" s="198">
        <f t="shared" si="46"/>
        <v>0</v>
      </c>
      <c r="V77" s="205">
        <f>VLOOKUP($E77,[3]Sheet1!$B$8:$BF$461,31,0)</f>
        <v>0</v>
      </c>
      <c r="W77" s="195">
        <f t="shared" si="47"/>
        <v>0</v>
      </c>
      <c r="X77" s="199">
        <f t="shared" si="48"/>
        <v>0</v>
      </c>
      <c r="Y77" s="205">
        <f>VLOOKUP($E77,[3]Sheet1!$B$8:$BF$461,37,0)</f>
        <v>0</v>
      </c>
      <c r="Z77" s="197">
        <f t="shared" si="49"/>
        <v>0</v>
      </c>
      <c r="AA77" s="199">
        <f t="shared" si="50"/>
        <v>0</v>
      </c>
      <c r="AB77" s="205">
        <f t="shared" si="51"/>
        <v>0</v>
      </c>
      <c r="AC77" s="197">
        <f t="shared" si="52"/>
        <v>0</v>
      </c>
      <c r="AD77" s="263"/>
      <c r="AE77" s="134"/>
      <c r="AF77" s="206"/>
      <c r="AG77" s="252"/>
      <c r="AH77" s="252"/>
      <c r="AI77" s="252"/>
      <c r="AJ77" s="252"/>
      <c r="AK77" s="252"/>
      <c r="AM77" s="137"/>
      <c r="AN77" s="137"/>
      <c r="AO77" s="137"/>
      <c r="AP77" s="137"/>
      <c r="AQ77" s="137"/>
    </row>
    <row r="78" spans="1:43" s="135" customFormat="1" ht="15.75" customHeight="1">
      <c r="A78" s="247"/>
      <c r="B78" s="248" t="s">
        <v>283</v>
      </c>
      <c r="C78" s="249"/>
      <c r="D78" s="200"/>
      <c r="E78" s="266" t="s">
        <v>284</v>
      </c>
      <c r="F78" s="258"/>
      <c r="G78" s="243">
        <f>VLOOKUP($B78,'[2]UMH Monthly'!$E$4:$V$512,18,0)</f>
        <v>1.7868333333333333E-2</v>
      </c>
      <c r="H78" s="250"/>
      <c r="I78" s="193">
        <v>0</v>
      </c>
      <c r="J78" s="194">
        <v>0</v>
      </c>
      <c r="K78" s="195">
        <v>0</v>
      </c>
      <c r="L78" s="196">
        <f t="shared" si="29"/>
        <v>0</v>
      </c>
      <c r="M78" s="205">
        <f>VLOOKUP($E78,[3]Sheet1!$B$8:$AF$147,13,0)</f>
        <v>0</v>
      </c>
      <c r="N78" s="197">
        <f t="shared" si="53"/>
        <v>0</v>
      </c>
      <c r="O78" s="198">
        <f t="shared" si="42"/>
        <v>0</v>
      </c>
      <c r="P78" s="205">
        <f>VLOOKUP($E78,[3]Sheet1!$B$8:$AF$461,19,0)</f>
        <v>0</v>
      </c>
      <c r="Q78" s="195">
        <f t="shared" si="43"/>
        <v>0</v>
      </c>
      <c r="R78" s="199">
        <f t="shared" si="44"/>
        <v>0</v>
      </c>
      <c r="S78" s="205">
        <f>VLOOKUP($E78,[3]Sheet1!$B$8:$AF$461,25,0)</f>
        <v>0</v>
      </c>
      <c r="T78" s="197">
        <f t="shared" si="45"/>
        <v>0</v>
      </c>
      <c r="U78" s="198">
        <f t="shared" si="46"/>
        <v>0</v>
      </c>
      <c r="V78" s="205">
        <f>VLOOKUP($E78,[3]Sheet1!$B$8:$BF$461,31,0)</f>
        <v>0</v>
      </c>
      <c r="W78" s="195">
        <f t="shared" si="47"/>
        <v>0</v>
      </c>
      <c r="X78" s="199">
        <f t="shared" si="48"/>
        <v>0</v>
      </c>
      <c r="Y78" s="205">
        <f>VLOOKUP($E78,[3]Sheet1!$B$8:$BF$461,37,0)</f>
        <v>0</v>
      </c>
      <c r="Z78" s="197">
        <f t="shared" si="49"/>
        <v>0</v>
      </c>
      <c r="AA78" s="199">
        <f t="shared" si="50"/>
        <v>0</v>
      </c>
      <c r="AB78" s="205">
        <f t="shared" si="51"/>
        <v>0</v>
      </c>
      <c r="AC78" s="197">
        <f t="shared" si="52"/>
        <v>0</v>
      </c>
      <c r="AD78" s="263"/>
      <c r="AE78" s="134"/>
      <c r="AF78" s="206"/>
      <c r="AG78" s="252"/>
      <c r="AH78" s="252"/>
      <c r="AI78" s="252"/>
      <c r="AJ78" s="252"/>
      <c r="AK78" s="252"/>
      <c r="AM78" s="137"/>
      <c r="AN78" s="137"/>
      <c r="AO78" s="137"/>
      <c r="AP78" s="137"/>
      <c r="AQ78" s="137"/>
    </row>
    <row r="79" spans="1:43" s="135" customFormat="1" ht="15.75" customHeight="1">
      <c r="A79" s="247"/>
      <c r="B79" s="248" t="s">
        <v>285</v>
      </c>
      <c r="C79" s="249"/>
      <c r="D79" s="200"/>
      <c r="E79" s="266" t="s">
        <v>286</v>
      </c>
      <c r="F79" s="258"/>
      <c r="G79" s="243">
        <f>VLOOKUP($B79,'[2]UMH Monthly'!$E$4:$V$512,18,0)</f>
        <v>1.8790000000000001E-2</v>
      </c>
      <c r="H79" s="250"/>
      <c r="I79" s="193">
        <v>0</v>
      </c>
      <c r="J79" s="194">
        <v>0</v>
      </c>
      <c r="K79" s="195">
        <v>0</v>
      </c>
      <c r="L79" s="196">
        <f t="shared" si="29"/>
        <v>0</v>
      </c>
      <c r="M79" s="205">
        <f>VLOOKUP($E79,[3]Sheet1!$B$8:$AF$147,13,0)</f>
        <v>50</v>
      </c>
      <c r="N79" s="197">
        <f t="shared" si="53"/>
        <v>50</v>
      </c>
      <c r="O79" s="198">
        <f t="shared" si="42"/>
        <v>0</v>
      </c>
      <c r="P79" s="205">
        <f>VLOOKUP($E79,[3]Sheet1!$B$8:$AF$461,19,0)</f>
        <v>0</v>
      </c>
      <c r="Q79" s="195">
        <f t="shared" si="43"/>
        <v>0</v>
      </c>
      <c r="R79" s="199">
        <f t="shared" si="44"/>
        <v>0</v>
      </c>
      <c r="S79" s="205">
        <f>VLOOKUP($E79,[3]Sheet1!$B$8:$AF$461,25,0)</f>
        <v>0</v>
      </c>
      <c r="T79" s="197">
        <f t="shared" si="45"/>
        <v>0</v>
      </c>
      <c r="U79" s="198">
        <f t="shared" si="46"/>
        <v>0</v>
      </c>
      <c r="V79" s="205">
        <f>VLOOKUP($E79,[3]Sheet1!$B$8:$BF$461,31,0)</f>
        <v>0</v>
      </c>
      <c r="W79" s="195">
        <f t="shared" si="47"/>
        <v>0</v>
      </c>
      <c r="X79" s="199">
        <f t="shared" si="48"/>
        <v>0</v>
      </c>
      <c r="Y79" s="205">
        <f>VLOOKUP($E79,[3]Sheet1!$B$8:$BF$461,37,0)</f>
        <v>50</v>
      </c>
      <c r="Z79" s="197">
        <f t="shared" si="49"/>
        <v>50</v>
      </c>
      <c r="AA79" s="199">
        <f t="shared" si="50"/>
        <v>0</v>
      </c>
      <c r="AB79" s="205">
        <f t="shared" si="51"/>
        <v>50</v>
      </c>
      <c r="AC79" s="197">
        <f t="shared" si="52"/>
        <v>50</v>
      </c>
      <c r="AD79" s="263"/>
      <c r="AE79" s="134"/>
      <c r="AF79" s="206"/>
      <c r="AG79" s="252"/>
      <c r="AH79" s="252"/>
      <c r="AI79" s="252"/>
      <c r="AJ79" s="252"/>
      <c r="AK79" s="252"/>
      <c r="AM79" s="137"/>
      <c r="AN79" s="137"/>
      <c r="AO79" s="137"/>
      <c r="AP79" s="137"/>
      <c r="AQ79" s="137"/>
    </row>
    <row r="80" spans="1:43" s="135" customFormat="1" ht="15.75" customHeight="1">
      <c r="A80" s="247"/>
      <c r="B80" s="248" t="s">
        <v>287</v>
      </c>
      <c r="C80" s="249"/>
      <c r="D80" s="200"/>
      <c r="E80" s="266" t="s">
        <v>288</v>
      </c>
      <c r="F80" s="258"/>
      <c r="G80" s="243">
        <f>VLOOKUP($B80,'[2]UMH Monthly'!$E$4:$V$512,18,0)</f>
        <v>1.5343333333333334E-2</v>
      </c>
      <c r="H80" s="250"/>
      <c r="I80" s="193">
        <v>0</v>
      </c>
      <c r="J80" s="194">
        <v>0</v>
      </c>
      <c r="K80" s="195">
        <v>0</v>
      </c>
      <c r="L80" s="196">
        <f t="shared" ref="L80:L84" si="54">I80+K80-J80</f>
        <v>0</v>
      </c>
      <c r="M80" s="205">
        <f>VLOOKUP($E80,[3]Sheet1!$B$8:$AF$147,13,0)</f>
        <v>0</v>
      </c>
      <c r="N80" s="197">
        <f t="shared" si="53"/>
        <v>0</v>
      </c>
      <c r="O80" s="198">
        <f t="shared" si="42"/>
        <v>0</v>
      </c>
      <c r="P80" s="205">
        <f>VLOOKUP($E80,[3]Sheet1!$B$8:$AF$461,19,0)</f>
        <v>50</v>
      </c>
      <c r="Q80" s="195">
        <f t="shared" si="43"/>
        <v>50</v>
      </c>
      <c r="R80" s="199">
        <f t="shared" si="44"/>
        <v>0</v>
      </c>
      <c r="S80" s="205">
        <f>VLOOKUP($E80,[3]Sheet1!$B$8:$AF$461,25,0)</f>
        <v>0</v>
      </c>
      <c r="T80" s="197">
        <f t="shared" si="45"/>
        <v>0</v>
      </c>
      <c r="U80" s="198">
        <f t="shared" si="46"/>
        <v>0</v>
      </c>
      <c r="V80" s="205">
        <f>VLOOKUP($E80,[3]Sheet1!$B$8:$BF$461,31,0)</f>
        <v>0</v>
      </c>
      <c r="W80" s="195">
        <f t="shared" si="47"/>
        <v>0</v>
      </c>
      <c r="X80" s="199">
        <f t="shared" si="48"/>
        <v>0</v>
      </c>
      <c r="Y80" s="205">
        <f>VLOOKUP($E80,[3]Sheet1!$B$8:$BF$461,37,0)</f>
        <v>0</v>
      </c>
      <c r="Z80" s="197">
        <f t="shared" si="49"/>
        <v>0</v>
      </c>
      <c r="AA80" s="199">
        <f t="shared" si="50"/>
        <v>0</v>
      </c>
      <c r="AB80" s="205">
        <f t="shared" si="51"/>
        <v>0</v>
      </c>
      <c r="AC80" s="197">
        <f t="shared" si="52"/>
        <v>0</v>
      </c>
      <c r="AD80" s="263"/>
      <c r="AE80" s="134"/>
      <c r="AF80" s="206"/>
      <c r="AG80" s="252"/>
      <c r="AH80" s="252"/>
      <c r="AI80" s="252"/>
      <c r="AJ80" s="252"/>
      <c r="AK80" s="252"/>
      <c r="AM80" s="137"/>
      <c r="AN80" s="137"/>
      <c r="AO80" s="137"/>
      <c r="AP80" s="137"/>
      <c r="AQ80" s="137"/>
    </row>
    <row r="81" spans="1:43" s="135" customFormat="1" ht="15.75" customHeight="1">
      <c r="A81" s="247"/>
      <c r="B81" s="248" t="s">
        <v>289</v>
      </c>
      <c r="C81" s="249"/>
      <c r="D81" s="200"/>
      <c r="E81" s="266" t="s">
        <v>290</v>
      </c>
      <c r="F81" s="258"/>
      <c r="G81" s="243">
        <f>VLOOKUP($B81,'[2]UMH Monthly'!$E$4:$V$512,18,0)</f>
        <v>1.6293333333333333E-2</v>
      </c>
      <c r="H81" s="250"/>
      <c r="I81" s="193">
        <v>0</v>
      </c>
      <c r="J81" s="194">
        <v>40</v>
      </c>
      <c r="K81" s="195">
        <v>40</v>
      </c>
      <c r="L81" s="196">
        <f t="shared" si="54"/>
        <v>0</v>
      </c>
      <c r="M81" s="205">
        <f>VLOOKUP($E81,[3]Sheet1!$B$8:$AF$147,13,0)</f>
        <v>0</v>
      </c>
      <c r="N81" s="197">
        <f t="shared" si="53"/>
        <v>0</v>
      </c>
      <c r="O81" s="198">
        <f t="shared" si="42"/>
        <v>0</v>
      </c>
      <c r="P81" s="205">
        <f>VLOOKUP($E81,[3]Sheet1!$B$8:$AF$461,19,0)</f>
        <v>0</v>
      </c>
      <c r="Q81" s="195">
        <f t="shared" si="43"/>
        <v>0</v>
      </c>
      <c r="R81" s="199">
        <f t="shared" si="44"/>
        <v>0</v>
      </c>
      <c r="S81" s="205">
        <f>VLOOKUP($E81,[3]Sheet1!$B$8:$AF$461,25,0)</f>
        <v>0</v>
      </c>
      <c r="T81" s="197">
        <f t="shared" si="45"/>
        <v>0</v>
      </c>
      <c r="U81" s="198">
        <f t="shared" si="46"/>
        <v>0</v>
      </c>
      <c r="V81" s="205">
        <f>VLOOKUP($E81,[3]Sheet1!$B$8:$BF$461,31,0)</f>
        <v>0</v>
      </c>
      <c r="W81" s="195">
        <f t="shared" si="47"/>
        <v>0</v>
      </c>
      <c r="X81" s="199">
        <f t="shared" si="48"/>
        <v>0</v>
      </c>
      <c r="Y81" s="205">
        <f>VLOOKUP($E81,[3]Sheet1!$B$8:$BF$461,37,0)</f>
        <v>0</v>
      </c>
      <c r="Z81" s="197">
        <f t="shared" si="49"/>
        <v>0</v>
      </c>
      <c r="AA81" s="199">
        <f t="shared" si="50"/>
        <v>0</v>
      </c>
      <c r="AB81" s="205">
        <f t="shared" si="51"/>
        <v>0</v>
      </c>
      <c r="AC81" s="197">
        <f t="shared" si="52"/>
        <v>0</v>
      </c>
      <c r="AD81" s="263"/>
      <c r="AE81" s="134"/>
      <c r="AF81" s="206"/>
      <c r="AG81" s="252"/>
      <c r="AH81" s="252"/>
      <c r="AI81" s="252"/>
      <c r="AJ81" s="252"/>
      <c r="AK81" s="252"/>
      <c r="AM81" s="137"/>
      <c r="AN81" s="137"/>
      <c r="AO81" s="137"/>
      <c r="AP81" s="137"/>
      <c r="AQ81" s="137"/>
    </row>
    <row r="82" spans="1:43" s="135" customFormat="1" ht="15.75" customHeight="1">
      <c r="A82" s="247"/>
      <c r="B82" s="248" t="s">
        <v>291</v>
      </c>
      <c r="C82" s="249"/>
      <c r="D82" s="200"/>
      <c r="E82" s="266" t="s">
        <v>292</v>
      </c>
      <c r="F82" s="258"/>
      <c r="G82" s="243">
        <f>VLOOKUP($B82,'[2]UMH Monthly'!$E$4:$V$512,18,0)</f>
        <v>1.6293333333333333E-2</v>
      </c>
      <c r="H82" s="250"/>
      <c r="I82" s="193">
        <v>0</v>
      </c>
      <c r="J82" s="194">
        <v>0</v>
      </c>
      <c r="K82" s="195">
        <v>0</v>
      </c>
      <c r="L82" s="196">
        <f t="shared" si="54"/>
        <v>0</v>
      </c>
      <c r="M82" s="205">
        <f>VLOOKUP($E82,[3]Sheet1!$B$8:$AF$147,13,0)</f>
        <v>40</v>
      </c>
      <c r="N82" s="197">
        <f t="shared" si="53"/>
        <v>40</v>
      </c>
      <c r="O82" s="198">
        <f t="shared" si="42"/>
        <v>0</v>
      </c>
      <c r="P82" s="205">
        <f>VLOOKUP($E82,[3]Sheet1!$B$8:$AF$461,19,0)</f>
        <v>40</v>
      </c>
      <c r="Q82" s="195">
        <f t="shared" si="43"/>
        <v>40</v>
      </c>
      <c r="R82" s="199">
        <f t="shared" si="44"/>
        <v>0</v>
      </c>
      <c r="S82" s="205">
        <f>VLOOKUP($E82,[3]Sheet1!$B$8:$AF$461,25,0)</f>
        <v>20</v>
      </c>
      <c r="T82" s="197">
        <f t="shared" si="45"/>
        <v>20</v>
      </c>
      <c r="U82" s="198">
        <f t="shared" si="46"/>
        <v>0</v>
      </c>
      <c r="V82" s="205">
        <f>VLOOKUP($E82,[3]Sheet1!$B$8:$BF$461,31,0)</f>
        <v>20</v>
      </c>
      <c r="W82" s="195">
        <f t="shared" si="47"/>
        <v>20</v>
      </c>
      <c r="X82" s="199">
        <f t="shared" si="48"/>
        <v>0</v>
      </c>
      <c r="Y82" s="205">
        <f>VLOOKUP($E82,[3]Sheet1!$B$8:$BF$461,37,0)</f>
        <v>20</v>
      </c>
      <c r="Z82" s="197">
        <f t="shared" si="49"/>
        <v>20</v>
      </c>
      <c r="AA82" s="199">
        <f t="shared" si="50"/>
        <v>0</v>
      </c>
      <c r="AB82" s="205">
        <f t="shared" si="51"/>
        <v>20</v>
      </c>
      <c r="AC82" s="197">
        <f t="shared" si="52"/>
        <v>20</v>
      </c>
      <c r="AD82" s="263"/>
      <c r="AE82" s="134"/>
      <c r="AF82" s="206"/>
      <c r="AG82" s="252"/>
      <c r="AH82" s="252"/>
      <c r="AI82" s="252"/>
      <c r="AJ82" s="252"/>
      <c r="AK82" s="252"/>
      <c r="AM82" s="137"/>
      <c r="AN82" s="137"/>
      <c r="AO82" s="137"/>
      <c r="AP82" s="137"/>
      <c r="AQ82" s="137"/>
    </row>
    <row r="83" spans="1:43" s="135" customFormat="1" ht="15.75" customHeight="1">
      <c r="A83" s="247"/>
      <c r="B83" s="248" t="s">
        <v>293</v>
      </c>
      <c r="C83" s="249"/>
      <c r="D83" s="200"/>
      <c r="E83" s="266" t="s">
        <v>294</v>
      </c>
      <c r="F83" s="258"/>
      <c r="G83" s="243">
        <f>VLOOKUP($B83,'[2]UMH Monthly'!$E$4:$V$512,18,0)</f>
        <v>1.2855E-2</v>
      </c>
      <c r="H83" s="250"/>
      <c r="I83" s="193">
        <v>0</v>
      </c>
      <c r="J83" s="194">
        <v>3420</v>
      </c>
      <c r="K83" s="195">
        <v>3420</v>
      </c>
      <c r="L83" s="196">
        <f t="shared" si="54"/>
        <v>0</v>
      </c>
      <c r="M83" s="205">
        <f>VLOOKUP($E83,[3]Sheet1!$B$8:$AF$147,13,0)</f>
        <v>2880</v>
      </c>
      <c r="N83" s="197">
        <f t="shared" si="53"/>
        <v>2880</v>
      </c>
      <c r="O83" s="198">
        <f t="shared" si="42"/>
        <v>0</v>
      </c>
      <c r="P83" s="205">
        <f>VLOOKUP($E83,[3]Sheet1!$B$8:$AF$461,19,0)</f>
        <v>3120</v>
      </c>
      <c r="Q83" s="195">
        <f t="shared" si="43"/>
        <v>3120</v>
      </c>
      <c r="R83" s="199">
        <f t="shared" si="44"/>
        <v>0</v>
      </c>
      <c r="S83" s="205">
        <f>VLOOKUP($E83,[3]Sheet1!$B$8:$AF$461,25,0)</f>
        <v>2460</v>
      </c>
      <c r="T83" s="197">
        <f t="shared" si="45"/>
        <v>2460</v>
      </c>
      <c r="U83" s="198">
        <f t="shared" si="46"/>
        <v>0</v>
      </c>
      <c r="V83" s="205">
        <f>VLOOKUP($E83,[3]Sheet1!$B$8:$BF$461,31,0)</f>
        <v>1860</v>
      </c>
      <c r="W83" s="195">
        <f t="shared" si="47"/>
        <v>1860</v>
      </c>
      <c r="X83" s="199">
        <f t="shared" si="48"/>
        <v>0</v>
      </c>
      <c r="Y83" s="205">
        <f>VLOOKUP($E83,[3]Sheet1!$B$8:$BF$461,37,0)</f>
        <v>1440</v>
      </c>
      <c r="Z83" s="197">
        <f t="shared" si="49"/>
        <v>1440</v>
      </c>
      <c r="AA83" s="199">
        <f t="shared" si="50"/>
        <v>0</v>
      </c>
      <c r="AB83" s="205">
        <f t="shared" si="51"/>
        <v>1440</v>
      </c>
      <c r="AC83" s="197">
        <f t="shared" si="52"/>
        <v>1440</v>
      </c>
      <c r="AD83" s="263"/>
      <c r="AE83" s="134"/>
      <c r="AF83" s="206"/>
      <c r="AG83" s="252"/>
      <c r="AH83" s="252"/>
      <c r="AI83" s="252"/>
      <c r="AJ83" s="252"/>
      <c r="AK83" s="252"/>
      <c r="AM83" s="137"/>
      <c r="AN83" s="137"/>
      <c r="AO83" s="137"/>
      <c r="AP83" s="137"/>
      <c r="AQ83" s="137"/>
    </row>
    <row r="84" spans="1:43" s="135" customFormat="1" ht="15.75" customHeight="1" thickBot="1">
      <c r="A84" s="247"/>
      <c r="B84" s="248" t="s">
        <v>295</v>
      </c>
      <c r="C84" s="249"/>
      <c r="D84" s="200"/>
      <c r="E84" s="266" t="s">
        <v>296</v>
      </c>
      <c r="F84" s="258"/>
      <c r="G84" s="243">
        <f>VLOOKUP($B84,'[2]UMH Monthly'!$E$4:$V$512,18,0)</f>
        <v>1.3455000000000002E-2</v>
      </c>
      <c r="H84" s="250"/>
      <c r="I84" s="193">
        <v>0</v>
      </c>
      <c r="J84" s="194">
        <v>3420</v>
      </c>
      <c r="K84" s="195">
        <v>3420</v>
      </c>
      <c r="L84" s="196">
        <f t="shared" si="54"/>
        <v>0</v>
      </c>
      <c r="M84" s="205">
        <f>VLOOKUP($E84,[3]Sheet1!$B$8:$AF$147,13,0)</f>
        <v>2940</v>
      </c>
      <c r="N84" s="197">
        <f t="shared" si="53"/>
        <v>2940</v>
      </c>
      <c r="O84" s="198">
        <f t="shared" si="42"/>
        <v>0</v>
      </c>
      <c r="P84" s="205">
        <f>VLOOKUP($E84,[3]Sheet1!$B$8:$AF$461,19,0)</f>
        <v>3060</v>
      </c>
      <c r="Q84" s="195">
        <f t="shared" si="43"/>
        <v>3060</v>
      </c>
      <c r="R84" s="199">
        <f t="shared" si="44"/>
        <v>0</v>
      </c>
      <c r="S84" s="205">
        <f>VLOOKUP($E84,[3]Sheet1!$B$8:$AF$461,25,0)</f>
        <v>2460</v>
      </c>
      <c r="T84" s="197">
        <f t="shared" si="45"/>
        <v>2460</v>
      </c>
      <c r="U84" s="198">
        <f t="shared" si="46"/>
        <v>0</v>
      </c>
      <c r="V84" s="205">
        <f>VLOOKUP($E84,[3]Sheet1!$B$8:$BF$461,31,0)</f>
        <v>1860</v>
      </c>
      <c r="W84" s="195">
        <f t="shared" si="47"/>
        <v>1860</v>
      </c>
      <c r="X84" s="199">
        <f t="shared" si="48"/>
        <v>0</v>
      </c>
      <c r="Y84" s="205">
        <f>VLOOKUP($E84,[3]Sheet1!$B$8:$BF$461,37,0)</f>
        <v>1440</v>
      </c>
      <c r="Z84" s="197">
        <f t="shared" si="49"/>
        <v>1440</v>
      </c>
      <c r="AA84" s="199">
        <f t="shared" si="50"/>
        <v>0</v>
      </c>
      <c r="AB84" s="205">
        <f t="shared" si="51"/>
        <v>1440</v>
      </c>
      <c r="AC84" s="197">
        <f t="shared" si="52"/>
        <v>1440</v>
      </c>
      <c r="AD84" s="263"/>
      <c r="AE84" s="134"/>
      <c r="AF84" s="206"/>
      <c r="AG84" s="252"/>
      <c r="AH84" s="252"/>
      <c r="AI84" s="252"/>
      <c r="AJ84" s="252"/>
      <c r="AK84" s="252"/>
      <c r="AM84" s="137"/>
      <c r="AN84" s="137"/>
      <c r="AO84" s="137"/>
      <c r="AP84" s="137"/>
      <c r="AQ84" s="137"/>
    </row>
    <row r="85" spans="1:43" ht="15.75" customHeight="1" thickBot="1">
      <c r="A85" s="19"/>
      <c r="B85" s="20"/>
      <c r="C85" s="19"/>
      <c r="D85" s="19"/>
      <c r="E85" s="270" t="s">
        <v>129</v>
      </c>
      <c r="F85" s="271"/>
      <c r="G85" s="271"/>
      <c r="H85" s="215"/>
      <c r="I85" s="264">
        <f>SUM(I9:I84)</f>
        <v>0</v>
      </c>
      <c r="J85" s="264">
        <f t="shared" ref="J85:AC85" si="55">SUM(J9:J84)</f>
        <v>95070</v>
      </c>
      <c r="K85" s="264">
        <f t="shared" si="55"/>
        <v>95070</v>
      </c>
      <c r="L85" s="264">
        <f t="shared" si="55"/>
        <v>0</v>
      </c>
      <c r="M85" s="264">
        <f t="shared" si="55"/>
        <v>79920</v>
      </c>
      <c r="N85" s="264">
        <f t="shared" si="55"/>
        <v>79920</v>
      </c>
      <c r="O85" s="264">
        <f t="shared" si="55"/>
        <v>0</v>
      </c>
      <c r="P85" s="264">
        <f>SUM(P9:P84)</f>
        <v>72980</v>
      </c>
      <c r="Q85" s="264">
        <f t="shared" si="55"/>
        <v>72980</v>
      </c>
      <c r="R85" s="264">
        <f t="shared" si="55"/>
        <v>0</v>
      </c>
      <c r="S85" s="264">
        <f t="shared" si="55"/>
        <v>64560</v>
      </c>
      <c r="T85" s="264">
        <f t="shared" si="55"/>
        <v>64560</v>
      </c>
      <c r="U85" s="264">
        <f t="shared" si="55"/>
        <v>0</v>
      </c>
      <c r="V85" s="264">
        <f t="shared" si="55"/>
        <v>74790</v>
      </c>
      <c r="W85" s="264">
        <f t="shared" si="55"/>
        <v>74790</v>
      </c>
      <c r="X85" s="264">
        <f t="shared" si="55"/>
        <v>0</v>
      </c>
      <c r="Y85" s="264">
        <f t="shared" si="55"/>
        <v>84560</v>
      </c>
      <c r="Z85" s="264">
        <f t="shared" si="55"/>
        <v>84560</v>
      </c>
      <c r="AA85" s="264">
        <f t="shared" si="55"/>
        <v>0</v>
      </c>
      <c r="AB85" s="264">
        <f t="shared" si="55"/>
        <v>84560</v>
      </c>
      <c r="AC85" s="264">
        <f t="shared" si="55"/>
        <v>84560</v>
      </c>
      <c r="AD85" s="265">
        <f>SUM(AD9:AD51)</f>
        <v>0</v>
      </c>
      <c r="AE85" s="87"/>
      <c r="AG85" s="117">
        <f>SUM(AG9:AG16)</f>
        <v>2608</v>
      </c>
      <c r="AH85" s="117">
        <f>SUM(AH9:AH16)</f>
        <v>2736</v>
      </c>
      <c r="AI85" s="117">
        <f>SUM(AI9:AI16)</f>
        <v>3464</v>
      </c>
      <c r="AJ85" s="117">
        <f>SUM(AJ9:AJ16)</f>
        <v>3960</v>
      </c>
      <c r="AK85" s="117">
        <f>SUM(AK9:AK16)</f>
        <v>4951</v>
      </c>
    </row>
    <row r="86" spans="1:43" ht="15.75" customHeight="1">
      <c r="A86" s="21"/>
      <c r="B86" s="21"/>
      <c r="C86" s="21"/>
      <c r="D86" s="21"/>
      <c r="E86" s="272" t="s">
        <v>18</v>
      </c>
      <c r="F86" s="273"/>
      <c r="G86" s="273"/>
      <c r="H86" s="142"/>
      <c r="I86" s="274" t="str">
        <f>I6</f>
        <v>FEB</v>
      </c>
      <c r="J86" s="275"/>
      <c r="K86" s="276"/>
      <c r="L86" s="274" t="str">
        <f>L6</f>
        <v>MAR</v>
      </c>
      <c r="M86" s="275"/>
      <c r="N86" s="276"/>
      <c r="O86" s="274" t="str">
        <f>O6</f>
        <v>APR</v>
      </c>
      <c r="P86" s="275"/>
      <c r="Q86" s="276"/>
      <c r="R86" s="274" t="str">
        <f>R6</f>
        <v>MAY</v>
      </c>
      <c r="S86" s="275"/>
      <c r="T86" s="276"/>
      <c r="U86" s="274" t="str">
        <f>U6</f>
        <v>JUN</v>
      </c>
      <c r="V86" s="275"/>
      <c r="W86" s="276"/>
      <c r="X86" s="274" t="str">
        <f>X6</f>
        <v>JUL</v>
      </c>
      <c r="Y86" s="275"/>
      <c r="Z86" s="276"/>
      <c r="AA86" s="274" t="str">
        <f>AA6</f>
        <v>AUG</v>
      </c>
      <c r="AB86" s="275"/>
      <c r="AC86" s="276"/>
      <c r="AD86" s="22"/>
      <c r="AE86" s="3"/>
      <c r="AG86" s="120">
        <f>+AG85*AG7</f>
        <v>13040</v>
      </c>
      <c r="AH86" s="120">
        <f>+AH85*AH7</f>
        <v>10944</v>
      </c>
      <c r="AI86" s="120">
        <f>+AI85*AI7</f>
        <v>13856</v>
      </c>
      <c r="AJ86" s="120">
        <f>+AJ85*AJ7</f>
        <v>19800</v>
      </c>
      <c r="AK86" s="120">
        <f>+AK85*AK7</f>
        <v>19804</v>
      </c>
      <c r="AM86" s="115"/>
      <c r="AN86" s="115"/>
      <c r="AO86" s="115"/>
      <c r="AP86" s="115"/>
      <c r="AQ86" s="115"/>
    </row>
    <row r="87" spans="1:43" ht="15.75" customHeight="1">
      <c r="A87" s="21"/>
      <c r="B87" s="21"/>
      <c r="C87" s="21"/>
      <c r="D87" s="21"/>
      <c r="E87" s="286" t="s">
        <v>5</v>
      </c>
      <c r="F87" s="287"/>
      <c r="G87" s="287"/>
      <c r="H87" s="140"/>
      <c r="I87" s="281">
        <v>21</v>
      </c>
      <c r="J87" s="282"/>
      <c r="K87" s="283"/>
      <c r="L87" s="130"/>
      <c r="M87" s="131">
        <v>21</v>
      </c>
      <c r="N87" s="132"/>
      <c r="O87" s="130"/>
      <c r="P87" s="131">
        <v>20</v>
      </c>
      <c r="Q87" s="132"/>
      <c r="R87" s="130"/>
      <c r="S87" s="131">
        <v>19</v>
      </c>
      <c r="T87" s="132"/>
      <c r="U87" s="130"/>
      <c r="V87" s="131">
        <v>23</v>
      </c>
      <c r="W87" s="132"/>
      <c r="X87" s="130"/>
      <c r="Y87" s="131">
        <v>20</v>
      </c>
      <c r="Z87" s="132"/>
      <c r="AA87" s="130"/>
      <c r="AB87" s="131">
        <v>16</v>
      </c>
      <c r="AC87" s="132"/>
      <c r="AD87" s="22"/>
      <c r="AE87" s="3"/>
    </row>
    <row r="88" spans="1:43" ht="15.75" customHeight="1" thickBot="1">
      <c r="A88" s="21"/>
      <c r="B88" s="21"/>
      <c r="C88" s="21"/>
      <c r="D88" s="21"/>
      <c r="E88" s="284" t="s">
        <v>4</v>
      </c>
      <c r="F88" s="285"/>
      <c r="G88" s="285"/>
      <c r="H88" s="141"/>
      <c r="I88" s="277">
        <f>VLOOKUP(I86,[8]Calender!$A$224:$I$1258,3,0)</f>
        <v>4</v>
      </c>
      <c r="J88" s="278"/>
      <c r="K88" s="280"/>
      <c r="L88" s="277">
        <f>VLOOKUP(L86,[8]Calender!$A$224:$I$1258,3,0)</f>
        <v>5</v>
      </c>
      <c r="M88" s="278"/>
      <c r="N88" s="279"/>
      <c r="O88" s="277">
        <f>VLOOKUP(O86,[8]Calender!$A$224:$I$1258,3,0)</f>
        <v>4</v>
      </c>
      <c r="P88" s="278"/>
      <c r="Q88" s="279"/>
      <c r="R88" s="277">
        <v>4</v>
      </c>
      <c r="S88" s="278"/>
      <c r="T88" s="279"/>
      <c r="U88" s="277">
        <f>VLOOKUP(U86,[8]Calender!$A$224:$I$1258,3,0)</f>
        <v>4</v>
      </c>
      <c r="V88" s="278"/>
      <c r="W88" s="279"/>
      <c r="X88" s="277">
        <v>5</v>
      </c>
      <c r="Y88" s="278"/>
      <c r="Z88" s="279"/>
      <c r="AA88" s="277">
        <f>VLOOKUP(AA86,[8]Calender!$A$224:$I$1258,3,0)</f>
        <v>4</v>
      </c>
      <c r="AB88" s="278"/>
      <c r="AC88" s="279"/>
      <c r="AD88" s="22"/>
      <c r="AE88" s="3"/>
    </row>
    <row r="89" spans="1:43">
      <c r="K89" s="119"/>
      <c r="N89" s="119"/>
      <c r="O89" s="119"/>
      <c r="P89" s="119"/>
      <c r="Q89" s="119"/>
      <c r="R89" s="119"/>
      <c r="S89" s="119">
        <v>79760</v>
      </c>
      <c r="T89" s="119">
        <v>73960</v>
      </c>
      <c r="U89" s="119">
        <v>73230</v>
      </c>
      <c r="V89" s="119">
        <v>8210</v>
      </c>
      <c r="W89" s="119">
        <v>12290</v>
      </c>
      <c r="X89" s="119"/>
      <c r="Y89" s="119"/>
      <c r="Z89" s="119"/>
      <c r="AA89" s="119"/>
      <c r="AB89" s="119"/>
      <c r="AC89" s="119"/>
    </row>
    <row r="90" spans="1:43">
      <c r="J90" s="119"/>
      <c r="M90" s="119"/>
      <c r="P90" s="119"/>
      <c r="S90" s="119"/>
      <c r="V90" s="119"/>
      <c r="Y90" s="119"/>
      <c r="AB90" s="119"/>
    </row>
    <row r="91" spans="1:43">
      <c r="E91" s="27" t="s">
        <v>139</v>
      </c>
      <c r="I91" s="119">
        <f t="shared" ref="I91:AC91" si="56">+SUM(I9:I16)</f>
        <v>0</v>
      </c>
      <c r="J91" s="119">
        <f t="shared" si="56"/>
        <v>17690</v>
      </c>
      <c r="K91" s="119">
        <f t="shared" si="56"/>
        <v>17690</v>
      </c>
      <c r="L91" s="119">
        <f t="shared" si="56"/>
        <v>0</v>
      </c>
      <c r="M91" s="119">
        <f t="shared" si="56"/>
        <v>15470</v>
      </c>
      <c r="N91" s="119">
        <f t="shared" si="56"/>
        <v>15470</v>
      </c>
      <c r="O91" s="119">
        <f t="shared" si="56"/>
        <v>0</v>
      </c>
      <c r="P91" s="119">
        <f t="shared" si="56"/>
        <v>13040</v>
      </c>
      <c r="Q91" s="119">
        <f t="shared" si="56"/>
        <v>13040</v>
      </c>
      <c r="R91" s="119">
        <f t="shared" si="56"/>
        <v>0</v>
      </c>
      <c r="S91" s="119">
        <f t="shared" si="56"/>
        <v>10940</v>
      </c>
      <c r="T91" s="119">
        <f t="shared" si="56"/>
        <v>10940</v>
      </c>
      <c r="U91" s="119">
        <f t="shared" si="56"/>
        <v>0</v>
      </c>
      <c r="V91" s="119">
        <f t="shared" si="56"/>
        <v>13850</v>
      </c>
      <c r="W91" s="119">
        <f t="shared" si="56"/>
        <v>13850</v>
      </c>
      <c r="X91" s="119">
        <f t="shared" si="56"/>
        <v>0</v>
      </c>
      <c r="Y91" s="119">
        <f t="shared" si="56"/>
        <v>19800</v>
      </c>
      <c r="Z91" s="119">
        <f t="shared" si="56"/>
        <v>19800</v>
      </c>
      <c r="AA91" s="119">
        <f t="shared" si="56"/>
        <v>0</v>
      </c>
      <c r="AB91" s="119">
        <f t="shared" si="56"/>
        <v>19800</v>
      </c>
      <c r="AC91" s="119">
        <f t="shared" si="56"/>
        <v>19800</v>
      </c>
    </row>
    <row r="92" spans="1:43">
      <c r="E92" s="27" t="s">
        <v>136</v>
      </c>
      <c r="I92" s="119">
        <f t="shared" ref="I92:AC92" si="57">+SUM(I37:I47)</f>
        <v>0</v>
      </c>
      <c r="J92" s="119">
        <f t="shared" si="57"/>
        <v>11520</v>
      </c>
      <c r="K92" s="119">
        <f t="shared" si="57"/>
        <v>11520</v>
      </c>
      <c r="L92" s="119">
        <f t="shared" si="57"/>
        <v>0</v>
      </c>
      <c r="M92" s="119">
        <f t="shared" si="57"/>
        <v>11600</v>
      </c>
      <c r="N92" s="119">
        <f t="shared" si="57"/>
        <v>11600</v>
      </c>
      <c r="O92" s="119">
        <f t="shared" si="57"/>
        <v>0</v>
      </c>
      <c r="P92" s="119">
        <f t="shared" si="57"/>
        <v>11920</v>
      </c>
      <c r="Q92" s="119">
        <f t="shared" si="57"/>
        <v>11920</v>
      </c>
      <c r="R92" s="119">
        <f t="shared" si="57"/>
        <v>0</v>
      </c>
      <c r="S92" s="119">
        <f t="shared" si="57"/>
        <v>10080</v>
      </c>
      <c r="T92" s="119">
        <f t="shared" si="57"/>
        <v>10080</v>
      </c>
      <c r="U92" s="119">
        <f t="shared" si="57"/>
        <v>0</v>
      </c>
      <c r="V92" s="119">
        <f t="shared" si="57"/>
        <v>12140</v>
      </c>
      <c r="W92" s="119">
        <f t="shared" si="57"/>
        <v>12140</v>
      </c>
      <c r="X92" s="119">
        <f t="shared" si="57"/>
        <v>0</v>
      </c>
      <c r="Y92" s="119">
        <f t="shared" si="57"/>
        <v>14780</v>
      </c>
      <c r="Z92" s="119">
        <f t="shared" si="57"/>
        <v>14780</v>
      </c>
      <c r="AA92" s="119">
        <f t="shared" si="57"/>
        <v>0</v>
      </c>
      <c r="AB92" s="119">
        <f t="shared" si="57"/>
        <v>14780</v>
      </c>
      <c r="AC92" s="119">
        <f t="shared" si="57"/>
        <v>14780</v>
      </c>
    </row>
    <row r="93" spans="1:43">
      <c r="E93" s="27" t="s">
        <v>134</v>
      </c>
      <c r="G93" s="222"/>
      <c r="I93" s="119">
        <f>+I91+I92</f>
        <v>0</v>
      </c>
      <c r="J93" s="119">
        <f t="shared" ref="J93:AC93" si="58">+J91+J92</f>
        <v>29210</v>
      </c>
      <c r="K93" s="119">
        <f t="shared" si="58"/>
        <v>29210</v>
      </c>
      <c r="L93" s="119">
        <f t="shared" si="58"/>
        <v>0</v>
      </c>
      <c r="M93" s="119">
        <f t="shared" si="58"/>
        <v>27070</v>
      </c>
      <c r="N93" s="119">
        <f t="shared" si="58"/>
        <v>27070</v>
      </c>
      <c r="O93" s="119">
        <f t="shared" si="58"/>
        <v>0</v>
      </c>
      <c r="P93" s="119">
        <f t="shared" si="58"/>
        <v>24960</v>
      </c>
      <c r="Q93" s="119">
        <f t="shared" si="58"/>
        <v>24960</v>
      </c>
      <c r="R93" s="119">
        <f t="shared" si="58"/>
        <v>0</v>
      </c>
      <c r="S93" s="119">
        <f t="shared" si="58"/>
        <v>21020</v>
      </c>
      <c r="T93" s="119">
        <f t="shared" si="58"/>
        <v>21020</v>
      </c>
      <c r="U93" s="119">
        <f t="shared" si="58"/>
        <v>0</v>
      </c>
      <c r="V93" s="119">
        <f t="shared" si="58"/>
        <v>25990</v>
      </c>
      <c r="W93" s="119">
        <f t="shared" si="58"/>
        <v>25990</v>
      </c>
      <c r="X93" s="119">
        <f t="shared" si="58"/>
        <v>0</v>
      </c>
      <c r="Y93" s="119">
        <f t="shared" si="58"/>
        <v>34580</v>
      </c>
      <c r="Z93" s="119">
        <f t="shared" si="58"/>
        <v>34580</v>
      </c>
      <c r="AA93" s="119">
        <f t="shared" si="58"/>
        <v>0</v>
      </c>
      <c r="AB93" s="119">
        <f t="shared" si="58"/>
        <v>34580</v>
      </c>
      <c r="AC93" s="119">
        <f t="shared" si="58"/>
        <v>34580</v>
      </c>
    </row>
    <row r="94" spans="1:43">
      <c r="E94" s="27" t="s">
        <v>138</v>
      </c>
      <c r="I94" s="7" t="str">
        <f>+IF(I93=I85,"OK","N-OK")</f>
        <v>OK</v>
      </c>
      <c r="J94" s="7" t="str">
        <f t="shared" ref="J94:AC94" si="59">+IF(J93=J85,"OK","N-OK")</f>
        <v>N-OK</v>
      </c>
      <c r="K94" s="7" t="str">
        <f t="shared" si="59"/>
        <v>N-OK</v>
      </c>
      <c r="L94" s="7" t="str">
        <f t="shared" si="59"/>
        <v>OK</v>
      </c>
      <c r="M94" s="7" t="str">
        <f t="shared" si="59"/>
        <v>N-OK</v>
      </c>
      <c r="N94" s="7" t="str">
        <f t="shared" si="59"/>
        <v>N-OK</v>
      </c>
      <c r="O94" s="7" t="str">
        <f t="shared" si="59"/>
        <v>OK</v>
      </c>
      <c r="P94" s="7" t="str">
        <f t="shared" si="59"/>
        <v>N-OK</v>
      </c>
      <c r="Q94" s="7" t="str">
        <f t="shared" si="59"/>
        <v>N-OK</v>
      </c>
      <c r="R94" s="7" t="str">
        <f t="shared" si="59"/>
        <v>OK</v>
      </c>
      <c r="S94" s="7" t="str">
        <f t="shared" si="59"/>
        <v>N-OK</v>
      </c>
      <c r="T94" s="7" t="str">
        <f t="shared" si="59"/>
        <v>N-OK</v>
      </c>
      <c r="U94" s="7" t="str">
        <f t="shared" si="59"/>
        <v>OK</v>
      </c>
      <c r="V94" s="7" t="str">
        <f t="shared" si="59"/>
        <v>N-OK</v>
      </c>
      <c r="W94" s="7" t="str">
        <f t="shared" si="59"/>
        <v>N-OK</v>
      </c>
      <c r="X94" s="7" t="str">
        <f t="shared" si="59"/>
        <v>OK</v>
      </c>
      <c r="Y94" s="7" t="str">
        <f t="shared" si="59"/>
        <v>N-OK</v>
      </c>
      <c r="Z94" s="7" t="str">
        <f t="shared" si="59"/>
        <v>N-OK</v>
      </c>
      <c r="AA94" s="7" t="str">
        <f t="shared" si="59"/>
        <v>OK</v>
      </c>
      <c r="AB94" s="7" t="str">
        <f t="shared" si="59"/>
        <v>N-OK</v>
      </c>
      <c r="AC94" s="7" t="str">
        <f t="shared" si="59"/>
        <v>N-OK</v>
      </c>
    </row>
    <row r="95" spans="1:43" ht="16.5" customHeight="1">
      <c r="F95" s="223">
        <v>67030</v>
      </c>
      <c r="G95" s="224" t="s">
        <v>131</v>
      </c>
      <c r="H95" s="224"/>
      <c r="I95" s="225" t="e">
        <f>SUM(I10,I12,I14,I16:I16,#REF!,#REF!)</f>
        <v>#REF!</v>
      </c>
      <c r="J95" s="224" t="e">
        <f>SUM(J10,J12,J14,J16:J16,#REF!,#REF!)</f>
        <v>#REF!</v>
      </c>
      <c r="K95" s="224" t="e">
        <f>SUM(K10,K12,K14,K16:K16,#REF!,#REF!)</f>
        <v>#REF!</v>
      </c>
      <c r="L95" s="224" t="e">
        <f>SUM(L10,L12,L14,L16:L16,#REF!,#REF!)</f>
        <v>#REF!</v>
      </c>
      <c r="M95" s="224" t="e">
        <f>SUM(M10,M12,M14,M16:M16,#REF!,#REF!)</f>
        <v>#REF!</v>
      </c>
      <c r="N95" s="224" t="e">
        <f>SUM(N10,N12,N14,N16:N16,#REF!,#REF!)</f>
        <v>#REF!</v>
      </c>
      <c r="O95" s="224" t="e">
        <f>SUM(O10,O12,O14,O16:O16,#REF!,#REF!)</f>
        <v>#REF!</v>
      </c>
      <c r="P95" s="224" t="e">
        <f>SUM(P10,P12,P14,P16:P16,#REF!,#REF!)</f>
        <v>#REF!</v>
      </c>
      <c r="Q95" s="224" t="e">
        <f>SUM(Q10,Q12,Q14,Q16:Q16,#REF!,#REF!)</f>
        <v>#REF!</v>
      </c>
      <c r="R95" s="224" t="e">
        <f>SUM(R10,R12,R14,R16:R16,#REF!,#REF!)</f>
        <v>#REF!</v>
      </c>
      <c r="S95" s="224" t="e">
        <f>SUM(S10,S12,S14,S16:S16,#REF!,#REF!)</f>
        <v>#REF!</v>
      </c>
      <c r="T95" s="224" t="e">
        <f>SUM(T10,T12,T14,T16:T16,#REF!,#REF!)</f>
        <v>#REF!</v>
      </c>
      <c r="U95" s="224" t="e">
        <f>SUM(U10,U12,U14,U16:U16,#REF!,#REF!)</f>
        <v>#REF!</v>
      </c>
      <c r="V95" s="224" t="e">
        <f>SUM(V10,V12,V14,V16:V16,#REF!,#REF!)</f>
        <v>#REF!</v>
      </c>
      <c r="W95" s="224" t="e">
        <f>SUM(W10,W12,W14,W16:W16,#REF!,#REF!)</f>
        <v>#REF!</v>
      </c>
      <c r="X95" s="224" t="e">
        <f>SUM(X10,X12,X14,X16:X16,#REF!,#REF!)</f>
        <v>#REF!</v>
      </c>
      <c r="Y95" s="224" t="e">
        <f>SUM(Y10,Y12,Y14,Y16:Y16,#REF!,#REF!)</f>
        <v>#REF!</v>
      </c>
      <c r="Z95" s="224" t="e">
        <f>SUM(Z10,Z12,Z14,Z16:Z16,#REF!,#REF!)</f>
        <v>#REF!</v>
      </c>
      <c r="AA95" s="224" t="e">
        <f>SUM(AA10,AA12,AA14,AA16:AA16,#REF!,#REF!)</f>
        <v>#REF!</v>
      </c>
      <c r="AB95" s="224" t="e">
        <f>SUM(AB10,AB12,AB14,AB16:AB16,#REF!,#REF!)</f>
        <v>#REF!</v>
      </c>
      <c r="AC95" s="224" t="e">
        <f>SUM(AC10,AC12,AC14,AC16:AC16,#REF!,#REF!)</f>
        <v>#REF!</v>
      </c>
    </row>
    <row r="96" spans="1:43" ht="16.5" customHeight="1">
      <c r="F96" s="223">
        <v>67030</v>
      </c>
      <c r="G96" s="224" t="s">
        <v>132</v>
      </c>
      <c r="H96" s="224"/>
      <c r="I96" s="225" t="e">
        <f>SUM(I9,I11,I13,I15,#REF!,#REF!)</f>
        <v>#REF!</v>
      </c>
      <c r="J96" s="224" t="e">
        <f>SUM(J9,J11,J13,J15,#REF!,#REF!)</f>
        <v>#REF!</v>
      </c>
      <c r="K96" s="224" t="e">
        <f>SUM(K9,K11,K13,K15,#REF!,#REF!)</f>
        <v>#REF!</v>
      </c>
      <c r="L96" s="224" t="e">
        <f>SUM(L9,L11,L13,L15,#REF!,#REF!)</f>
        <v>#REF!</v>
      </c>
      <c r="M96" s="224" t="e">
        <f>SUM(M9,M11,M13,M15,#REF!,#REF!)</f>
        <v>#REF!</v>
      </c>
      <c r="N96" s="224" t="e">
        <f>SUM(N9,N11,N13,N15,#REF!,#REF!)</f>
        <v>#REF!</v>
      </c>
      <c r="O96" s="224" t="e">
        <f>SUM(O9,O11,O13,O15,#REF!,#REF!)</f>
        <v>#REF!</v>
      </c>
      <c r="P96" s="224" t="e">
        <f>SUM(P9,P11,P13,P15,#REF!,#REF!)</f>
        <v>#REF!</v>
      </c>
      <c r="Q96" s="224" t="e">
        <f>SUM(Q9,Q11,Q13,Q15,#REF!,#REF!)</f>
        <v>#REF!</v>
      </c>
      <c r="R96" s="224" t="e">
        <f>SUM(R9,R11,R13,R15,#REF!,#REF!)</f>
        <v>#REF!</v>
      </c>
      <c r="S96" s="224" t="e">
        <f>SUM(S9,S11,S13,S15,#REF!,#REF!)</f>
        <v>#REF!</v>
      </c>
      <c r="T96" s="224" t="e">
        <f>SUM(T9,T11,T13,T15,#REF!,#REF!)</f>
        <v>#REF!</v>
      </c>
      <c r="U96" s="224" t="e">
        <f>SUM(U9,U11,U13,U15,#REF!,#REF!)</f>
        <v>#REF!</v>
      </c>
      <c r="V96" s="224" t="e">
        <f>SUM(V9,V11,V13,V15,#REF!,#REF!)</f>
        <v>#REF!</v>
      </c>
      <c r="W96" s="224" t="e">
        <f>SUM(W9,W11,W13,W15,#REF!,#REF!)</f>
        <v>#REF!</v>
      </c>
      <c r="X96" s="224" t="e">
        <f>SUM(X9,X11,X13,X15,#REF!,#REF!)</f>
        <v>#REF!</v>
      </c>
      <c r="Y96" s="224" t="e">
        <f>SUM(Y9,Y11,Y13,Y15,#REF!,#REF!)</f>
        <v>#REF!</v>
      </c>
      <c r="Z96" s="224" t="e">
        <f>SUM(Z9,Z11,Z13,Z15,#REF!,#REF!)</f>
        <v>#REF!</v>
      </c>
      <c r="AA96" s="224" t="e">
        <f>SUM(AA9,AA11,AA13,AA15,#REF!,#REF!)</f>
        <v>#REF!</v>
      </c>
      <c r="AB96" s="224" t="e">
        <f>SUM(AB9,AB11,AB13,AB15,#REF!,#REF!)</f>
        <v>#REF!</v>
      </c>
      <c r="AC96" s="224" t="e">
        <f>SUM(AC9,AC11,AC13,AC15,#REF!,#REF!)</f>
        <v>#REF!</v>
      </c>
    </row>
    <row r="97" spans="1:37" s="231" customFormat="1" ht="16.5" customHeight="1">
      <c r="A97" s="226"/>
      <c r="B97" s="226"/>
      <c r="C97" s="226"/>
      <c r="D97" s="14"/>
      <c r="E97" s="14"/>
      <c r="F97" s="227"/>
      <c r="G97" s="228" t="s">
        <v>134</v>
      </c>
      <c r="H97" s="228"/>
      <c r="I97" s="229" t="e">
        <f>SUM(I95:I96)</f>
        <v>#REF!</v>
      </c>
      <c r="J97" s="228" t="e">
        <f t="shared" ref="J97:AC97" si="60">SUM(J95:J96)</f>
        <v>#REF!</v>
      </c>
      <c r="K97" s="228" t="e">
        <f t="shared" si="60"/>
        <v>#REF!</v>
      </c>
      <c r="L97" s="228" t="e">
        <f t="shared" si="60"/>
        <v>#REF!</v>
      </c>
      <c r="M97" s="228" t="e">
        <f t="shared" si="60"/>
        <v>#REF!</v>
      </c>
      <c r="N97" s="228" t="e">
        <f t="shared" si="60"/>
        <v>#REF!</v>
      </c>
      <c r="O97" s="228" t="e">
        <f t="shared" si="60"/>
        <v>#REF!</v>
      </c>
      <c r="P97" s="228" t="e">
        <f t="shared" si="60"/>
        <v>#REF!</v>
      </c>
      <c r="Q97" s="228" t="e">
        <f t="shared" si="60"/>
        <v>#REF!</v>
      </c>
      <c r="R97" s="228" t="e">
        <f t="shared" si="60"/>
        <v>#REF!</v>
      </c>
      <c r="S97" s="228" t="e">
        <f t="shared" si="60"/>
        <v>#REF!</v>
      </c>
      <c r="T97" s="228" t="e">
        <f t="shared" si="60"/>
        <v>#REF!</v>
      </c>
      <c r="U97" s="228" t="e">
        <f t="shared" si="60"/>
        <v>#REF!</v>
      </c>
      <c r="V97" s="228" t="e">
        <f t="shared" si="60"/>
        <v>#REF!</v>
      </c>
      <c r="W97" s="228" t="e">
        <f t="shared" si="60"/>
        <v>#REF!</v>
      </c>
      <c r="X97" s="228" t="e">
        <f t="shared" si="60"/>
        <v>#REF!</v>
      </c>
      <c r="Y97" s="228" t="e">
        <f t="shared" si="60"/>
        <v>#REF!</v>
      </c>
      <c r="Z97" s="228" t="e">
        <f t="shared" si="60"/>
        <v>#REF!</v>
      </c>
      <c r="AA97" s="228" t="e">
        <f t="shared" si="60"/>
        <v>#REF!</v>
      </c>
      <c r="AB97" s="228" t="e">
        <f t="shared" si="60"/>
        <v>#REF!</v>
      </c>
      <c r="AC97" s="228" t="e">
        <f t="shared" si="60"/>
        <v>#REF!</v>
      </c>
      <c r="AD97" s="226"/>
      <c r="AE97" s="230"/>
      <c r="AG97" s="232"/>
      <c r="AH97" s="232"/>
      <c r="AI97" s="232"/>
      <c r="AJ97" s="232"/>
      <c r="AK97" s="232"/>
    </row>
    <row r="98" spans="1:37" ht="16.5" customHeight="1">
      <c r="F98" s="223">
        <v>67120</v>
      </c>
      <c r="G98" s="224" t="s">
        <v>131</v>
      </c>
      <c r="H98" s="224"/>
      <c r="I98" s="225" t="e">
        <f>SUM(#REF!,#REF!,#REF!)</f>
        <v>#REF!</v>
      </c>
      <c r="J98" s="224" t="e">
        <f>SUM(#REF!,#REF!,#REF!)</f>
        <v>#REF!</v>
      </c>
      <c r="K98" s="224" t="e">
        <f>SUM(#REF!,#REF!,#REF!)</f>
        <v>#REF!</v>
      </c>
      <c r="L98" s="224" t="e">
        <f>SUM(#REF!,#REF!,#REF!)</f>
        <v>#REF!</v>
      </c>
      <c r="M98" s="224" t="e">
        <f>SUM(#REF!,#REF!,#REF!)</f>
        <v>#REF!</v>
      </c>
      <c r="N98" s="224" t="e">
        <f>SUM(#REF!,#REF!,#REF!)</f>
        <v>#REF!</v>
      </c>
      <c r="O98" s="224" t="e">
        <f>SUM(#REF!,#REF!,#REF!)</f>
        <v>#REF!</v>
      </c>
      <c r="P98" s="224" t="e">
        <f>SUM(#REF!,#REF!,#REF!)</f>
        <v>#REF!</v>
      </c>
      <c r="Q98" s="224" t="e">
        <f>SUM(#REF!,#REF!,#REF!)</f>
        <v>#REF!</v>
      </c>
      <c r="R98" s="224" t="e">
        <f>SUM(#REF!,#REF!,#REF!)</f>
        <v>#REF!</v>
      </c>
      <c r="S98" s="224" t="e">
        <f>SUM(#REF!,#REF!,#REF!)</f>
        <v>#REF!</v>
      </c>
      <c r="T98" s="224" t="e">
        <f>SUM(#REF!,#REF!,#REF!)</f>
        <v>#REF!</v>
      </c>
      <c r="U98" s="224" t="e">
        <f>SUM(#REF!,#REF!,#REF!)</f>
        <v>#REF!</v>
      </c>
      <c r="V98" s="224" t="e">
        <f>SUM(#REF!,#REF!,#REF!)</f>
        <v>#REF!</v>
      </c>
      <c r="W98" s="224" t="e">
        <f>SUM(#REF!,#REF!,#REF!)</f>
        <v>#REF!</v>
      </c>
      <c r="X98" s="224" t="e">
        <f>SUM(#REF!,#REF!,#REF!)</f>
        <v>#REF!</v>
      </c>
      <c r="Y98" s="224" t="e">
        <f>SUM(#REF!,#REF!,#REF!)</f>
        <v>#REF!</v>
      </c>
      <c r="Z98" s="224" t="e">
        <f>SUM(#REF!,#REF!,#REF!)</f>
        <v>#REF!</v>
      </c>
      <c r="AA98" s="224" t="e">
        <f>SUM(#REF!,#REF!,#REF!)</f>
        <v>#REF!</v>
      </c>
      <c r="AB98" s="224" t="e">
        <f>SUM(#REF!,#REF!,#REF!)</f>
        <v>#REF!</v>
      </c>
      <c r="AC98" s="224" t="e">
        <f>SUM(#REF!,#REF!,#REF!)</f>
        <v>#REF!</v>
      </c>
    </row>
    <row r="99" spans="1:37" ht="16.5" customHeight="1">
      <c r="F99" s="223">
        <v>67120</v>
      </c>
      <c r="G99" s="224" t="s">
        <v>132</v>
      </c>
      <c r="H99" s="224"/>
      <c r="I99" s="225" t="e">
        <f>SUM(#REF!,#REF!)</f>
        <v>#REF!</v>
      </c>
      <c r="J99" s="224" t="e">
        <f>SUM(#REF!,#REF!)</f>
        <v>#REF!</v>
      </c>
      <c r="K99" s="224" t="e">
        <f>SUM(#REF!,#REF!)</f>
        <v>#REF!</v>
      </c>
      <c r="L99" s="224" t="e">
        <f>SUM(#REF!,#REF!)</f>
        <v>#REF!</v>
      </c>
      <c r="M99" s="224" t="e">
        <f>SUM(#REF!,#REF!)</f>
        <v>#REF!</v>
      </c>
      <c r="N99" s="224" t="e">
        <f>SUM(#REF!,#REF!)</f>
        <v>#REF!</v>
      </c>
      <c r="O99" s="224" t="e">
        <f>SUM(#REF!,#REF!)</f>
        <v>#REF!</v>
      </c>
      <c r="P99" s="224" t="e">
        <f>SUM(#REF!,#REF!)</f>
        <v>#REF!</v>
      </c>
      <c r="Q99" s="224" t="e">
        <f>SUM(#REF!,#REF!)</f>
        <v>#REF!</v>
      </c>
      <c r="R99" s="224" t="e">
        <f>SUM(#REF!,#REF!)</f>
        <v>#REF!</v>
      </c>
      <c r="S99" s="224" t="e">
        <f>SUM(#REF!,#REF!)</f>
        <v>#REF!</v>
      </c>
      <c r="T99" s="224" t="e">
        <f>SUM(#REF!,#REF!)</f>
        <v>#REF!</v>
      </c>
      <c r="U99" s="224" t="e">
        <f>SUM(#REF!,#REF!)</f>
        <v>#REF!</v>
      </c>
      <c r="V99" s="224" t="e">
        <f>SUM(#REF!,#REF!)</f>
        <v>#REF!</v>
      </c>
      <c r="W99" s="224" t="e">
        <f>SUM(#REF!,#REF!)</f>
        <v>#REF!</v>
      </c>
      <c r="X99" s="224" t="e">
        <f>SUM(#REF!,#REF!)</f>
        <v>#REF!</v>
      </c>
      <c r="Y99" s="224" t="e">
        <f>SUM(#REF!,#REF!)</f>
        <v>#REF!</v>
      </c>
      <c r="Z99" s="224" t="e">
        <f>SUM(#REF!,#REF!)</f>
        <v>#REF!</v>
      </c>
      <c r="AA99" s="224" t="e">
        <f>SUM(#REF!,#REF!)</f>
        <v>#REF!</v>
      </c>
      <c r="AB99" s="224" t="e">
        <f>SUM(#REF!,#REF!)</f>
        <v>#REF!</v>
      </c>
      <c r="AC99" s="224" t="e">
        <f>SUM(#REF!,#REF!)</f>
        <v>#REF!</v>
      </c>
    </row>
    <row r="100" spans="1:37" s="231" customFormat="1" ht="16.5" customHeight="1">
      <c r="A100" s="226"/>
      <c r="B100" s="226"/>
      <c r="C100" s="226"/>
      <c r="D100" s="14"/>
      <c r="E100" s="14"/>
      <c r="F100" s="227"/>
      <c r="G100" s="228" t="s">
        <v>134</v>
      </c>
      <c r="H100" s="228"/>
      <c r="I100" s="229" t="e">
        <f>SUM(I98:I99)</f>
        <v>#REF!</v>
      </c>
      <c r="J100" s="228" t="e">
        <f t="shared" ref="J100:AC100" si="61">SUM(J98:J99)</f>
        <v>#REF!</v>
      </c>
      <c r="K100" s="228" t="e">
        <f t="shared" si="61"/>
        <v>#REF!</v>
      </c>
      <c r="L100" s="228" t="e">
        <f t="shared" si="61"/>
        <v>#REF!</v>
      </c>
      <c r="M100" s="228" t="e">
        <f t="shared" si="61"/>
        <v>#REF!</v>
      </c>
      <c r="N100" s="228" t="e">
        <f t="shared" si="61"/>
        <v>#REF!</v>
      </c>
      <c r="O100" s="228" t="e">
        <f t="shared" si="61"/>
        <v>#REF!</v>
      </c>
      <c r="P100" s="228" t="e">
        <f t="shared" si="61"/>
        <v>#REF!</v>
      </c>
      <c r="Q100" s="228" t="e">
        <f t="shared" si="61"/>
        <v>#REF!</v>
      </c>
      <c r="R100" s="228" t="e">
        <f t="shared" si="61"/>
        <v>#REF!</v>
      </c>
      <c r="S100" s="228" t="e">
        <f t="shared" si="61"/>
        <v>#REF!</v>
      </c>
      <c r="T100" s="228" t="e">
        <f t="shared" si="61"/>
        <v>#REF!</v>
      </c>
      <c r="U100" s="228" t="e">
        <f t="shared" si="61"/>
        <v>#REF!</v>
      </c>
      <c r="V100" s="228" t="e">
        <f t="shared" si="61"/>
        <v>#REF!</v>
      </c>
      <c r="W100" s="228" t="e">
        <f t="shared" si="61"/>
        <v>#REF!</v>
      </c>
      <c r="X100" s="228" t="e">
        <f t="shared" si="61"/>
        <v>#REF!</v>
      </c>
      <c r="Y100" s="228" t="e">
        <f t="shared" si="61"/>
        <v>#REF!</v>
      </c>
      <c r="Z100" s="228" t="e">
        <f t="shared" si="61"/>
        <v>#REF!</v>
      </c>
      <c r="AA100" s="228" t="e">
        <f t="shared" si="61"/>
        <v>#REF!</v>
      </c>
      <c r="AB100" s="228" t="e">
        <f t="shared" si="61"/>
        <v>#REF!</v>
      </c>
      <c r="AC100" s="228" t="e">
        <f t="shared" si="61"/>
        <v>#REF!</v>
      </c>
      <c r="AD100" s="226"/>
      <c r="AE100" s="230"/>
      <c r="AG100" s="232"/>
      <c r="AH100" s="232"/>
      <c r="AI100" s="232"/>
      <c r="AJ100" s="232"/>
      <c r="AK100" s="232"/>
    </row>
    <row r="101" spans="1:37" ht="16.5" customHeight="1">
      <c r="F101" s="223">
        <v>67240</v>
      </c>
      <c r="G101" s="224" t="s">
        <v>131</v>
      </c>
      <c r="H101" s="224"/>
      <c r="I101" s="225" t="e">
        <f>SUM(#REF!,#REF!,#REF!)</f>
        <v>#REF!</v>
      </c>
      <c r="J101" s="224" t="e">
        <f>SUM(#REF!,#REF!,#REF!)</f>
        <v>#REF!</v>
      </c>
      <c r="K101" s="224" t="e">
        <f>SUM(#REF!,#REF!,#REF!)</f>
        <v>#REF!</v>
      </c>
      <c r="L101" s="224" t="e">
        <f>SUM(#REF!,#REF!,#REF!)</f>
        <v>#REF!</v>
      </c>
      <c r="M101" s="224" t="e">
        <f>SUM(#REF!,#REF!,#REF!)</f>
        <v>#REF!</v>
      </c>
      <c r="N101" s="224" t="e">
        <f>SUM(#REF!,#REF!,#REF!)</f>
        <v>#REF!</v>
      </c>
      <c r="O101" s="224" t="e">
        <f>SUM(#REF!,#REF!,#REF!)</f>
        <v>#REF!</v>
      </c>
      <c r="P101" s="224" t="e">
        <f>SUM(#REF!,#REF!,#REF!)</f>
        <v>#REF!</v>
      </c>
      <c r="Q101" s="224" t="e">
        <f>SUM(#REF!,#REF!,#REF!)</f>
        <v>#REF!</v>
      </c>
      <c r="R101" s="224" t="e">
        <f>SUM(#REF!,#REF!,#REF!)</f>
        <v>#REF!</v>
      </c>
      <c r="S101" s="224" t="e">
        <f>SUM(#REF!,#REF!,#REF!)</f>
        <v>#REF!</v>
      </c>
      <c r="T101" s="224" t="e">
        <f>SUM(#REF!,#REF!,#REF!)</f>
        <v>#REF!</v>
      </c>
      <c r="U101" s="224" t="e">
        <f>SUM(#REF!,#REF!,#REF!)</f>
        <v>#REF!</v>
      </c>
      <c r="V101" s="224" t="e">
        <f>SUM(#REF!,#REF!,#REF!)</f>
        <v>#REF!</v>
      </c>
      <c r="W101" s="224" t="e">
        <f>SUM(#REF!,#REF!,#REF!)</f>
        <v>#REF!</v>
      </c>
      <c r="X101" s="224" t="e">
        <f>SUM(#REF!,#REF!,#REF!)</f>
        <v>#REF!</v>
      </c>
      <c r="Y101" s="224" t="e">
        <f>SUM(#REF!,#REF!,#REF!)</f>
        <v>#REF!</v>
      </c>
      <c r="Z101" s="224" t="e">
        <f>SUM(#REF!,#REF!,#REF!)</f>
        <v>#REF!</v>
      </c>
      <c r="AA101" s="224" t="e">
        <f>SUM(#REF!,#REF!,#REF!)</f>
        <v>#REF!</v>
      </c>
      <c r="AB101" s="224" t="e">
        <f>SUM(#REF!,#REF!,#REF!)</f>
        <v>#REF!</v>
      </c>
      <c r="AC101" s="224" t="e">
        <f>SUM(#REF!,#REF!,#REF!)</f>
        <v>#REF!</v>
      </c>
    </row>
    <row r="102" spans="1:37" ht="16.5" customHeight="1">
      <c r="F102" s="223">
        <v>67240</v>
      </c>
      <c r="G102" s="224" t="s">
        <v>132</v>
      </c>
      <c r="H102" s="224"/>
      <c r="I102" s="225" t="e">
        <f>SUM(#REF!,#REF!)</f>
        <v>#REF!</v>
      </c>
      <c r="J102" s="224" t="e">
        <f>SUM(#REF!,#REF!)</f>
        <v>#REF!</v>
      </c>
      <c r="K102" s="224" t="e">
        <f>SUM(#REF!,#REF!)</f>
        <v>#REF!</v>
      </c>
      <c r="L102" s="224" t="e">
        <f>SUM(#REF!,#REF!)</f>
        <v>#REF!</v>
      </c>
      <c r="M102" s="224" t="e">
        <f>SUM(#REF!,#REF!)</f>
        <v>#REF!</v>
      </c>
      <c r="N102" s="224" t="e">
        <f>SUM(#REF!,#REF!)</f>
        <v>#REF!</v>
      </c>
      <c r="O102" s="224" t="e">
        <f>SUM(#REF!,#REF!)</f>
        <v>#REF!</v>
      </c>
      <c r="P102" s="224" t="e">
        <f>SUM(#REF!,#REF!)</f>
        <v>#REF!</v>
      </c>
      <c r="Q102" s="224" t="e">
        <f>SUM(#REF!,#REF!)</f>
        <v>#REF!</v>
      </c>
      <c r="R102" s="224" t="e">
        <f>SUM(#REF!,#REF!)</f>
        <v>#REF!</v>
      </c>
      <c r="S102" s="224" t="e">
        <f>SUM(#REF!,#REF!)</f>
        <v>#REF!</v>
      </c>
      <c r="T102" s="224" t="e">
        <f>SUM(#REF!,#REF!)</f>
        <v>#REF!</v>
      </c>
      <c r="U102" s="224" t="e">
        <f>SUM(#REF!,#REF!)</f>
        <v>#REF!</v>
      </c>
      <c r="V102" s="224" t="e">
        <f>SUM(#REF!,#REF!)</f>
        <v>#REF!</v>
      </c>
      <c r="W102" s="224" t="e">
        <f>SUM(#REF!,#REF!)</f>
        <v>#REF!</v>
      </c>
      <c r="X102" s="224" t="e">
        <f>SUM(#REF!,#REF!)</f>
        <v>#REF!</v>
      </c>
      <c r="Y102" s="224" t="e">
        <f>SUM(#REF!,#REF!)</f>
        <v>#REF!</v>
      </c>
      <c r="Z102" s="224" t="e">
        <f>SUM(#REF!,#REF!)</f>
        <v>#REF!</v>
      </c>
      <c r="AA102" s="224" t="e">
        <f>SUM(#REF!,#REF!)</f>
        <v>#REF!</v>
      </c>
      <c r="AB102" s="224" t="e">
        <f>SUM(#REF!,#REF!)</f>
        <v>#REF!</v>
      </c>
      <c r="AC102" s="224" t="e">
        <f>SUM(#REF!,#REF!)</f>
        <v>#REF!</v>
      </c>
    </row>
    <row r="103" spans="1:37" s="231" customFormat="1" ht="16.5" customHeight="1">
      <c r="A103" s="226"/>
      <c r="B103" s="226"/>
      <c r="C103" s="226"/>
      <c r="D103" s="14"/>
      <c r="E103" s="14"/>
      <c r="F103" s="227"/>
      <c r="G103" s="228" t="s">
        <v>134</v>
      </c>
      <c r="H103" s="228"/>
      <c r="I103" s="229" t="e">
        <f>SUM(I101:I102)</f>
        <v>#REF!</v>
      </c>
      <c r="J103" s="228" t="e">
        <f t="shared" ref="J103:AC103" si="62">SUM(J101:J102)</f>
        <v>#REF!</v>
      </c>
      <c r="K103" s="228" t="e">
        <f t="shared" si="62"/>
        <v>#REF!</v>
      </c>
      <c r="L103" s="228" t="e">
        <f t="shared" si="62"/>
        <v>#REF!</v>
      </c>
      <c r="M103" s="228" t="e">
        <f t="shared" si="62"/>
        <v>#REF!</v>
      </c>
      <c r="N103" s="228" t="e">
        <f t="shared" si="62"/>
        <v>#REF!</v>
      </c>
      <c r="O103" s="228" t="e">
        <f t="shared" si="62"/>
        <v>#REF!</v>
      </c>
      <c r="P103" s="228" t="e">
        <f t="shared" si="62"/>
        <v>#REF!</v>
      </c>
      <c r="Q103" s="228" t="e">
        <f t="shared" si="62"/>
        <v>#REF!</v>
      </c>
      <c r="R103" s="228" t="e">
        <f t="shared" si="62"/>
        <v>#REF!</v>
      </c>
      <c r="S103" s="228" t="e">
        <f t="shared" si="62"/>
        <v>#REF!</v>
      </c>
      <c r="T103" s="228" t="e">
        <f t="shared" si="62"/>
        <v>#REF!</v>
      </c>
      <c r="U103" s="228" t="e">
        <f t="shared" si="62"/>
        <v>#REF!</v>
      </c>
      <c r="V103" s="228" t="e">
        <f t="shared" si="62"/>
        <v>#REF!</v>
      </c>
      <c r="W103" s="228" t="e">
        <f t="shared" si="62"/>
        <v>#REF!</v>
      </c>
      <c r="X103" s="228" t="e">
        <f t="shared" si="62"/>
        <v>#REF!</v>
      </c>
      <c r="Y103" s="228" t="e">
        <f t="shared" si="62"/>
        <v>#REF!</v>
      </c>
      <c r="Z103" s="228" t="e">
        <f t="shared" si="62"/>
        <v>#REF!</v>
      </c>
      <c r="AA103" s="228" t="e">
        <f t="shared" si="62"/>
        <v>#REF!</v>
      </c>
      <c r="AB103" s="228" t="e">
        <f t="shared" si="62"/>
        <v>#REF!</v>
      </c>
      <c r="AC103" s="228" t="e">
        <f t="shared" si="62"/>
        <v>#REF!</v>
      </c>
      <c r="AD103" s="226"/>
      <c r="AE103" s="230"/>
      <c r="AG103" s="232"/>
      <c r="AH103" s="232"/>
      <c r="AI103" s="232"/>
      <c r="AJ103" s="232"/>
      <c r="AK103" s="232"/>
    </row>
    <row r="104" spans="1:37" ht="16.5" customHeight="1">
      <c r="F104" s="223" t="s">
        <v>133</v>
      </c>
      <c r="G104" s="224" t="s">
        <v>131</v>
      </c>
      <c r="H104" s="224"/>
      <c r="I104" s="225" t="e">
        <f>SUM(#REF!,#REF!)</f>
        <v>#REF!</v>
      </c>
      <c r="J104" s="224" t="e">
        <f>SUM(#REF!,#REF!)</f>
        <v>#REF!</v>
      </c>
      <c r="K104" s="224" t="e">
        <f>SUM(#REF!,#REF!)</f>
        <v>#REF!</v>
      </c>
      <c r="L104" s="224" t="e">
        <f>SUM(#REF!,#REF!)</f>
        <v>#REF!</v>
      </c>
      <c r="M104" s="224" t="e">
        <f>SUM(#REF!,#REF!)</f>
        <v>#REF!</v>
      </c>
      <c r="N104" s="224" t="e">
        <f>SUM(#REF!,#REF!)</f>
        <v>#REF!</v>
      </c>
      <c r="O104" s="224" t="e">
        <f>SUM(#REF!,#REF!)</f>
        <v>#REF!</v>
      </c>
      <c r="P104" s="224" t="e">
        <f>SUM(#REF!,#REF!)</f>
        <v>#REF!</v>
      </c>
      <c r="Q104" s="224" t="e">
        <f>SUM(#REF!,#REF!)</f>
        <v>#REF!</v>
      </c>
      <c r="R104" s="224" t="e">
        <f>SUM(#REF!,#REF!)</f>
        <v>#REF!</v>
      </c>
      <c r="S104" s="224" t="e">
        <f>SUM(#REF!,#REF!)</f>
        <v>#REF!</v>
      </c>
      <c r="T104" s="224" t="e">
        <f>SUM(#REF!,#REF!)</f>
        <v>#REF!</v>
      </c>
      <c r="U104" s="224" t="e">
        <f>SUM(#REF!,#REF!)</f>
        <v>#REF!</v>
      </c>
      <c r="V104" s="224" t="e">
        <f>SUM(#REF!,#REF!)</f>
        <v>#REF!</v>
      </c>
      <c r="W104" s="224" t="e">
        <f>SUM(#REF!,#REF!)</f>
        <v>#REF!</v>
      </c>
      <c r="X104" s="224" t="e">
        <f>SUM(#REF!,#REF!)</f>
        <v>#REF!</v>
      </c>
      <c r="Y104" s="224" t="e">
        <f>SUM(#REF!,#REF!)</f>
        <v>#REF!</v>
      </c>
      <c r="Z104" s="224" t="e">
        <f>SUM(#REF!,#REF!)</f>
        <v>#REF!</v>
      </c>
      <c r="AA104" s="224" t="e">
        <f>SUM(#REF!,#REF!)</f>
        <v>#REF!</v>
      </c>
      <c r="AB104" s="224" t="e">
        <f>SUM(#REF!,#REF!)</f>
        <v>#REF!</v>
      </c>
      <c r="AC104" s="224" t="e">
        <f>SUM(#REF!,#REF!)</f>
        <v>#REF!</v>
      </c>
    </row>
    <row r="105" spans="1:37" ht="16.5" customHeight="1">
      <c r="F105" s="223" t="s">
        <v>135</v>
      </c>
      <c r="G105" s="224" t="s">
        <v>131</v>
      </c>
      <c r="H105" s="224"/>
      <c r="I105" s="225" t="e">
        <f>#REF!</f>
        <v>#REF!</v>
      </c>
      <c r="J105" s="224" t="e">
        <f>#REF!</f>
        <v>#REF!</v>
      </c>
      <c r="K105" s="224" t="e">
        <f>#REF!</f>
        <v>#REF!</v>
      </c>
      <c r="L105" s="224" t="e">
        <f>#REF!</f>
        <v>#REF!</v>
      </c>
      <c r="M105" s="224" t="e">
        <f>#REF!</f>
        <v>#REF!</v>
      </c>
      <c r="N105" s="224" t="e">
        <f>#REF!</f>
        <v>#REF!</v>
      </c>
      <c r="O105" s="224" t="e">
        <f>#REF!</f>
        <v>#REF!</v>
      </c>
      <c r="P105" s="224" t="e">
        <f>#REF!</f>
        <v>#REF!</v>
      </c>
      <c r="Q105" s="224" t="e">
        <f>#REF!</f>
        <v>#REF!</v>
      </c>
      <c r="R105" s="224" t="e">
        <f>#REF!</f>
        <v>#REF!</v>
      </c>
      <c r="S105" s="224" t="e">
        <f>#REF!</f>
        <v>#REF!</v>
      </c>
      <c r="T105" s="224" t="e">
        <f>#REF!</f>
        <v>#REF!</v>
      </c>
      <c r="U105" s="224" t="e">
        <f>#REF!</f>
        <v>#REF!</v>
      </c>
      <c r="V105" s="224" t="e">
        <f>#REF!</f>
        <v>#REF!</v>
      </c>
      <c r="W105" s="224" t="e">
        <f>#REF!</f>
        <v>#REF!</v>
      </c>
      <c r="X105" s="224" t="e">
        <f>#REF!</f>
        <v>#REF!</v>
      </c>
      <c r="Y105" s="224" t="e">
        <f>#REF!</f>
        <v>#REF!</v>
      </c>
      <c r="Z105" s="224" t="e">
        <f>#REF!</f>
        <v>#REF!</v>
      </c>
      <c r="AA105" s="224" t="e">
        <f>#REF!</f>
        <v>#REF!</v>
      </c>
      <c r="AB105" s="224" t="e">
        <f>#REF!</f>
        <v>#REF!</v>
      </c>
      <c r="AC105" s="224" t="e">
        <f>#REF!</f>
        <v>#REF!</v>
      </c>
    </row>
    <row r="106" spans="1:37" ht="16.5" customHeight="1">
      <c r="F106" s="223" t="s">
        <v>133</v>
      </c>
      <c r="G106" s="224" t="s">
        <v>132</v>
      </c>
      <c r="H106" s="224"/>
      <c r="I106" s="225" t="e">
        <f>SUM(#REF!)</f>
        <v>#REF!</v>
      </c>
      <c r="J106" s="224" t="e">
        <f>SUM(#REF!)</f>
        <v>#REF!</v>
      </c>
      <c r="K106" s="224" t="e">
        <f>SUM(#REF!)</f>
        <v>#REF!</v>
      </c>
      <c r="L106" s="224" t="e">
        <f>SUM(#REF!)</f>
        <v>#REF!</v>
      </c>
      <c r="M106" s="224" t="e">
        <f>SUM(#REF!)</f>
        <v>#REF!</v>
      </c>
      <c r="N106" s="224" t="e">
        <f>SUM(#REF!)</f>
        <v>#REF!</v>
      </c>
      <c r="O106" s="224" t="e">
        <f>SUM(#REF!)</f>
        <v>#REF!</v>
      </c>
      <c r="P106" s="224" t="e">
        <f>SUM(#REF!)</f>
        <v>#REF!</v>
      </c>
      <c r="Q106" s="224" t="e">
        <f>SUM(#REF!)</f>
        <v>#REF!</v>
      </c>
      <c r="R106" s="224" t="e">
        <f>SUM(#REF!)</f>
        <v>#REF!</v>
      </c>
      <c r="S106" s="224" t="e">
        <f>SUM(#REF!)</f>
        <v>#REF!</v>
      </c>
      <c r="T106" s="224" t="e">
        <f>SUM(#REF!)</f>
        <v>#REF!</v>
      </c>
      <c r="U106" s="224" t="e">
        <f>SUM(#REF!)</f>
        <v>#REF!</v>
      </c>
      <c r="V106" s="224" t="e">
        <f>SUM(#REF!)</f>
        <v>#REF!</v>
      </c>
      <c r="W106" s="224" t="e">
        <f>SUM(#REF!)</f>
        <v>#REF!</v>
      </c>
      <c r="X106" s="224" t="e">
        <f>SUM(#REF!)</f>
        <v>#REF!</v>
      </c>
      <c r="Y106" s="224" t="e">
        <f>SUM(#REF!)</f>
        <v>#REF!</v>
      </c>
      <c r="Z106" s="224" t="e">
        <f>SUM(#REF!)</f>
        <v>#REF!</v>
      </c>
      <c r="AA106" s="224" t="e">
        <f>SUM(#REF!)</f>
        <v>#REF!</v>
      </c>
      <c r="AB106" s="224" t="e">
        <f>SUM(#REF!)</f>
        <v>#REF!</v>
      </c>
      <c r="AC106" s="224" t="e">
        <f>SUM(#REF!)</f>
        <v>#REF!</v>
      </c>
    </row>
    <row r="107" spans="1:37" s="231" customFormat="1" ht="16.5" customHeight="1">
      <c r="A107" s="226"/>
      <c r="B107" s="226"/>
      <c r="C107" s="226"/>
      <c r="D107" s="14"/>
      <c r="E107" s="14"/>
      <c r="F107" s="228"/>
      <c r="G107" s="228" t="s">
        <v>134</v>
      </c>
      <c r="H107" s="228"/>
      <c r="I107" s="229" t="e">
        <f>SUM(I104:I106)</f>
        <v>#REF!</v>
      </c>
      <c r="J107" s="228" t="e">
        <f t="shared" ref="J107:AC107" si="63">SUM(J104:J106)</f>
        <v>#REF!</v>
      </c>
      <c r="K107" s="228" t="e">
        <f t="shared" si="63"/>
        <v>#REF!</v>
      </c>
      <c r="L107" s="228" t="e">
        <f t="shared" si="63"/>
        <v>#REF!</v>
      </c>
      <c r="M107" s="228" t="e">
        <f t="shared" si="63"/>
        <v>#REF!</v>
      </c>
      <c r="N107" s="228" t="e">
        <f t="shared" si="63"/>
        <v>#REF!</v>
      </c>
      <c r="O107" s="228" t="e">
        <f t="shared" si="63"/>
        <v>#REF!</v>
      </c>
      <c r="P107" s="228" t="e">
        <f t="shared" si="63"/>
        <v>#REF!</v>
      </c>
      <c r="Q107" s="228" t="e">
        <f t="shared" si="63"/>
        <v>#REF!</v>
      </c>
      <c r="R107" s="228" t="e">
        <f t="shared" si="63"/>
        <v>#REF!</v>
      </c>
      <c r="S107" s="228" t="e">
        <f t="shared" si="63"/>
        <v>#REF!</v>
      </c>
      <c r="T107" s="228" t="e">
        <f t="shared" si="63"/>
        <v>#REF!</v>
      </c>
      <c r="U107" s="228" t="e">
        <f t="shared" si="63"/>
        <v>#REF!</v>
      </c>
      <c r="V107" s="228" t="e">
        <f t="shared" si="63"/>
        <v>#REF!</v>
      </c>
      <c r="W107" s="228" t="e">
        <f t="shared" si="63"/>
        <v>#REF!</v>
      </c>
      <c r="X107" s="228" t="e">
        <f t="shared" si="63"/>
        <v>#REF!</v>
      </c>
      <c r="Y107" s="228" t="e">
        <f t="shared" si="63"/>
        <v>#REF!</v>
      </c>
      <c r="Z107" s="228" t="e">
        <f t="shared" si="63"/>
        <v>#REF!</v>
      </c>
      <c r="AA107" s="228" t="e">
        <f t="shared" si="63"/>
        <v>#REF!</v>
      </c>
      <c r="AB107" s="228" t="e">
        <f t="shared" si="63"/>
        <v>#REF!</v>
      </c>
      <c r="AC107" s="228" t="e">
        <f t="shared" si="63"/>
        <v>#REF!</v>
      </c>
      <c r="AD107" s="226"/>
      <c r="AE107" s="230"/>
      <c r="AG107" s="232"/>
      <c r="AH107" s="232"/>
      <c r="AI107" s="232"/>
      <c r="AJ107" s="232"/>
      <c r="AK107" s="232"/>
    </row>
    <row r="109" spans="1:37">
      <c r="G109" s="244"/>
    </row>
  </sheetData>
  <mergeCells count="50">
    <mergeCell ref="D6:D8"/>
    <mergeCell ref="B2:C2"/>
    <mergeCell ref="A5:B5"/>
    <mergeCell ref="A6:B8"/>
    <mergeCell ref="H6:H8"/>
    <mergeCell ref="G6:G8"/>
    <mergeCell ref="E6:E8"/>
    <mergeCell ref="F6:F8"/>
    <mergeCell ref="AB1:AC1"/>
    <mergeCell ref="AB2:AC3"/>
    <mergeCell ref="AB4:AC4"/>
    <mergeCell ref="AA7:AC7"/>
    <mergeCell ref="I1:P1"/>
    <mergeCell ref="I2:P2"/>
    <mergeCell ref="X7:Z7"/>
    <mergeCell ref="U7:W7"/>
    <mergeCell ref="L7:N7"/>
    <mergeCell ref="I6:K6"/>
    <mergeCell ref="L6:N6"/>
    <mergeCell ref="O6:Q6"/>
    <mergeCell ref="R6:T6"/>
    <mergeCell ref="U6:W6"/>
    <mergeCell ref="AA88:AC88"/>
    <mergeCell ref="U88:W88"/>
    <mergeCell ref="R88:T88"/>
    <mergeCell ref="X6:Z6"/>
    <mergeCell ref="O88:Q88"/>
    <mergeCell ref="X86:Z86"/>
    <mergeCell ref="X88:Z88"/>
    <mergeCell ref="R7:T7"/>
    <mergeCell ref="O86:Q86"/>
    <mergeCell ref="R86:T86"/>
    <mergeCell ref="AG3:AK4"/>
    <mergeCell ref="AD6:AD8"/>
    <mergeCell ref="I3:P3"/>
    <mergeCell ref="AA86:AC86"/>
    <mergeCell ref="U86:W86"/>
    <mergeCell ref="AA6:AC6"/>
    <mergeCell ref="J4:O4"/>
    <mergeCell ref="I7:K7"/>
    <mergeCell ref="L86:N86"/>
    <mergeCell ref="O7:Q7"/>
    <mergeCell ref="E85:G85"/>
    <mergeCell ref="E86:G86"/>
    <mergeCell ref="I86:K86"/>
    <mergeCell ref="L88:N88"/>
    <mergeCell ref="I88:K88"/>
    <mergeCell ref="I87:K87"/>
    <mergeCell ref="E88:G88"/>
    <mergeCell ref="E87:G87"/>
  </mergeCells>
  <phoneticPr fontId="5" type="noConversion"/>
  <conditionalFormatting sqref="AG9:AK9">
    <cfRule type="cellIs" dxfId="645" priority="324" stopIfTrue="1" operator="equal">
      <formula>#REF!</formula>
    </cfRule>
  </conditionalFormatting>
  <conditionalFormatting sqref="I9:L9 Q9:R9 T9:U9 W9:X9 Z9:AA9 AC9 Q10:Q13 O9 N9:N78">
    <cfRule type="cellIs" dxfId="644" priority="323" stopIfTrue="1" operator="lessThan">
      <formula>0</formula>
    </cfRule>
  </conditionalFormatting>
  <conditionalFormatting sqref="AG11:AK11">
    <cfRule type="cellIs" dxfId="643" priority="322" stopIfTrue="1" operator="equal">
      <formula>#REF!</formula>
    </cfRule>
  </conditionalFormatting>
  <conditionalFormatting sqref="I11:L11 O11">
    <cfRule type="cellIs" dxfId="642" priority="321" stopIfTrue="1" operator="lessThan">
      <formula>0</formula>
    </cfRule>
  </conditionalFormatting>
  <conditionalFormatting sqref="AG13:AK13">
    <cfRule type="cellIs" dxfId="641" priority="320" stopIfTrue="1" operator="equal">
      <formula>#REF!</formula>
    </cfRule>
  </conditionalFormatting>
  <conditionalFormatting sqref="I13:L13 O13">
    <cfRule type="cellIs" dxfId="640" priority="319" stopIfTrue="1" operator="lessThan">
      <formula>0</formula>
    </cfRule>
  </conditionalFormatting>
  <conditionalFormatting sqref="AG15:AK15">
    <cfRule type="cellIs" dxfId="639" priority="318" stopIfTrue="1" operator="equal">
      <formula>#REF!</formula>
    </cfRule>
  </conditionalFormatting>
  <conditionalFormatting sqref="I15:L15 O15 T16 Q16:Q47">
    <cfRule type="cellIs" dxfId="638" priority="317" stopIfTrue="1" operator="lessThan">
      <formula>0</formula>
    </cfRule>
  </conditionalFormatting>
  <conditionalFormatting sqref="AG10:AK10">
    <cfRule type="cellIs" dxfId="637" priority="307" stopIfTrue="1" operator="equal">
      <formula>#REF!</formula>
    </cfRule>
  </conditionalFormatting>
  <conditionalFormatting sqref="I10:L10 O10">
    <cfRule type="cellIs" dxfId="636" priority="306" stopIfTrue="1" operator="lessThan">
      <formula>0</formula>
    </cfRule>
  </conditionalFormatting>
  <conditionalFormatting sqref="AG12:AK12">
    <cfRule type="cellIs" dxfId="635" priority="305" stopIfTrue="1" operator="equal">
      <formula>#REF!</formula>
    </cfRule>
  </conditionalFormatting>
  <conditionalFormatting sqref="I12:L12 O12">
    <cfRule type="cellIs" dxfId="634" priority="304" stopIfTrue="1" operator="lessThan">
      <formula>0</formula>
    </cfRule>
  </conditionalFormatting>
  <conditionalFormatting sqref="AG14:AK14">
    <cfRule type="cellIs" dxfId="633" priority="302" stopIfTrue="1" operator="equal">
      <formula>#REF!</formula>
    </cfRule>
  </conditionalFormatting>
  <conditionalFormatting sqref="I14:L14 O14">
    <cfRule type="cellIs" dxfId="632" priority="301" stopIfTrue="1" operator="lessThan">
      <formula>0</formula>
    </cfRule>
  </conditionalFormatting>
  <conditionalFormatting sqref="AG16:AK36">
    <cfRule type="cellIs" dxfId="631" priority="299" stopIfTrue="1" operator="equal">
      <formula>#REF!</formula>
    </cfRule>
  </conditionalFormatting>
  <conditionalFormatting sqref="I16:L16 O16:O36 AA16:AA36 U16:U38 X16:X38 R16:R39 L17:L38">
    <cfRule type="cellIs" dxfId="630" priority="298" stopIfTrue="1" operator="lessThan">
      <formula>0</formula>
    </cfRule>
  </conditionalFormatting>
  <conditionalFormatting sqref="AG37:AK38">
    <cfRule type="cellIs" dxfId="629" priority="97" stopIfTrue="1" operator="equal">
      <formula>#REF!</formula>
    </cfRule>
  </conditionalFormatting>
  <conditionalFormatting sqref="O37:O38 AA37:AA38">
    <cfRule type="cellIs" dxfId="628" priority="96" stopIfTrue="1" operator="lessThan">
      <formula>0</formula>
    </cfRule>
  </conditionalFormatting>
  <conditionalFormatting sqref="AG40:AK40">
    <cfRule type="cellIs" dxfId="627" priority="95" stopIfTrue="1" operator="equal">
      <formula>#REF!</formula>
    </cfRule>
  </conditionalFormatting>
  <conditionalFormatting sqref="L40 O40 U40 X40 AA40 R40">
    <cfRule type="cellIs" dxfId="626" priority="94" stopIfTrue="1" operator="lessThan">
      <formula>0</formula>
    </cfRule>
  </conditionalFormatting>
  <conditionalFormatting sqref="AG42:AK42">
    <cfRule type="cellIs" dxfId="625" priority="93" stopIfTrue="1" operator="equal">
      <formula>#REF!</formula>
    </cfRule>
  </conditionalFormatting>
  <conditionalFormatting sqref="L42 U42 X42 AA42 R42">
    <cfRule type="cellIs" dxfId="624" priority="92" stopIfTrue="1" operator="lessThan">
      <formula>0</formula>
    </cfRule>
  </conditionalFormatting>
  <conditionalFormatting sqref="AG44:AK44">
    <cfRule type="cellIs" dxfId="623" priority="91" stopIfTrue="1" operator="equal">
      <formula>#REF!</formula>
    </cfRule>
  </conditionalFormatting>
  <conditionalFormatting sqref="L44 O44:O45 U44 X44 AA44 R44">
    <cfRule type="cellIs" dxfId="622" priority="90" stopIfTrue="1" operator="lessThan">
      <formula>0</formula>
    </cfRule>
  </conditionalFormatting>
  <conditionalFormatting sqref="AG39:AK39">
    <cfRule type="cellIs" dxfId="621" priority="89" stopIfTrue="1" operator="equal">
      <formula>#REF!</formula>
    </cfRule>
  </conditionalFormatting>
  <conditionalFormatting sqref="L39 O39 U39 X39 AA39">
    <cfRule type="cellIs" dxfId="620" priority="88" stopIfTrue="1" operator="lessThan">
      <formula>0</formula>
    </cfRule>
  </conditionalFormatting>
  <conditionalFormatting sqref="AG41:AK41">
    <cfRule type="cellIs" dxfId="619" priority="87" stopIfTrue="1" operator="equal">
      <formula>#REF!</formula>
    </cfRule>
  </conditionalFormatting>
  <conditionalFormatting sqref="L41 U41 X41 AA41 R41 O41:O42">
    <cfRule type="cellIs" dxfId="618" priority="86" stopIfTrue="1" operator="lessThan">
      <formula>0</formula>
    </cfRule>
  </conditionalFormatting>
  <conditionalFormatting sqref="AG43:AK43">
    <cfRule type="cellIs" dxfId="617" priority="85" stopIfTrue="1" operator="equal">
      <formula>#REF!</formula>
    </cfRule>
  </conditionalFormatting>
  <conditionalFormatting sqref="L43 O43 U43 X43 AA43 R43">
    <cfRule type="cellIs" dxfId="616" priority="84" stopIfTrue="1" operator="lessThan">
      <formula>0</formula>
    </cfRule>
  </conditionalFormatting>
  <conditionalFormatting sqref="AG45:AK45">
    <cfRule type="cellIs" dxfId="615" priority="83" stopIfTrue="1" operator="equal">
      <formula>#REF!</formula>
    </cfRule>
  </conditionalFormatting>
  <conditionalFormatting sqref="L45 R45 U45 X45 AA45">
    <cfRule type="cellIs" dxfId="614" priority="82" stopIfTrue="1" operator="lessThan">
      <formula>0</formula>
    </cfRule>
  </conditionalFormatting>
  <conditionalFormatting sqref="AG46:AK46">
    <cfRule type="cellIs" dxfId="613" priority="80" stopIfTrue="1" operator="equal">
      <formula>#REF!</formula>
    </cfRule>
  </conditionalFormatting>
  <conditionalFormatting sqref="L46 O46 U46 X46 AA46 R46 M9:M47">
    <cfRule type="cellIs" dxfId="612" priority="79" stopIfTrue="1" operator="lessThan">
      <formula>0</formula>
    </cfRule>
  </conditionalFormatting>
  <conditionalFormatting sqref="AG47:AK84">
    <cfRule type="cellIs" dxfId="611" priority="78" stopIfTrue="1" operator="equal">
      <formula>#REF!</formula>
    </cfRule>
  </conditionalFormatting>
  <conditionalFormatting sqref="L47 O47 R47 U47 X47 AA47">
    <cfRule type="cellIs" dxfId="610" priority="77" stopIfTrue="1" operator="lessThan">
      <formula>0</formula>
    </cfRule>
  </conditionalFormatting>
  <conditionalFormatting sqref="T10:U15 X10:X15 AA10:AA15 R10:R13 Q14:R15">
    <cfRule type="cellIs" dxfId="609" priority="67" stopIfTrue="1" operator="lessThan">
      <formula>0</formula>
    </cfRule>
  </conditionalFormatting>
  <conditionalFormatting sqref="T17:T47">
    <cfRule type="cellIs" dxfId="608" priority="59" stopIfTrue="1" operator="lessThan">
      <formula>0</formula>
    </cfRule>
  </conditionalFormatting>
  <conditionalFormatting sqref="AB10:AB47">
    <cfRule type="cellIs" dxfId="607" priority="62" stopIfTrue="1" operator="lessThan">
      <formula>0</formula>
    </cfRule>
  </conditionalFormatting>
  <conditionalFormatting sqref="I17:K47">
    <cfRule type="cellIs" dxfId="606" priority="61" stopIfTrue="1" operator="lessThan">
      <formula>0</formula>
    </cfRule>
  </conditionalFormatting>
  <conditionalFormatting sqref="W10:W47">
    <cfRule type="cellIs" dxfId="605" priority="54" stopIfTrue="1" operator="lessThan">
      <formula>0</formula>
    </cfRule>
  </conditionalFormatting>
  <conditionalFormatting sqref="Z10:Z47">
    <cfRule type="cellIs" dxfId="604" priority="53" stopIfTrue="1" operator="lessThan">
      <formula>0</formula>
    </cfRule>
  </conditionalFormatting>
  <conditionalFormatting sqref="AC10:AC47">
    <cfRule type="cellIs" dxfId="603" priority="52" stopIfTrue="1" operator="lessThan">
      <formula>0</formula>
    </cfRule>
  </conditionalFormatting>
  <conditionalFormatting sqref="P9:P47">
    <cfRule type="cellIs" dxfId="602" priority="50" stopIfTrue="1" operator="lessThan">
      <formula>0</formula>
    </cfRule>
  </conditionalFormatting>
  <conditionalFormatting sqref="S9:S47">
    <cfRule type="cellIs" dxfId="601" priority="49" stopIfTrue="1" operator="lessThan">
      <formula>0</formula>
    </cfRule>
  </conditionalFormatting>
  <conditionalFormatting sqref="V9:V47">
    <cfRule type="cellIs" dxfId="600" priority="48" stopIfTrue="1" operator="lessThan">
      <formula>0</formula>
    </cfRule>
  </conditionalFormatting>
  <conditionalFormatting sqref="Y10:Y47">
    <cfRule type="cellIs" dxfId="599" priority="47" stopIfTrue="1" operator="lessThan">
      <formula>0</formula>
    </cfRule>
  </conditionalFormatting>
  <conditionalFormatting sqref="Y9">
    <cfRule type="cellIs" dxfId="598" priority="46" stopIfTrue="1" operator="lessThan">
      <formula>0</formula>
    </cfRule>
  </conditionalFormatting>
  <conditionalFormatting sqref="AB9">
    <cfRule type="cellIs" dxfId="597" priority="44" stopIfTrue="1" operator="lessThan">
      <formula>0</formula>
    </cfRule>
  </conditionalFormatting>
  <conditionalFormatting sqref="Q48:Q51">
    <cfRule type="cellIs" dxfId="596" priority="42" stopIfTrue="1" operator="lessThan">
      <formula>0</formula>
    </cfRule>
  </conditionalFormatting>
  <conditionalFormatting sqref="M48">
    <cfRule type="cellIs" dxfId="595" priority="41" stopIfTrue="1" operator="lessThan">
      <formula>0</formula>
    </cfRule>
  </conditionalFormatting>
  <conditionalFormatting sqref="L48:L51 O48:O51 R48:R51 U48:U51 X48:X51 AA48:AA51">
    <cfRule type="cellIs" dxfId="594" priority="40" stopIfTrue="1" operator="lessThan">
      <formula>0</formula>
    </cfRule>
  </conditionalFormatting>
  <conditionalFormatting sqref="T48:T51">
    <cfRule type="cellIs" dxfId="593" priority="37" stopIfTrue="1" operator="lessThan">
      <formula>0</formula>
    </cfRule>
  </conditionalFormatting>
  <conditionalFormatting sqref="AB48:AB51">
    <cfRule type="cellIs" dxfId="592" priority="39" stopIfTrue="1" operator="lessThan">
      <formula>0</formula>
    </cfRule>
  </conditionalFormatting>
  <conditionalFormatting sqref="I48:K51">
    <cfRule type="cellIs" dxfId="591" priority="38" stopIfTrue="1" operator="lessThan">
      <formula>0</formula>
    </cfRule>
  </conditionalFormatting>
  <conditionalFormatting sqref="W48:W51">
    <cfRule type="cellIs" dxfId="590" priority="36" stopIfTrue="1" operator="lessThan">
      <formula>0</formula>
    </cfRule>
  </conditionalFormatting>
  <conditionalFormatting sqref="Z48:Z51">
    <cfRule type="cellIs" dxfId="589" priority="35" stopIfTrue="1" operator="lessThan">
      <formula>0</formula>
    </cfRule>
  </conditionalFormatting>
  <conditionalFormatting sqref="AC48:AC51">
    <cfRule type="cellIs" dxfId="588" priority="34" stopIfTrue="1" operator="lessThan">
      <formula>0</formula>
    </cfRule>
  </conditionalFormatting>
  <conditionalFormatting sqref="P48:P51">
    <cfRule type="cellIs" dxfId="587" priority="33" stopIfTrue="1" operator="lessThan">
      <formula>0</formula>
    </cfRule>
  </conditionalFormatting>
  <conditionalFormatting sqref="S48:S51">
    <cfRule type="cellIs" dxfId="586" priority="32" stopIfTrue="1" operator="lessThan">
      <formula>0</formula>
    </cfRule>
  </conditionalFormatting>
  <conditionalFormatting sqref="V48:V51">
    <cfRule type="cellIs" dxfId="585" priority="31" stopIfTrue="1" operator="lessThan">
      <formula>0</formula>
    </cfRule>
  </conditionalFormatting>
  <conditionalFormatting sqref="Y48:Y51">
    <cfRule type="cellIs" dxfId="584" priority="30" stopIfTrue="1" operator="lessThan">
      <formula>0</formula>
    </cfRule>
  </conditionalFormatting>
  <conditionalFormatting sqref="Q52:Q54">
    <cfRule type="cellIs" dxfId="583" priority="28" stopIfTrue="1" operator="lessThan">
      <formula>0</formula>
    </cfRule>
  </conditionalFormatting>
  <conditionalFormatting sqref="L52:L54 O52:O54 R52:R54 U52:U54 X52:X54 AA52:AA54">
    <cfRule type="cellIs" dxfId="582" priority="26" stopIfTrue="1" operator="lessThan">
      <formula>0</formula>
    </cfRule>
  </conditionalFormatting>
  <conditionalFormatting sqref="T52:T54">
    <cfRule type="cellIs" dxfId="581" priority="23" stopIfTrue="1" operator="lessThan">
      <formula>0</formula>
    </cfRule>
  </conditionalFormatting>
  <conditionalFormatting sqref="AB52:AB54">
    <cfRule type="cellIs" dxfId="580" priority="25" stopIfTrue="1" operator="lessThan">
      <formula>0</formula>
    </cfRule>
  </conditionalFormatting>
  <conditionalFormatting sqref="I52:K54">
    <cfRule type="cellIs" dxfId="579" priority="24" stopIfTrue="1" operator="lessThan">
      <formula>0</formula>
    </cfRule>
  </conditionalFormatting>
  <conditionalFormatting sqref="W52:W54">
    <cfRule type="cellIs" dxfId="578" priority="22" stopIfTrue="1" operator="lessThan">
      <formula>0</formula>
    </cfRule>
  </conditionalFormatting>
  <conditionalFormatting sqref="Z52:Z54">
    <cfRule type="cellIs" dxfId="577" priority="21" stopIfTrue="1" operator="lessThan">
      <formula>0</formula>
    </cfRule>
  </conditionalFormatting>
  <conditionalFormatting sqref="AC52:AC54">
    <cfRule type="cellIs" dxfId="576" priority="20" stopIfTrue="1" operator="lessThan">
      <formula>0</formula>
    </cfRule>
  </conditionalFormatting>
  <conditionalFormatting sqref="P52:P54">
    <cfRule type="cellIs" dxfId="575" priority="19" stopIfTrue="1" operator="lessThan">
      <formula>0</formula>
    </cfRule>
  </conditionalFormatting>
  <conditionalFormatting sqref="S52:S54">
    <cfRule type="cellIs" dxfId="574" priority="18" stopIfTrue="1" operator="lessThan">
      <formula>0</formula>
    </cfRule>
  </conditionalFormatting>
  <conditionalFormatting sqref="V52:V54">
    <cfRule type="cellIs" dxfId="573" priority="17" stopIfTrue="1" operator="lessThan">
      <formula>0</formula>
    </cfRule>
  </conditionalFormatting>
  <conditionalFormatting sqref="Y52:Y54">
    <cfRule type="cellIs" dxfId="572" priority="16" stopIfTrue="1" operator="lessThan">
      <formula>0</formula>
    </cfRule>
  </conditionalFormatting>
  <conditionalFormatting sqref="M49:M54">
    <cfRule type="cellIs" dxfId="571" priority="15" stopIfTrue="1" operator="lessThan">
      <formula>0</formula>
    </cfRule>
  </conditionalFormatting>
  <conditionalFormatting sqref="N79:N84">
    <cfRule type="cellIs" dxfId="570" priority="14" stopIfTrue="1" operator="lessThan">
      <formula>0</formula>
    </cfRule>
  </conditionalFormatting>
  <conditionalFormatting sqref="Q55:Q84">
    <cfRule type="cellIs" dxfId="569" priority="13" stopIfTrue="1" operator="lessThan">
      <formula>0</formula>
    </cfRule>
  </conditionalFormatting>
  <conditionalFormatting sqref="L55:L84 O55:O84 R55:R84 U55:U84 X55:X84 AA55:AA84">
    <cfRule type="cellIs" dxfId="568" priority="12" stopIfTrue="1" operator="lessThan">
      <formula>0</formula>
    </cfRule>
  </conditionalFormatting>
  <conditionalFormatting sqref="T55:T84">
    <cfRule type="cellIs" dxfId="567" priority="9" stopIfTrue="1" operator="lessThan">
      <formula>0</formula>
    </cfRule>
  </conditionalFormatting>
  <conditionalFormatting sqref="AB55:AB84">
    <cfRule type="cellIs" dxfId="566" priority="11" stopIfTrue="1" operator="lessThan">
      <formula>0</formula>
    </cfRule>
  </conditionalFormatting>
  <conditionalFormatting sqref="I55:K84">
    <cfRule type="cellIs" dxfId="565" priority="10" stopIfTrue="1" operator="lessThan">
      <formula>0</formula>
    </cfRule>
  </conditionalFormatting>
  <conditionalFormatting sqref="W55:W84">
    <cfRule type="cellIs" dxfId="564" priority="8" stopIfTrue="1" operator="lessThan">
      <formula>0</formula>
    </cfRule>
  </conditionalFormatting>
  <conditionalFormatting sqref="Z55:Z84">
    <cfRule type="cellIs" dxfId="563" priority="7" stopIfTrue="1" operator="lessThan">
      <formula>0</formula>
    </cfRule>
  </conditionalFormatting>
  <conditionalFormatting sqref="AC55:AC84">
    <cfRule type="cellIs" dxfId="562" priority="6" stopIfTrue="1" operator="lessThan">
      <formula>0</formula>
    </cfRule>
  </conditionalFormatting>
  <conditionalFormatting sqref="P55:P84">
    <cfRule type="cellIs" dxfId="561" priority="5" stopIfTrue="1" operator="lessThan">
      <formula>0</formula>
    </cfRule>
  </conditionalFormatting>
  <conditionalFormatting sqref="S55:S84">
    <cfRule type="cellIs" dxfId="560" priority="4" stopIfTrue="1" operator="lessThan">
      <formula>0</formula>
    </cfRule>
  </conditionalFormatting>
  <conditionalFormatting sqref="V55:V84">
    <cfRule type="cellIs" dxfId="559" priority="3" stopIfTrue="1" operator="lessThan">
      <formula>0</formula>
    </cfRule>
  </conditionalFormatting>
  <conditionalFormatting sqref="Y55:Y84">
    <cfRule type="cellIs" dxfId="558" priority="2" stopIfTrue="1" operator="lessThan">
      <formula>0</formula>
    </cfRule>
  </conditionalFormatting>
  <conditionalFormatting sqref="M55:M84">
    <cfRule type="cellIs" dxfId="557" priority="1" stopIfTrue="1" operator="lessThan">
      <formula>0</formula>
    </cfRule>
  </conditionalFormatting>
  <printOptions horizontalCentered="1"/>
  <pageMargins left="0" right="0" top="0.511811023622047" bottom="0.23622047244094499" header="0.31496062992126" footer="0.23622047244094499"/>
  <pageSetup paperSize="9" scale="41" fitToHeight="5" orientation="portrait" r:id="rId1"/>
  <headerFooter alignWithMargins="0">
    <oddHeader>&amp;LPT. JATIM AUTOCOMP INDONESIA</oddHeader>
    <oddFooter>&amp;LSIX MONTH PRODUCTION PLAN.xls&amp;R&amp;"Times New Roman,Regular"&amp;9&amp;P / 4</oddFooter>
  </headerFooter>
  <colBreaks count="1" manualBreakCount="1">
    <brk id="20" max="26" man="1"/>
  </col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T93"/>
  <sheetViews>
    <sheetView workbookViewId="0">
      <pane xSplit="11" ySplit="8" topLeftCell="L81" activePane="bottomRight" state="frozen"/>
      <selection pane="topRight" activeCell="L1" sqref="L1"/>
      <selection pane="bottomLeft" activeCell="A9" sqref="A9"/>
      <selection pane="bottomRight" activeCell="L86" sqref="L86:N86"/>
    </sheetView>
  </sheetViews>
  <sheetFormatPr defaultRowHeight="12.75"/>
  <cols>
    <col min="1" max="1" width="9.5703125" style="7" customWidth="1"/>
    <col min="2" max="2" width="11.7109375" style="7" customWidth="1"/>
    <col min="3" max="3" width="27.140625" style="27" bestFit="1" customWidth="1"/>
    <col min="4" max="4" width="10.140625" style="7" hidden="1" customWidth="1"/>
    <col min="5" max="5" width="8.42578125" style="7" hidden="1" customWidth="1"/>
    <col min="6" max="6" width="6.28515625" style="7" hidden="1" customWidth="1"/>
    <col min="7" max="7" width="7.42578125" style="7" hidden="1" customWidth="1"/>
    <col min="8" max="8" width="13.28515625" style="7" hidden="1" customWidth="1"/>
    <col min="9" max="9" width="12.140625" style="7" hidden="1" customWidth="1"/>
    <col min="10" max="10" width="9.5703125" style="7" hidden="1" customWidth="1"/>
    <col min="11" max="11" width="13.28515625" style="7" customWidth="1"/>
    <col min="12" max="27" width="7.85546875" style="7" customWidth="1"/>
    <col min="28" max="28" width="8" style="7" customWidth="1"/>
    <col min="29" max="29" width="8.42578125" style="7" customWidth="1"/>
    <col min="30" max="30" width="7.85546875" style="7" customWidth="1"/>
    <col min="31" max="31" width="8" style="7" customWidth="1"/>
    <col min="32" max="32" width="8.42578125" style="7" customWidth="1"/>
    <col min="33" max="33" width="8" style="7" customWidth="1"/>
    <col min="34" max="34" width="8" style="26" customWidth="1"/>
    <col min="35" max="35" width="9.140625" style="8"/>
    <col min="36" max="36" width="9.5703125" style="56" bestFit="1" customWidth="1"/>
    <col min="37" max="37" width="9.140625" style="56"/>
    <col min="38" max="38" width="9.5703125" style="56" bestFit="1" customWidth="1"/>
    <col min="39" max="39" width="9.140625" style="56"/>
    <col min="40" max="40" width="9.5703125" style="56" bestFit="1" customWidth="1"/>
    <col min="41" max="16384" width="9.140625" style="8"/>
  </cols>
  <sheetData>
    <row r="1" spans="1:46" ht="17.25" customHeight="1">
      <c r="A1" s="4"/>
      <c r="B1" s="4"/>
      <c r="C1" s="49"/>
      <c r="D1" s="5"/>
      <c r="E1" s="5"/>
      <c r="F1" s="6"/>
      <c r="G1" s="6"/>
      <c r="H1" s="6"/>
      <c r="I1" s="6"/>
      <c r="J1" s="6"/>
      <c r="K1" s="6"/>
      <c r="L1" s="303" t="s">
        <v>94</v>
      </c>
      <c r="M1" s="303"/>
      <c r="N1" s="303"/>
      <c r="O1" s="303"/>
      <c r="P1" s="303"/>
      <c r="Q1" s="303"/>
      <c r="R1" s="303"/>
      <c r="S1" s="303"/>
      <c r="T1" s="24"/>
      <c r="U1" s="24"/>
      <c r="X1" s="50"/>
      <c r="AA1" s="29"/>
      <c r="AB1" s="29"/>
      <c r="AC1" s="29"/>
      <c r="AD1" s="29"/>
      <c r="AE1" s="297" t="s">
        <v>32</v>
      </c>
      <c r="AF1" s="298"/>
      <c r="AG1" s="80"/>
      <c r="AH1" s="80"/>
    </row>
    <row r="2" spans="1:46" ht="18" customHeight="1">
      <c r="A2" s="1" t="s">
        <v>90</v>
      </c>
      <c r="B2" s="9">
        <f>'QTY '!B2:C2</f>
        <v>0</v>
      </c>
      <c r="C2" s="49"/>
      <c r="E2" s="127"/>
      <c r="F2" s="128"/>
      <c r="G2" s="128"/>
      <c r="H2" s="128"/>
      <c r="I2" s="128"/>
      <c r="J2" s="9"/>
      <c r="K2" s="128"/>
      <c r="L2" s="304" t="str">
        <f>'QTY '!I2</f>
        <v>BC120D</v>
      </c>
      <c r="M2" s="304"/>
      <c r="N2" s="304"/>
      <c r="O2" s="304"/>
      <c r="P2" s="304"/>
      <c r="Q2" s="304"/>
      <c r="R2" s="304"/>
      <c r="S2" s="304"/>
      <c r="T2" s="58"/>
      <c r="U2" s="59"/>
      <c r="V2" s="59"/>
      <c r="W2" s="10"/>
      <c r="X2" s="60"/>
      <c r="AA2" s="60"/>
      <c r="AB2" s="60"/>
      <c r="AC2" s="60"/>
      <c r="AD2" s="60"/>
      <c r="AE2" s="299"/>
      <c r="AF2" s="300"/>
      <c r="AG2" s="80"/>
      <c r="AH2" s="80"/>
    </row>
    <row r="3" spans="1:46" ht="14.25" customHeight="1">
      <c r="A3" s="9" t="s">
        <v>8</v>
      </c>
      <c r="B3" s="9"/>
      <c r="C3" s="49"/>
      <c r="D3" s="9"/>
      <c r="E3" s="138"/>
      <c r="F3" s="139"/>
      <c r="G3" s="139"/>
      <c r="H3" s="9"/>
      <c r="I3" s="9"/>
      <c r="J3" s="9"/>
      <c r="K3" s="9"/>
      <c r="L3" s="292">
        <f>'QTY '!I3</f>
        <v>46082</v>
      </c>
      <c r="M3" s="292"/>
      <c r="N3" s="292"/>
      <c r="O3" s="292"/>
      <c r="P3" s="292"/>
      <c r="Q3" s="292"/>
      <c r="R3" s="292"/>
      <c r="S3" s="292"/>
      <c r="T3" s="110"/>
      <c r="U3" s="111"/>
      <c r="V3" s="111"/>
      <c r="W3" s="110"/>
      <c r="X3" s="61"/>
      <c r="Y3" s="62"/>
      <c r="AA3" s="60"/>
      <c r="AB3" s="60"/>
      <c r="AC3" s="60"/>
      <c r="AD3" s="60"/>
      <c r="AE3" s="301"/>
      <c r="AF3" s="302"/>
      <c r="AG3" s="80"/>
      <c r="AH3" s="80"/>
      <c r="AJ3" s="288" t="s">
        <v>33</v>
      </c>
      <c r="AK3" s="288"/>
      <c r="AL3" s="288"/>
      <c r="AM3" s="288"/>
      <c r="AN3" s="288"/>
    </row>
    <row r="4" spans="1:46" ht="16.5" customHeight="1">
      <c r="A4" s="9" t="s">
        <v>127</v>
      </c>
      <c r="B4" s="185">
        <f ca="1">'QTY '!B4</f>
        <v>46094.692917476852</v>
      </c>
      <c r="C4" s="25"/>
      <c r="D4" s="9"/>
      <c r="E4" s="116"/>
      <c r="F4" s="129"/>
      <c r="G4" s="129"/>
      <c r="H4" s="129"/>
      <c r="I4" s="129"/>
      <c r="J4" s="116"/>
      <c r="K4" s="129"/>
      <c r="L4" s="133"/>
      <c r="M4" s="296"/>
      <c r="N4" s="296"/>
      <c r="O4" s="296"/>
      <c r="P4" s="296"/>
      <c r="Q4" s="296"/>
      <c r="R4" s="296"/>
      <c r="S4" s="114"/>
      <c r="T4" s="63"/>
      <c r="U4" s="62"/>
      <c r="V4" s="28"/>
      <c r="X4" s="61"/>
      <c r="Y4" s="28"/>
      <c r="AA4" s="64"/>
      <c r="AB4" s="64"/>
      <c r="AC4" s="64"/>
      <c r="AD4" s="64"/>
      <c r="AE4" s="297" t="s">
        <v>126</v>
      </c>
      <c r="AF4" s="298"/>
      <c r="AG4" s="80"/>
      <c r="AH4" s="80"/>
      <c r="AJ4" s="288"/>
      <c r="AK4" s="288"/>
      <c r="AL4" s="288"/>
      <c r="AM4" s="288"/>
      <c r="AN4" s="288"/>
    </row>
    <row r="5" spans="1:46" ht="11.25" customHeight="1" thickBot="1">
      <c r="A5" s="309"/>
      <c r="B5" s="309"/>
      <c r="C5" s="11"/>
      <c r="D5" s="11"/>
      <c r="E5" s="11"/>
      <c r="F5" s="12"/>
      <c r="G5" s="12"/>
      <c r="H5" s="12"/>
      <c r="I5" s="12"/>
      <c r="J5" s="12"/>
      <c r="K5" s="12"/>
      <c r="L5" s="58"/>
      <c r="M5" s="328"/>
      <c r="N5" s="328"/>
      <c r="O5" s="328"/>
      <c r="P5" s="328"/>
      <c r="Q5" s="328"/>
      <c r="R5" s="328"/>
      <c r="S5" s="14"/>
      <c r="U5" s="58"/>
      <c r="V5" s="28"/>
      <c r="W5" s="58"/>
      <c r="X5" s="58"/>
      <c r="Y5" s="65"/>
      <c r="Z5" s="58"/>
      <c r="AB5" s="112"/>
      <c r="AC5" s="113"/>
      <c r="AE5" s="112"/>
      <c r="AF5" s="113"/>
      <c r="AG5" s="58"/>
      <c r="AH5" s="60"/>
      <c r="AN5" s="78"/>
    </row>
    <row r="6" spans="1:46" ht="12.75" customHeight="1">
      <c r="A6" s="310" t="s">
        <v>3</v>
      </c>
      <c r="B6" s="311"/>
      <c r="C6" s="305" t="s">
        <v>7</v>
      </c>
      <c r="D6" s="322" t="s">
        <v>34</v>
      </c>
      <c r="E6" s="329" t="s">
        <v>9</v>
      </c>
      <c r="F6" s="322" t="s">
        <v>10</v>
      </c>
      <c r="G6" s="335" t="s">
        <v>19</v>
      </c>
      <c r="H6" s="338" t="s">
        <v>88</v>
      </c>
      <c r="I6" s="332" t="s">
        <v>87</v>
      </c>
      <c r="J6" s="319" t="s">
        <v>86</v>
      </c>
      <c r="K6" s="316" t="str">
        <f>'QTY '!G6:G8</f>
        <v>UMH</v>
      </c>
      <c r="L6" s="293" t="str">
        <f>'QTY '!I6</f>
        <v>FEB</v>
      </c>
      <c r="M6" s="294"/>
      <c r="N6" s="295"/>
      <c r="O6" s="293" t="str">
        <f>'QTY '!L6</f>
        <v>MAR</v>
      </c>
      <c r="P6" s="294"/>
      <c r="Q6" s="295"/>
      <c r="R6" s="293" t="str">
        <f>'QTY '!O6</f>
        <v>APR</v>
      </c>
      <c r="S6" s="294"/>
      <c r="T6" s="295"/>
      <c r="U6" s="293" t="str">
        <f>'QTY '!R6</f>
        <v>MAY</v>
      </c>
      <c r="V6" s="294"/>
      <c r="W6" s="295"/>
      <c r="X6" s="293" t="str">
        <f>'QTY '!U6</f>
        <v>JUN</v>
      </c>
      <c r="Y6" s="294"/>
      <c r="Z6" s="295"/>
      <c r="AA6" s="293" t="str">
        <f>'QTY '!X6</f>
        <v>JUL</v>
      </c>
      <c r="AB6" s="294"/>
      <c r="AC6" s="295"/>
      <c r="AD6" s="293" t="str">
        <f>'QTY '!AA6</f>
        <v>AUG</v>
      </c>
      <c r="AE6" s="294"/>
      <c r="AF6" s="295"/>
      <c r="AG6" s="325" t="s">
        <v>0</v>
      </c>
      <c r="AH6" s="23"/>
    </row>
    <row r="7" spans="1:46" s="16" customFormat="1" ht="13.5" thickBot="1">
      <c r="A7" s="312"/>
      <c r="B7" s="313"/>
      <c r="C7" s="306"/>
      <c r="D7" s="323"/>
      <c r="E7" s="330"/>
      <c r="F7" s="323"/>
      <c r="G7" s="336"/>
      <c r="H7" s="339"/>
      <c r="I7" s="333"/>
      <c r="J7" s="320"/>
      <c r="K7" s="317"/>
      <c r="L7" s="281" t="str">
        <f>VLOOKUP(L6,[1]Calender!$A$386:$I$455,9,0)</f>
        <v>01/FEB ~ 28/FEB</v>
      </c>
      <c r="M7" s="282"/>
      <c r="N7" s="283"/>
      <c r="O7" s="281" t="str">
        <f>VLOOKUP(O6,[1]Calender!$A$386:$I$455,9,0)</f>
        <v>01/MAR ~ 31/MAR</v>
      </c>
      <c r="P7" s="282"/>
      <c r="Q7" s="283"/>
      <c r="R7" s="281" t="str">
        <f>VLOOKUP(R6,[1]Calender!$A$386:$I$455,9,0)</f>
        <v>01/APR ~ 29/APR</v>
      </c>
      <c r="S7" s="282"/>
      <c r="T7" s="283"/>
      <c r="U7" s="281" t="str">
        <f>VLOOKUP(U6,[1]Calender!$A$386:$I$455,9,0)</f>
        <v>02/MAY ~ 31/MAY</v>
      </c>
      <c r="V7" s="282"/>
      <c r="W7" s="283"/>
      <c r="X7" s="281" t="str">
        <f>VLOOKUP(X6,[1]Calender!$A$386:$I$455,9,0)</f>
        <v>01/JUN ~ 30/JUN</v>
      </c>
      <c r="Y7" s="282"/>
      <c r="Z7" s="283"/>
      <c r="AA7" s="281" t="str">
        <f>VLOOKUP(AA6,[1]Calender!$A$386:$I$455,9,0)</f>
        <v>01/JUL ~ 29/JUL</v>
      </c>
      <c r="AB7" s="282"/>
      <c r="AC7" s="283"/>
      <c r="AD7" s="281" t="str">
        <f>VLOOKUP(AD6,[1]Calender!$A$386:$I$455,9,0)</f>
        <v>01/AUG ~ 26/AUG</v>
      </c>
      <c r="AE7" s="282"/>
      <c r="AF7" s="283"/>
      <c r="AG7" s="326"/>
      <c r="AH7" s="23"/>
      <c r="AJ7" s="81">
        <v>4</v>
      </c>
      <c r="AK7" s="81">
        <v>4</v>
      </c>
      <c r="AL7" s="81">
        <v>4</v>
      </c>
      <c r="AM7" s="81">
        <v>4</v>
      </c>
      <c r="AN7" s="81">
        <v>4</v>
      </c>
    </row>
    <row r="8" spans="1:46" ht="13.5" thickBot="1">
      <c r="A8" s="314"/>
      <c r="B8" s="315"/>
      <c r="C8" s="307"/>
      <c r="D8" s="324"/>
      <c r="E8" s="331"/>
      <c r="F8" s="324"/>
      <c r="G8" s="337"/>
      <c r="H8" s="340"/>
      <c r="I8" s="334"/>
      <c r="J8" s="321"/>
      <c r="K8" s="318"/>
      <c r="L8" s="40" t="s">
        <v>0</v>
      </c>
      <c r="M8" s="108" t="s">
        <v>1</v>
      </c>
      <c r="N8" s="38" t="s">
        <v>2</v>
      </c>
      <c r="O8" s="36" t="s">
        <v>0</v>
      </c>
      <c r="P8" s="108" t="s">
        <v>1</v>
      </c>
      <c r="Q8" s="39" t="s">
        <v>2</v>
      </c>
      <c r="R8" s="40" t="s">
        <v>0</v>
      </c>
      <c r="S8" s="108" t="s">
        <v>1</v>
      </c>
      <c r="T8" s="38" t="s">
        <v>2</v>
      </c>
      <c r="U8" s="36" t="s">
        <v>0</v>
      </c>
      <c r="V8" s="108" t="s">
        <v>1</v>
      </c>
      <c r="W8" s="39" t="s">
        <v>2</v>
      </c>
      <c r="X8" s="40" t="s">
        <v>0</v>
      </c>
      <c r="Y8" s="108" t="s">
        <v>1</v>
      </c>
      <c r="Z8" s="38" t="s">
        <v>2</v>
      </c>
      <c r="AA8" s="36" t="s">
        <v>0</v>
      </c>
      <c r="AB8" s="109" t="s">
        <v>1</v>
      </c>
      <c r="AC8" s="39" t="s">
        <v>2</v>
      </c>
      <c r="AD8" s="36" t="s">
        <v>0</v>
      </c>
      <c r="AE8" s="109" t="s">
        <v>1</v>
      </c>
      <c r="AF8" s="39" t="s">
        <v>2</v>
      </c>
      <c r="AG8" s="327"/>
      <c r="AH8" s="23"/>
      <c r="AJ8" s="75" t="str">
        <f>R6</f>
        <v>APR</v>
      </c>
      <c r="AK8" s="75" t="str">
        <f>U6</f>
        <v>MAY</v>
      </c>
      <c r="AL8" s="75" t="str">
        <f>X6:X6</f>
        <v>JUN</v>
      </c>
      <c r="AM8" s="75" t="str">
        <f>AA6</f>
        <v>JUL</v>
      </c>
      <c r="AN8" s="75" t="str">
        <f>AD6</f>
        <v>AUG</v>
      </c>
    </row>
    <row r="9" spans="1:46" s="135" customFormat="1" ht="15.75" customHeight="1" thickBot="1">
      <c r="A9" s="221">
        <f>'QTY '!C9</f>
        <v>1</v>
      </c>
      <c r="B9" s="241" t="str">
        <f>+'QTY '!F9</f>
        <v>120D</v>
      </c>
      <c r="C9" s="200" t="str">
        <f>+'QTY '!E9</f>
        <v>BC121-6B370-1 B 0001</v>
      </c>
      <c r="D9" s="190" t="e">
        <f>VLOOKUP(C9,'[9]1'!$B$6:$C$112,2,0)</f>
        <v>#N/A</v>
      </c>
      <c r="E9" s="191"/>
      <c r="F9" s="191"/>
      <c r="G9" s="191">
        <v>32</v>
      </c>
      <c r="H9" s="191" t="e">
        <f>+'[10]QTY '!#REF!</f>
        <v>#REF!</v>
      </c>
      <c r="I9" s="191"/>
      <c r="J9" s="192"/>
      <c r="K9" s="192">
        <f>VLOOKUP($C9,'QTY '!E9:G47,3,0)</f>
        <v>1.5695000000000001E-2</v>
      </c>
      <c r="L9" s="193">
        <f>$K9*'QTY '!I9</f>
        <v>0</v>
      </c>
      <c r="M9" s="194">
        <f>$K9*'QTY '!J9</f>
        <v>51.793500000000002</v>
      </c>
      <c r="N9" s="195">
        <f>$K9*'QTY '!K9</f>
        <v>51.793500000000002</v>
      </c>
      <c r="O9" s="196">
        <f>$K9*'QTY '!L9</f>
        <v>0</v>
      </c>
      <c r="P9" s="205">
        <f>$K9*'QTY '!M9</f>
        <v>52.735199999999999</v>
      </c>
      <c r="Q9" s="197">
        <f>$K9*'QTY '!N9</f>
        <v>52.735199999999999</v>
      </c>
      <c r="R9" s="198">
        <f>$K9*'QTY '!O9</f>
        <v>0</v>
      </c>
      <c r="S9" s="193">
        <f>$K9*'QTY '!P9</f>
        <v>39.551400000000001</v>
      </c>
      <c r="T9" s="195">
        <f>$K9*'QTY '!Q9</f>
        <v>39.551400000000001</v>
      </c>
      <c r="U9" s="199">
        <f>$K9*'QTY '!R9</f>
        <v>0</v>
      </c>
      <c r="V9" s="193">
        <f>$K9*'QTY '!S9</f>
        <v>30.605250000000002</v>
      </c>
      <c r="W9" s="197">
        <f>$K9*'QTY '!T9</f>
        <v>30.605250000000002</v>
      </c>
      <c r="X9" s="198">
        <f>$K9*'QTY '!U9</f>
        <v>0</v>
      </c>
      <c r="Y9" s="193">
        <f>$K9*'QTY '!V9</f>
        <v>40.02225</v>
      </c>
      <c r="Z9" s="193">
        <f>$K9*'QTY '!W9</f>
        <v>40.02225</v>
      </c>
      <c r="AA9" s="193">
        <f>$K9*'QTY '!X9</f>
        <v>0</v>
      </c>
      <c r="AB9" s="193">
        <f>$K9*'QTY '!Y9</f>
        <v>46.143300000000004</v>
      </c>
      <c r="AC9" s="193">
        <f>$K9*'QTY '!Z9</f>
        <v>46.143300000000004</v>
      </c>
      <c r="AD9" s="193">
        <f>$K9*'QTY '!AA9</f>
        <v>0</v>
      </c>
      <c r="AE9" s="193">
        <f>$K9*'QTY '!AB9</f>
        <v>46.143300000000004</v>
      </c>
      <c r="AF9" s="193">
        <f>$K9*'QTY '!AC9</f>
        <v>46.143300000000004</v>
      </c>
      <c r="AG9" s="193">
        <f>+AD9+AF9-AE9</f>
        <v>0</v>
      </c>
      <c r="AH9" s="23"/>
      <c r="AJ9" s="136">
        <f>ROUNDUP((T9/$AJ$7),0)</f>
        <v>10</v>
      </c>
      <c r="AK9" s="136">
        <f>ROUNDUP((W9/$AK$7),0)</f>
        <v>8</v>
      </c>
      <c r="AL9" s="136">
        <f>ROUNDUP((Z9/$AL$7),0)</f>
        <v>11</v>
      </c>
      <c r="AM9" s="136">
        <f>ROUNDUP((AC9/$AM$7),0)</f>
        <v>12</v>
      </c>
      <c r="AN9" s="136">
        <f>ROUNDUP((AF9/$AN$7),0)</f>
        <v>12</v>
      </c>
      <c r="AO9" s="135" t="e">
        <f>+#REF!+1</f>
        <v>#REF!</v>
      </c>
      <c r="AP9" s="137">
        <f>AJ9*AJ$7</f>
        <v>40</v>
      </c>
      <c r="AQ9" s="137">
        <f>AK9*AK$7</f>
        <v>32</v>
      </c>
      <c r="AR9" s="137">
        <f>AL9*AL$7</f>
        <v>44</v>
      </c>
      <c r="AS9" s="137">
        <f>AM9*AM$7</f>
        <v>48</v>
      </c>
      <c r="AT9" s="137">
        <f>AN9*AN$7</f>
        <v>48</v>
      </c>
    </row>
    <row r="10" spans="1:46" s="135" customFormat="1" ht="15.75" customHeight="1" thickBot="1">
      <c r="A10" s="221">
        <f>'QTY '!C10</f>
        <v>2</v>
      </c>
      <c r="B10" s="241" t="str">
        <f>+'QTY '!F10</f>
        <v>120D</v>
      </c>
      <c r="C10" s="200" t="str">
        <f>+'QTY '!E10</f>
        <v>BC121-6B370-2 B 0001</v>
      </c>
      <c r="D10" s="190" t="e">
        <f>VLOOKUP(C10,'[9]1'!$B$6:$C$112,2,0)</f>
        <v>#N/A</v>
      </c>
      <c r="E10" s="191"/>
      <c r="F10" s="191"/>
      <c r="G10" s="191">
        <v>32</v>
      </c>
      <c r="H10" s="191" t="e">
        <f>+'[10]QTY '!#REF!</f>
        <v>#REF!</v>
      </c>
      <c r="I10" s="191"/>
      <c r="J10" s="192"/>
      <c r="K10" s="192">
        <f>VLOOKUP($C10,'QTY '!E10:G85,3,0)</f>
        <v>1.5746666666666666E-2</v>
      </c>
      <c r="L10" s="193">
        <f>$K10*'QTY '!I10</f>
        <v>0</v>
      </c>
      <c r="M10" s="194">
        <f>$K10*'QTY '!J10</f>
        <v>51.491599999999998</v>
      </c>
      <c r="N10" s="195">
        <f>$K10*'QTY '!K10</f>
        <v>51.491599999999998</v>
      </c>
      <c r="O10" s="196">
        <f>$K10*'QTY '!L10</f>
        <v>0</v>
      </c>
      <c r="P10" s="205">
        <f>$K10*'QTY '!M10</f>
        <v>52.908799999999999</v>
      </c>
      <c r="Q10" s="197">
        <f>$K10*'QTY '!N10</f>
        <v>52.908799999999999</v>
      </c>
      <c r="R10" s="198">
        <f>$K10*'QTY '!O10</f>
        <v>0</v>
      </c>
      <c r="S10" s="193">
        <f>$K10*'QTY '!P10</f>
        <v>39.681599999999996</v>
      </c>
      <c r="T10" s="195">
        <f>$K10*'QTY '!Q10</f>
        <v>39.681599999999996</v>
      </c>
      <c r="U10" s="199">
        <f>$K10*'QTY '!R10</f>
        <v>0</v>
      </c>
      <c r="V10" s="193">
        <f>$K10*'QTY '!S10</f>
        <v>30.706</v>
      </c>
      <c r="W10" s="197">
        <f>$K10*'QTY '!T10</f>
        <v>30.706</v>
      </c>
      <c r="X10" s="198">
        <f>$K10*'QTY '!U10</f>
        <v>0</v>
      </c>
      <c r="Y10" s="193">
        <f>$K10*'QTY '!V10</f>
        <v>40.153999999999996</v>
      </c>
      <c r="Z10" s="193">
        <f>$K10*'QTY '!W10</f>
        <v>40.153999999999996</v>
      </c>
      <c r="AA10" s="193">
        <f>$K10*'QTY '!X10</f>
        <v>0</v>
      </c>
      <c r="AB10" s="193">
        <f>$K10*'QTY '!Y10</f>
        <v>46.295199999999994</v>
      </c>
      <c r="AC10" s="193">
        <f>$K10*'QTY '!Z10</f>
        <v>46.295199999999994</v>
      </c>
      <c r="AD10" s="193">
        <f>$K10*'QTY '!AA10</f>
        <v>0</v>
      </c>
      <c r="AE10" s="193">
        <f>$K10*'QTY '!AB10</f>
        <v>46.295199999999994</v>
      </c>
      <c r="AF10" s="193">
        <f>$K10*'QTY '!AC10</f>
        <v>46.295199999999994</v>
      </c>
      <c r="AG10" s="193">
        <f t="shared" ref="AG10:AG47" si="0">+AD10+AF10-AE10</f>
        <v>0</v>
      </c>
      <c r="AH10" s="23"/>
      <c r="AJ10" s="136">
        <f t="shared" ref="AJ10:AJ15" si="1">ROUNDUP((T10/$AJ$7),0)</f>
        <v>10</v>
      </c>
      <c r="AK10" s="136">
        <f t="shared" ref="AK10:AK15" si="2">ROUNDUP((W10/$AK$7),0)</f>
        <v>8</v>
      </c>
      <c r="AL10" s="136">
        <f t="shared" ref="AL10:AL15" si="3">ROUNDUP((Z10/$AL$7),0)</f>
        <v>11</v>
      </c>
      <c r="AM10" s="136">
        <f t="shared" ref="AM10:AM15" si="4">ROUNDUP((AC10/$AM$7),0)</f>
        <v>12</v>
      </c>
      <c r="AN10" s="136">
        <f t="shared" ref="AN10:AN15" si="5">ROUNDUP((AF10/$AN$7),0)</f>
        <v>12</v>
      </c>
      <c r="AO10" s="135" t="e">
        <f>+#REF!+1</f>
        <v>#REF!</v>
      </c>
      <c r="AP10" s="137">
        <f t="shared" ref="AP10:AP15" si="6">AJ10*AJ$7</f>
        <v>40</v>
      </c>
      <c r="AQ10" s="137">
        <f t="shared" ref="AQ10:AQ15" si="7">AK10*AK$7</f>
        <v>32</v>
      </c>
      <c r="AR10" s="137">
        <f t="shared" ref="AR10:AR15" si="8">AL10*AL$7</f>
        <v>44</v>
      </c>
      <c r="AS10" s="137">
        <f t="shared" ref="AS10:AS15" si="9">AM10*AM$7</f>
        <v>48</v>
      </c>
      <c r="AT10" s="137">
        <f t="shared" ref="AT10:AT15" si="10">AN10*AN$7</f>
        <v>48</v>
      </c>
    </row>
    <row r="11" spans="1:46" s="135" customFormat="1" ht="15.75" customHeight="1" thickBot="1">
      <c r="A11" s="221">
        <f>'QTY '!C11</f>
        <v>3</v>
      </c>
      <c r="B11" s="241" t="str">
        <f>+'QTY '!F11</f>
        <v>120D</v>
      </c>
      <c r="C11" s="200" t="str">
        <f>+'QTY '!E11</f>
        <v>BC121-6B220-1 B 0001</v>
      </c>
      <c r="D11" s="190" t="e">
        <f>VLOOKUP(C11,'[9]1'!$B$6:$C$112,2,0)</f>
        <v>#N/A</v>
      </c>
      <c r="E11" s="191"/>
      <c r="F11" s="191"/>
      <c r="G11" s="191">
        <v>32</v>
      </c>
      <c r="H11" s="191" t="e">
        <f>+'[10]QTY '!#REF!</f>
        <v>#REF!</v>
      </c>
      <c r="I11" s="191"/>
      <c r="J11" s="192"/>
      <c r="K11" s="192">
        <f>VLOOKUP($C11,'QTY '!E11:G86,3,0)</f>
        <v>1.2176666666666666E-2</v>
      </c>
      <c r="L11" s="193">
        <f>$K11*'QTY '!I11</f>
        <v>0</v>
      </c>
      <c r="M11" s="194">
        <f>$K11*'QTY '!J11</f>
        <v>38.965333333333326</v>
      </c>
      <c r="N11" s="195">
        <f>$K11*'QTY '!K11</f>
        <v>38.965333333333326</v>
      </c>
      <c r="O11" s="196">
        <f>$K11*'QTY '!L11</f>
        <v>0</v>
      </c>
      <c r="P11" s="205">
        <f>$K11*'QTY '!M11</f>
        <v>31.172266666666665</v>
      </c>
      <c r="Q11" s="197">
        <f>$K11*'QTY '!N11</f>
        <v>31.172266666666665</v>
      </c>
      <c r="R11" s="198">
        <f>$K11*'QTY '!O11</f>
        <v>0</v>
      </c>
      <c r="S11" s="193">
        <f>$K11*'QTY '!P11</f>
        <v>32.1464</v>
      </c>
      <c r="T11" s="195">
        <f>$K11*'QTY '!Q11</f>
        <v>32.1464</v>
      </c>
      <c r="U11" s="199">
        <f>$K11*'QTY '!R11</f>
        <v>0</v>
      </c>
      <c r="V11" s="193">
        <f>$K11*'QTY '!S11</f>
        <v>28.249866666666662</v>
      </c>
      <c r="W11" s="197">
        <f>$K11*'QTY '!T11</f>
        <v>28.249866666666662</v>
      </c>
      <c r="X11" s="198">
        <f>$K11*'QTY '!U11</f>
        <v>0</v>
      </c>
      <c r="Y11" s="193">
        <f>$K11*'QTY '!V11</f>
        <v>36.04293333333333</v>
      </c>
      <c r="Z11" s="193">
        <f>$K11*'QTY '!W11</f>
        <v>36.04293333333333</v>
      </c>
      <c r="AA11" s="193">
        <f>$K11*'QTY '!X11</f>
        <v>0</v>
      </c>
      <c r="AB11" s="193">
        <f>$K11*'QTY '!Y11</f>
        <v>47.732533333333329</v>
      </c>
      <c r="AC11" s="193">
        <f>$K11*'QTY '!Z11</f>
        <v>47.732533333333329</v>
      </c>
      <c r="AD11" s="193">
        <f>$K11*'QTY '!AA11</f>
        <v>0</v>
      </c>
      <c r="AE11" s="193">
        <f>$K11*'QTY '!AB11</f>
        <v>47.732533333333329</v>
      </c>
      <c r="AF11" s="193">
        <f>$K11*'QTY '!AC11</f>
        <v>47.732533333333329</v>
      </c>
      <c r="AG11" s="193">
        <f t="shared" si="0"/>
        <v>0</v>
      </c>
      <c r="AH11" s="23"/>
      <c r="AJ11" s="136">
        <f t="shared" si="1"/>
        <v>9</v>
      </c>
      <c r="AK11" s="136">
        <f t="shared" si="2"/>
        <v>8</v>
      </c>
      <c r="AL11" s="136">
        <f t="shared" si="3"/>
        <v>10</v>
      </c>
      <c r="AM11" s="136">
        <f t="shared" si="4"/>
        <v>12</v>
      </c>
      <c r="AN11" s="136">
        <f t="shared" si="5"/>
        <v>12</v>
      </c>
      <c r="AO11" s="135" t="e">
        <f>+#REF!+1</f>
        <v>#REF!</v>
      </c>
      <c r="AP11" s="137">
        <f t="shared" si="6"/>
        <v>36</v>
      </c>
      <c r="AQ11" s="137">
        <f t="shared" si="7"/>
        <v>32</v>
      </c>
      <c r="AR11" s="137">
        <f t="shared" si="8"/>
        <v>40</v>
      </c>
      <c r="AS11" s="137">
        <f t="shared" si="9"/>
        <v>48</v>
      </c>
      <c r="AT11" s="137">
        <f t="shared" si="10"/>
        <v>48</v>
      </c>
    </row>
    <row r="12" spans="1:46" s="135" customFormat="1" ht="15.75" customHeight="1" thickBot="1">
      <c r="A12" s="221">
        <f>'QTY '!C12</f>
        <v>4</v>
      </c>
      <c r="B12" s="241" t="str">
        <f>+'QTY '!F12</f>
        <v>120D</v>
      </c>
      <c r="C12" s="200" t="str">
        <f>+'QTY '!E12</f>
        <v>BC121-6B250-1 B 0001</v>
      </c>
      <c r="D12" s="190" t="e">
        <f>VLOOKUP(C12,'[9]1'!$B$6:$C$112,2,0)</f>
        <v>#N/A</v>
      </c>
      <c r="E12" s="191"/>
      <c r="F12" s="191"/>
      <c r="G12" s="191">
        <v>32</v>
      </c>
      <c r="H12" s="191" t="e">
        <f>+'[10]QTY '!#REF!</f>
        <v>#REF!</v>
      </c>
      <c r="I12" s="191"/>
      <c r="J12" s="192"/>
      <c r="K12" s="192">
        <f>VLOOKUP($C12,'QTY '!E12:G87,3,0)</f>
        <v>1.3471666666666667E-2</v>
      </c>
      <c r="L12" s="193">
        <f>$K12*'QTY '!I12</f>
        <v>0</v>
      </c>
      <c r="M12" s="194">
        <f>$K12*'QTY '!J12</f>
        <v>0</v>
      </c>
      <c r="N12" s="195">
        <f>$K12*'QTY '!K12</f>
        <v>0</v>
      </c>
      <c r="O12" s="196">
        <f>$K12*'QTY '!L12</f>
        <v>0</v>
      </c>
      <c r="P12" s="205">
        <f>$K12*'QTY '!M12</f>
        <v>1.21245</v>
      </c>
      <c r="Q12" s="197">
        <f>$K12*'QTY '!N12</f>
        <v>1.21245</v>
      </c>
      <c r="R12" s="198">
        <f>$K12*'QTY '!O12</f>
        <v>0</v>
      </c>
      <c r="S12" s="193">
        <f>$K12*'QTY '!P12</f>
        <v>1.21245</v>
      </c>
      <c r="T12" s="195">
        <f>$K12*'QTY '!Q12</f>
        <v>1.21245</v>
      </c>
      <c r="U12" s="199">
        <f>$K12*'QTY '!R12</f>
        <v>0</v>
      </c>
      <c r="V12" s="193">
        <f>$K12*'QTY '!S12</f>
        <v>0.80830000000000002</v>
      </c>
      <c r="W12" s="197">
        <f>$K12*'QTY '!T12</f>
        <v>0.80830000000000002</v>
      </c>
      <c r="X12" s="198">
        <f>$K12*'QTY '!U12</f>
        <v>0</v>
      </c>
      <c r="Y12" s="193">
        <f>$K12*'QTY '!V12</f>
        <v>1.6166</v>
      </c>
      <c r="Z12" s="193">
        <f>$K12*'QTY '!W12</f>
        <v>1.6166</v>
      </c>
      <c r="AA12" s="193">
        <f>$K12*'QTY '!X12</f>
        <v>0</v>
      </c>
      <c r="AB12" s="193">
        <f>$K12*'QTY '!Y12</f>
        <v>2.02075</v>
      </c>
      <c r="AC12" s="193">
        <f>$K12*'QTY '!Z12</f>
        <v>2.02075</v>
      </c>
      <c r="AD12" s="193">
        <f>$K12*'QTY '!AA12</f>
        <v>0</v>
      </c>
      <c r="AE12" s="193">
        <f>$K12*'QTY '!AB12</f>
        <v>2.02075</v>
      </c>
      <c r="AF12" s="193">
        <f>$K12*'QTY '!AC12</f>
        <v>2.02075</v>
      </c>
      <c r="AG12" s="193">
        <f t="shared" si="0"/>
        <v>0</v>
      </c>
      <c r="AH12" s="23"/>
      <c r="AJ12" s="136">
        <f t="shared" si="1"/>
        <v>1</v>
      </c>
      <c r="AK12" s="136">
        <f t="shared" si="2"/>
        <v>1</v>
      </c>
      <c r="AL12" s="136">
        <f t="shared" si="3"/>
        <v>1</v>
      </c>
      <c r="AM12" s="136">
        <f t="shared" si="4"/>
        <v>1</v>
      </c>
      <c r="AN12" s="136">
        <f t="shared" si="5"/>
        <v>1</v>
      </c>
      <c r="AO12" s="135" t="e">
        <f>+#REF!+1</f>
        <v>#REF!</v>
      </c>
      <c r="AP12" s="137">
        <f t="shared" si="6"/>
        <v>4</v>
      </c>
      <c r="AQ12" s="137">
        <f t="shared" si="7"/>
        <v>4</v>
      </c>
      <c r="AR12" s="137">
        <f t="shared" si="8"/>
        <v>4</v>
      </c>
      <c r="AS12" s="137">
        <f t="shared" si="9"/>
        <v>4</v>
      </c>
      <c r="AT12" s="137">
        <f t="shared" si="10"/>
        <v>4</v>
      </c>
    </row>
    <row r="13" spans="1:46" s="135" customFormat="1" ht="15.75" customHeight="1" thickBot="1">
      <c r="A13" s="221">
        <f>'QTY '!C13</f>
        <v>5</v>
      </c>
      <c r="B13" s="241" t="str">
        <f>+'QTY '!F13</f>
        <v>120D</v>
      </c>
      <c r="C13" s="200" t="str">
        <f>+'QTY '!E13</f>
        <v>BC121-6B260-1 B 0001</v>
      </c>
      <c r="D13" s="190" t="e">
        <f>VLOOKUP(C13,'[9]1'!$B$6:$C$112,2,0)</f>
        <v>#N/A</v>
      </c>
      <c r="E13" s="191"/>
      <c r="F13" s="191"/>
      <c r="G13" s="191">
        <v>32</v>
      </c>
      <c r="H13" s="191" t="e">
        <f>+'[10]QTY '!#REF!</f>
        <v>#REF!</v>
      </c>
      <c r="I13" s="191"/>
      <c r="J13" s="192"/>
      <c r="K13" s="192">
        <f>VLOOKUP($C13,'QTY '!E13:G88,3,0)</f>
        <v>1.5718333333333334E-2</v>
      </c>
      <c r="L13" s="193">
        <f>$K13*'QTY '!I13</f>
        <v>0</v>
      </c>
      <c r="M13" s="194">
        <f>$K13*'QTY '!J13</f>
        <v>48.098100000000002</v>
      </c>
      <c r="N13" s="195">
        <f>$K13*'QTY '!K13</f>
        <v>48.098100000000002</v>
      </c>
      <c r="O13" s="196">
        <f>$K13*'QTY '!L13</f>
        <v>0</v>
      </c>
      <c r="P13" s="205">
        <f>$K13*'QTY '!M13</f>
        <v>30.807933333333335</v>
      </c>
      <c r="Q13" s="197">
        <f>$K13*'QTY '!N13</f>
        <v>30.807933333333335</v>
      </c>
      <c r="R13" s="198">
        <f>$K13*'QTY '!O13</f>
        <v>0</v>
      </c>
      <c r="S13" s="193">
        <f>$K13*'QTY '!P13</f>
        <v>24.834966666666666</v>
      </c>
      <c r="T13" s="195">
        <f>$K13*'QTY '!Q13</f>
        <v>24.834966666666666</v>
      </c>
      <c r="U13" s="199">
        <f>$K13*'QTY '!R13</f>
        <v>0</v>
      </c>
      <c r="V13" s="193">
        <f>$K13*'QTY '!S13</f>
        <v>23.263133333333336</v>
      </c>
      <c r="W13" s="197">
        <f>$K13*'QTY '!T13</f>
        <v>23.263133333333336</v>
      </c>
      <c r="X13" s="198">
        <f>$K13*'QTY '!U13</f>
        <v>0</v>
      </c>
      <c r="Y13" s="193">
        <f>$K13*'QTY '!V13</f>
        <v>31.122300000000003</v>
      </c>
      <c r="Z13" s="193">
        <f>$K13*'QTY '!W13</f>
        <v>31.122300000000003</v>
      </c>
      <c r="AA13" s="193">
        <f>$K13*'QTY '!X13</f>
        <v>0</v>
      </c>
      <c r="AB13" s="193">
        <f>$K13*'QTY '!Y13</f>
        <v>49.041200000000003</v>
      </c>
      <c r="AC13" s="193">
        <f>$K13*'QTY '!Z13</f>
        <v>49.041200000000003</v>
      </c>
      <c r="AD13" s="193">
        <f>$K13*'QTY '!AA13</f>
        <v>0</v>
      </c>
      <c r="AE13" s="193">
        <f>$K13*'QTY '!AB13</f>
        <v>49.041200000000003</v>
      </c>
      <c r="AF13" s="193">
        <f>$K13*'QTY '!AC13</f>
        <v>49.041200000000003</v>
      </c>
      <c r="AG13" s="193">
        <f t="shared" si="0"/>
        <v>0</v>
      </c>
      <c r="AH13" s="23"/>
      <c r="AJ13" s="136">
        <f t="shared" si="1"/>
        <v>7</v>
      </c>
      <c r="AK13" s="136">
        <f t="shared" si="2"/>
        <v>6</v>
      </c>
      <c r="AL13" s="136">
        <f t="shared" si="3"/>
        <v>8</v>
      </c>
      <c r="AM13" s="136">
        <f t="shared" si="4"/>
        <v>13</v>
      </c>
      <c r="AN13" s="136">
        <f t="shared" si="5"/>
        <v>13</v>
      </c>
      <c r="AO13" s="135" t="e">
        <f>+#REF!+1</f>
        <v>#REF!</v>
      </c>
      <c r="AP13" s="137">
        <f t="shared" si="6"/>
        <v>28</v>
      </c>
      <c r="AQ13" s="137">
        <f t="shared" si="7"/>
        <v>24</v>
      </c>
      <c r="AR13" s="137">
        <f t="shared" si="8"/>
        <v>32</v>
      </c>
      <c r="AS13" s="137">
        <f t="shared" si="9"/>
        <v>52</v>
      </c>
      <c r="AT13" s="137">
        <f t="shared" si="10"/>
        <v>52</v>
      </c>
    </row>
    <row r="14" spans="1:46" s="135" customFormat="1" ht="15.75" customHeight="1" thickBot="1">
      <c r="A14" s="221">
        <f>'QTY '!C14</f>
        <v>6</v>
      </c>
      <c r="B14" s="241" t="str">
        <f>+'QTY '!F14</f>
        <v>120D</v>
      </c>
      <c r="C14" s="200" t="str">
        <f>+'QTY '!E14</f>
        <v>BC121-6B230-1 B 0001</v>
      </c>
      <c r="D14" s="190" t="e">
        <f>VLOOKUP(C14,'[9]1'!$B$6:$C$112,2,0)</f>
        <v>#N/A</v>
      </c>
      <c r="E14" s="191"/>
      <c r="F14" s="191"/>
      <c r="G14" s="191">
        <v>32</v>
      </c>
      <c r="H14" s="191" t="e">
        <f>+'[10]QTY '!#REF!</f>
        <v>#REF!</v>
      </c>
      <c r="I14" s="191"/>
      <c r="J14" s="192"/>
      <c r="K14" s="192">
        <f>VLOOKUP($C14,'QTY '!E14:G89,3,0)</f>
        <v>1.6306666666666667E-2</v>
      </c>
      <c r="L14" s="193">
        <f>$K14*'QTY '!I14</f>
        <v>0</v>
      </c>
      <c r="M14" s="194">
        <f>$K14*'QTY '!J14</f>
        <v>0</v>
      </c>
      <c r="N14" s="195">
        <f>$K14*'QTY '!K14</f>
        <v>0</v>
      </c>
      <c r="O14" s="196">
        <f>$K14*'QTY '!L14</f>
        <v>0</v>
      </c>
      <c r="P14" s="205">
        <f>$K14*'QTY '!M14</f>
        <v>0</v>
      </c>
      <c r="Q14" s="197">
        <f>$K14*'QTY '!N14</f>
        <v>0</v>
      </c>
      <c r="R14" s="198">
        <f>$K14*'QTY '!O14</f>
        <v>0</v>
      </c>
      <c r="S14" s="193">
        <f>$K14*'QTY '!P14</f>
        <v>0</v>
      </c>
      <c r="T14" s="195">
        <f>$K14*'QTY '!Q14</f>
        <v>0</v>
      </c>
      <c r="U14" s="199">
        <f>$K14*'QTY '!R14</f>
        <v>0</v>
      </c>
      <c r="V14" s="193">
        <f>$K14*'QTY '!S14</f>
        <v>0</v>
      </c>
      <c r="W14" s="197">
        <f>$K14*'QTY '!T14</f>
        <v>0</v>
      </c>
      <c r="X14" s="198">
        <f>$K14*'QTY '!U14</f>
        <v>0</v>
      </c>
      <c r="Y14" s="193">
        <f>$K14*'QTY '!V14</f>
        <v>0</v>
      </c>
      <c r="Z14" s="193">
        <f>$K14*'QTY '!W14</f>
        <v>0</v>
      </c>
      <c r="AA14" s="193">
        <f>$K14*'QTY '!X14</f>
        <v>0</v>
      </c>
      <c r="AB14" s="193">
        <f>$K14*'QTY '!Y14</f>
        <v>0</v>
      </c>
      <c r="AC14" s="193">
        <f>$K14*'QTY '!Z14</f>
        <v>0</v>
      </c>
      <c r="AD14" s="193">
        <f>$K14*'QTY '!AA14</f>
        <v>0</v>
      </c>
      <c r="AE14" s="193">
        <f>$K14*'QTY '!AB14</f>
        <v>0</v>
      </c>
      <c r="AF14" s="193">
        <f>$K14*'QTY '!AC14</f>
        <v>0</v>
      </c>
      <c r="AG14" s="193">
        <f t="shared" si="0"/>
        <v>0</v>
      </c>
      <c r="AH14" s="23"/>
      <c r="AJ14" s="136">
        <f t="shared" si="1"/>
        <v>0</v>
      </c>
      <c r="AK14" s="136">
        <f t="shared" si="2"/>
        <v>0</v>
      </c>
      <c r="AL14" s="136">
        <f t="shared" si="3"/>
        <v>0</v>
      </c>
      <c r="AM14" s="136">
        <f t="shared" si="4"/>
        <v>0</v>
      </c>
      <c r="AN14" s="136">
        <f t="shared" si="5"/>
        <v>0</v>
      </c>
      <c r="AO14" s="135" t="e">
        <f>+#REF!+1</f>
        <v>#REF!</v>
      </c>
      <c r="AP14" s="137">
        <f t="shared" si="6"/>
        <v>0</v>
      </c>
      <c r="AQ14" s="137">
        <f t="shared" si="7"/>
        <v>0</v>
      </c>
      <c r="AR14" s="137">
        <f t="shared" si="8"/>
        <v>0</v>
      </c>
      <c r="AS14" s="137">
        <f t="shared" si="9"/>
        <v>0</v>
      </c>
      <c r="AT14" s="137">
        <f t="shared" si="10"/>
        <v>0</v>
      </c>
    </row>
    <row r="15" spans="1:46" s="135" customFormat="1" ht="15.75" customHeight="1" thickBot="1">
      <c r="A15" s="221">
        <f>'QTY '!C15</f>
        <v>7</v>
      </c>
      <c r="B15" s="241" t="str">
        <f>+'QTY '!F15</f>
        <v>120D</v>
      </c>
      <c r="C15" s="200" t="str">
        <f>+'QTY '!E15</f>
        <v>BC121-6AM60-1 C 0001</v>
      </c>
      <c r="D15" s="190" t="e">
        <f>VLOOKUP(C15,'[9]1'!$B$6:$C$112,2,0)</f>
        <v>#N/A</v>
      </c>
      <c r="E15" s="191"/>
      <c r="F15" s="191"/>
      <c r="G15" s="191">
        <v>32</v>
      </c>
      <c r="H15" s="191" t="e">
        <f>+'[10]QTY '!#REF!</f>
        <v>#REF!</v>
      </c>
      <c r="I15" s="191"/>
      <c r="J15" s="192"/>
      <c r="K15" s="192">
        <f>VLOOKUP($C15,'QTY '!E15:G90,3,0)</f>
        <v>1.5331666666666667E-2</v>
      </c>
      <c r="L15" s="193">
        <f>$K15*'QTY '!I15</f>
        <v>0</v>
      </c>
      <c r="M15" s="194">
        <f>$K15*'QTY '!J15</f>
        <v>0</v>
      </c>
      <c r="N15" s="195">
        <f>$K15*'QTY '!K15</f>
        <v>0</v>
      </c>
      <c r="O15" s="196">
        <f>$K15*'QTY '!L15</f>
        <v>0</v>
      </c>
      <c r="P15" s="205">
        <f>$K15*'QTY '!M15</f>
        <v>0</v>
      </c>
      <c r="Q15" s="197">
        <f>$K15*'QTY '!N15</f>
        <v>0</v>
      </c>
      <c r="R15" s="198">
        <f>$K15*'QTY '!O15</f>
        <v>0</v>
      </c>
      <c r="S15" s="193">
        <f>$K15*'QTY '!P15</f>
        <v>0</v>
      </c>
      <c r="T15" s="195">
        <f>$K15*'QTY '!Q15</f>
        <v>0</v>
      </c>
      <c r="U15" s="199">
        <f>$K15*'QTY '!R15</f>
        <v>0</v>
      </c>
      <c r="V15" s="193">
        <f>$K15*'QTY '!S15</f>
        <v>0</v>
      </c>
      <c r="W15" s="197">
        <f>$K15*'QTY '!T15</f>
        <v>0</v>
      </c>
      <c r="X15" s="198">
        <f>$K15*'QTY '!U15</f>
        <v>0</v>
      </c>
      <c r="Y15" s="193">
        <f>$K15*'QTY '!V15</f>
        <v>0</v>
      </c>
      <c r="Z15" s="193">
        <f>$K15*'QTY '!W15</f>
        <v>0</v>
      </c>
      <c r="AA15" s="193">
        <f>$K15*'QTY '!X15</f>
        <v>0</v>
      </c>
      <c r="AB15" s="193">
        <f>$K15*'QTY '!Y15</f>
        <v>37.409266666666667</v>
      </c>
      <c r="AC15" s="193">
        <f>$K15*'QTY '!Z15</f>
        <v>37.409266666666667</v>
      </c>
      <c r="AD15" s="193">
        <f>$K15*'QTY '!AA15</f>
        <v>0</v>
      </c>
      <c r="AE15" s="193">
        <f>$K15*'QTY '!AB15</f>
        <v>37.409266666666667</v>
      </c>
      <c r="AF15" s="193">
        <f>$K15*'QTY '!AC15</f>
        <v>37.409266666666667</v>
      </c>
      <c r="AG15" s="193">
        <f t="shared" si="0"/>
        <v>0</v>
      </c>
      <c r="AH15" s="23"/>
      <c r="AJ15" s="136">
        <f t="shared" si="1"/>
        <v>0</v>
      </c>
      <c r="AK15" s="136">
        <f t="shared" si="2"/>
        <v>0</v>
      </c>
      <c r="AL15" s="136">
        <f t="shared" si="3"/>
        <v>0</v>
      </c>
      <c r="AM15" s="136">
        <f t="shared" si="4"/>
        <v>10</v>
      </c>
      <c r="AN15" s="136">
        <f t="shared" si="5"/>
        <v>10</v>
      </c>
      <c r="AO15" s="135" t="e">
        <f>+#REF!+1</f>
        <v>#REF!</v>
      </c>
      <c r="AP15" s="137">
        <f t="shared" si="6"/>
        <v>0</v>
      </c>
      <c r="AQ15" s="137">
        <f t="shared" si="7"/>
        <v>0</v>
      </c>
      <c r="AR15" s="137">
        <f t="shared" si="8"/>
        <v>0</v>
      </c>
      <c r="AS15" s="137">
        <f t="shared" si="9"/>
        <v>40</v>
      </c>
      <c r="AT15" s="137">
        <f t="shared" si="10"/>
        <v>40</v>
      </c>
    </row>
    <row r="16" spans="1:46" s="135" customFormat="1" ht="15.75" customHeight="1" thickBot="1">
      <c r="A16" s="221"/>
      <c r="B16" s="241" t="str">
        <f>+'QTY '!F16</f>
        <v>930B</v>
      </c>
      <c r="C16" s="200" t="str">
        <f>+'QTY '!E16</f>
        <v>BC121-35G70-1 D 0001</v>
      </c>
      <c r="D16" s="190"/>
      <c r="E16" s="191"/>
      <c r="F16" s="191"/>
      <c r="G16" s="191"/>
      <c r="H16" s="191"/>
      <c r="I16" s="191"/>
      <c r="J16" s="192"/>
      <c r="K16" s="192">
        <f>VLOOKUP($C16,'QTY '!E16:G91,3,0)</f>
        <v>1.5318333333333333E-2</v>
      </c>
      <c r="L16" s="193">
        <f>$K16*'QTY '!I16</f>
        <v>0</v>
      </c>
      <c r="M16" s="194">
        <f>$K16*'QTY '!J16</f>
        <v>74.447099999999992</v>
      </c>
      <c r="N16" s="195">
        <f>$K16*'QTY '!K16</f>
        <v>74.447099999999992</v>
      </c>
      <c r="O16" s="196">
        <f>$K16*'QTY '!L16</f>
        <v>0</v>
      </c>
      <c r="P16" s="205">
        <f>$K16*'QTY '!M16</f>
        <v>63.417899999999996</v>
      </c>
      <c r="Q16" s="197">
        <f>$K16*'QTY '!N16</f>
        <v>63.417899999999996</v>
      </c>
      <c r="R16" s="198">
        <f>$K16*'QTY '!O16</f>
        <v>0</v>
      </c>
      <c r="S16" s="193">
        <f>$K16*'QTY '!P16</f>
        <v>56.524650000000001</v>
      </c>
      <c r="T16" s="195">
        <f>$K16*'QTY '!Q16</f>
        <v>56.524650000000001</v>
      </c>
      <c r="U16" s="199">
        <f>$K16*'QTY '!R16</f>
        <v>0</v>
      </c>
      <c r="V16" s="193">
        <f>$K16*'QTY '!S16</f>
        <v>48.712299999999999</v>
      </c>
      <c r="W16" s="197">
        <f>$K16*'QTY '!T16</f>
        <v>48.712299999999999</v>
      </c>
      <c r="X16" s="198">
        <f>$K16*'QTY '!U16</f>
        <v>0</v>
      </c>
      <c r="Y16" s="193">
        <f>$K16*'QTY '!V16</f>
        <v>56.524650000000001</v>
      </c>
      <c r="Z16" s="193">
        <f>$K16*'QTY '!W16</f>
        <v>56.524650000000001</v>
      </c>
      <c r="AA16" s="193">
        <f>$K16*'QTY '!X16</f>
        <v>0</v>
      </c>
      <c r="AB16" s="193">
        <f>$K16*'QTY '!Y16</f>
        <v>65.715649999999997</v>
      </c>
      <c r="AC16" s="193">
        <f>$K16*'QTY '!Z16</f>
        <v>65.715649999999997</v>
      </c>
      <c r="AD16" s="193">
        <f>$K16*'QTY '!AA16</f>
        <v>0</v>
      </c>
      <c r="AE16" s="193">
        <f>$K16*'QTY '!AB16</f>
        <v>65.715649999999997</v>
      </c>
      <c r="AF16" s="193">
        <f>$K16*'QTY '!AC16</f>
        <v>65.715649999999997</v>
      </c>
      <c r="AG16" s="193">
        <f t="shared" si="0"/>
        <v>0</v>
      </c>
      <c r="AH16" s="23"/>
      <c r="AJ16" s="136"/>
      <c r="AK16" s="136"/>
      <c r="AL16" s="136"/>
      <c r="AM16" s="136"/>
      <c r="AN16" s="136"/>
      <c r="AP16" s="137"/>
      <c r="AQ16" s="137"/>
      <c r="AR16" s="137"/>
      <c r="AS16" s="137"/>
      <c r="AT16" s="137"/>
    </row>
    <row r="17" spans="1:46" s="135" customFormat="1" ht="15.75" customHeight="1" thickBot="1">
      <c r="A17" s="221"/>
      <c r="B17" s="241" t="str">
        <f>+'QTY '!F17</f>
        <v>930B</v>
      </c>
      <c r="C17" s="200" t="str">
        <f>+'QTY '!E17</f>
        <v>BC121-35G90-1 D 0001</v>
      </c>
      <c r="D17" s="190"/>
      <c r="E17" s="191"/>
      <c r="F17" s="191"/>
      <c r="G17" s="191"/>
      <c r="H17" s="191"/>
      <c r="I17" s="191"/>
      <c r="J17" s="192"/>
      <c r="K17" s="192">
        <f>VLOOKUP($C17,'QTY '!E17:G92,3,0)</f>
        <v>1.5331666666666667E-2</v>
      </c>
      <c r="L17" s="193">
        <f>$K17*'QTY '!I17</f>
        <v>0</v>
      </c>
      <c r="M17" s="194">
        <f>$K17*'QTY '!J17</f>
        <v>19.011266666666668</v>
      </c>
      <c r="N17" s="195">
        <f>$K17*'QTY '!K17</f>
        <v>19.011266666666668</v>
      </c>
      <c r="O17" s="196">
        <f>$K17*'QTY '!L17</f>
        <v>0</v>
      </c>
      <c r="P17" s="205">
        <f>$K17*'QTY '!M17</f>
        <v>23.304133333333333</v>
      </c>
      <c r="Q17" s="197">
        <f>$K17*'QTY '!N17</f>
        <v>23.304133333333333</v>
      </c>
      <c r="R17" s="198">
        <f>$K17*'QTY '!O17</f>
        <v>0</v>
      </c>
      <c r="S17" s="193">
        <f>$K17*'QTY '!P17</f>
        <v>20.544433333333334</v>
      </c>
      <c r="T17" s="195">
        <f>$K17*'QTY '!Q17</f>
        <v>20.544433333333334</v>
      </c>
      <c r="U17" s="199">
        <f>$K17*'QTY '!R17</f>
        <v>0</v>
      </c>
      <c r="V17" s="193">
        <f>$K17*'QTY '!S17</f>
        <v>18.091366666666666</v>
      </c>
      <c r="W17" s="197">
        <f>$K17*'QTY '!T17</f>
        <v>18.091366666666666</v>
      </c>
      <c r="X17" s="198">
        <f>$K17*'QTY '!U17</f>
        <v>0</v>
      </c>
      <c r="Y17" s="193">
        <f>$K17*'QTY '!V17</f>
        <v>21.464333333333332</v>
      </c>
      <c r="Z17" s="193">
        <f>$K17*'QTY '!W17</f>
        <v>21.464333333333332</v>
      </c>
      <c r="AA17" s="193">
        <f>$K17*'QTY '!X17</f>
        <v>0</v>
      </c>
      <c r="AB17" s="193">
        <f>$K17*'QTY '!Y17</f>
        <v>24.837299999999999</v>
      </c>
      <c r="AC17" s="193">
        <f>$K17*'QTY '!Z17</f>
        <v>24.837299999999999</v>
      </c>
      <c r="AD17" s="193">
        <f>$K17*'QTY '!AA17</f>
        <v>0</v>
      </c>
      <c r="AE17" s="193">
        <f>$K17*'QTY '!AB17</f>
        <v>24.837299999999999</v>
      </c>
      <c r="AF17" s="193">
        <f>$K17*'QTY '!AC17</f>
        <v>24.837299999999999</v>
      </c>
      <c r="AG17" s="193">
        <f t="shared" si="0"/>
        <v>0</v>
      </c>
      <c r="AH17" s="23"/>
      <c r="AJ17" s="136"/>
      <c r="AK17" s="136"/>
      <c r="AL17" s="136"/>
      <c r="AM17" s="136"/>
      <c r="AN17" s="136"/>
      <c r="AP17" s="137"/>
      <c r="AQ17" s="137"/>
      <c r="AR17" s="137"/>
      <c r="AS17" s="137"/>
      <c r="AT17" s="137"/>
    </row>
    <row r="18" spans="1:46" s="135" customFormat="1" ht="15.75" customHeight="1" thickBot="1">
      <c r="A18" s="221"/>
      <c r="B18" s="241" t="str">
        <f>+'QTY '!F18</f>
        <v>930B</v>
      </c>
      <c r="C18" s="200" t="str">
        <f>+'QTY '!E18</f>
        <v>BC121-35K80-1 C 0001</v>
      </c>
      <c r="D18" s="190"/>
      <c r="E18" s="191"/>
      <c r="F18" s="191"/>
      <c r="G18" s="191"/>
      <c r="H18" s="191"/>
      <c r="I18" s="191"/>
      <c r="J18" s="192"/>
      <c r="K18" s="192">
        <f>VLOOKUP($C18,'QTY '!E18:G93,3,0)</f>
        <v>1.5296666666666667E-2</v>
      </c>
      <c r="L18" s="193">
        <f>$K18*'QTY '!I18</f>
        <v>0</v>
      </c>
      <c r="M18" s="194">
        <f>$K18*'QTY '!J18</f>
        <v>26.616199999999999</v>
      </c>
      <c r="N18" s="195">
        <f>$K18*'QTY '!K18</f>
        <v>26.616199999999999</v>
      </c>
      <c r="O18" s="196">
        <f>$K18*'QTY '!L18</f>
        <v>0</v>
      </c>
      <c r="P18" s="205">
        <f>$K18*'QTY '!M18</f>
        <v>1.8355999999999999</v>
      </c>
      <c r="Q18" s="197">
        <f>$K18*'QTY '!N18</f>
        <v>1.8355999999999999</v>
      </c>
      <c r="R18" s="198">
        <f>$K18*'QTY '!O18</f>
        <v>0</v>
      </c>
      <c r="S18" s="193">
        <f>$K18*'QTY '!P18</f>
        <v>11.4725</v>
      </c>
      <c r="T18" s="195">
        <f>$K18*'QTY '!Q18</f>
        <v>11.4725</v>
      </c>
      <c r="U18" s="199">
        <f>$K18*'QTY '!R18</f>
        <v>0</v>
      </c>
      <c r="V18" s="193">
        <f>$K18*'QTY '!S18</f>
        <v>25.698399999999999</v>
      </c>
      <c r="W18" s="197">
        <f>$K18*'QTY '!T18</f>
        <v>25.698399999999999</v>
      </c>
      <c r="X18" s="198">
        <f>$K18*'QTY '!U18</f>
        <v>0</v>
      </c>
      <c r="Y18" s="193">
        <f>$K18*'QTY '!V18</f>
        <v>32.122999999999998</v>
      </c>
      <c r="Z18" s="193">
        <f>$K18*'QTY '!W18</f>
        <v>32.122999999999998</v>
      </c>
      <c r="AA18" s="193">
        <f>$K18*'QTY '!X18</f>
        <v>0</v>
      </c>
      <c r="AB18" s="193">
        <f>$K18*'QTY '!Y18</f>
        <v>31.664100000000001</v>
      </c>
      <c r="AC18" s="193">
        <f>$K18*'QTY '!Z18</f>
        <v>31.664100000000001</v>
      </c>
      <c r="AD18" s="193">
        <f>$K18*'QTY '!AA18</f>
        <v>0</v>
      </c>
      <c r="AE18" s="193">
        <f>$K18*'QTY '!AB18</f>
        <v>31.664100000000001</v>
      </c>
      <c r="AF18" s="193">
        <f>$K18*'QTY '!AC18</f>
        <v>31.664100000000001</v>
      </c>
      <c r="AG18" s="193">
        <f t="shared" si="0"/>
        <v>0</v>
      </c>
      <c r="AH18" s="23"/>
      <c r="AJ18" s="136"/>
      <c r="AK18" s="136"/>
      <c r="AL18" s="136"/>
      <c r="AM18" s="136"/>
      <c r="AN18" s="136"/>
      <c r="AP18" s="137"/>
      <c r="AQ18" s="137"/>
      <c r="AR18" s="137"/>
      <c r="AS18" s="137"/>
      <c r="AT18" s="137"/>
    </row>
    <row r="19" spans="1:46" s="135" customFormat="1" ht="15.75" customHeight="1" thickBot="1">
      <c r="A19" s="221"/>
      <c r="B19" s="241" t="str">
        <f>+'QTY '!F19</f>
        <v>BC 602W</v>
      </c>
      <c r="C19" s="200" t="str">
        <f>+'QTY '!E19</f>
        <v>BC111-2FE72-1 F 0201</v>
      </c>
      <c r="D19" s="190"/>
      <c r="E19" s="191"/>
      <c r="F19" s="191"/>
      <c r="G19" s="191"/>
      <c r="H19" s="191"/>
      <c r="I19" s="191"/>
      <c r="J19" s="192"/>
      <c r="K19" s="192">
        <f>VLOOKUP($C19,'QTY '!E19:G94,3,0)</f>
        <v>1.1176666666666666E-2</v>
      </c>
      <c r="L19" s="193">
        <f>$K19*'QTY '!I19</f>
        <v>0</v>
      </c>
      <c r="M19" s="194">
        <f>$K19*'QTY '!J19</f>
        <v>14.082599999999999</v>
      </c>
      <c r="N19" s="195">
        <f>$K19*'QTY '!K19</f>
        <v>14.082599999999999</v>
      </c>
      <c r="O19" s="196">
        <f>$K19*'QTY '!L19</f>
        <v>0</v>
      </c>
      <c r="P19" s="205">
        <f>$K19*'QTY '!M19</f>
        <v>18.106200000000001</v>
      </c>
      <c r="Q19" s="197">
        <f>$K19*'QTY '!N19</f>
        <v>18.106200000000001</v>
      </c>
      <c r="R19" s="198">
        <f>$K19*'QTY '!O19</f>
        <v>0</v>
      </c>
      <c r="S19" s="193">
        <f>$K19*'QTY '!P19</f>
        <v>17.435600000000001</v>
      </c>
      <c r="T19" s="195">
        <f>$K19*'QTY '!Q19</f>
        <v>17.435600000000001</v>
      </c>
      <c r="U19" s="199">
        <f>$K19*'QTY '!R19</f>
        <v>0</v>
      </c>
      <c r="V19" s="193">
        <f>$K19*'QTY '!S19</f>
        <v>14.7532</v>
      </c>
      <c r="W19" s="197">
        <f>$K19*'QTY '!T19</f>
        <v>14.7532</v>
      </c>
      <c r="X19" s="198">
        <f>$K19*'QTY '!U19</f>
        <v>0</v>
      </c>
      <c r="Y19" s="193">
        <f>$K19*'QTY '!V19</f>
        <v>16.0944</v>
      </c>
      <c r="Z19" s="193">
        <f>$K19*'QTY '!W19</f>
        <v>16.0944</v>
      </c>
      <c r="AA19" s="193">
        <f>$K19*'QTY '!X19</f>
        <v>0</v>
      </c>
      <c r="AB19" s="193">
        <f>$K19*'QTY '!Y19</f>
        <v>18.776799999999998</v>
      </c>
      <c r="AC19" s="193">
        <f>$K19*'QTY '!Z19</f>
        <v>18.776799999999998</v>
      </c>
      <c r="AD19" s="193">
        <f>$K19*'QTY '!AA19</f>
        <v>0</v>
      </c>
      <c r="AE19" s="193">
        <f>$K19*'QTY '!AB19</f>
        <v>18.776799999999998</v>
      </c>
      <c r="AF19" s="193">
        <f>$K19*'QTY '!AC19</f>
        <v>18.776799999999998</v>
      </c>
      <c r="AG19" s="193">
        <f t="shared" si="0"/>
        <v>0</v>
      </c>
      <c r="AH19" s="23"/>
      <c r="AJ19" s="136"/>
      <c r="AK19" s="136"/>
      <c r="AL19" s="136"/>
      <c r="AM19" s="136"/>
      <c r="AN19" s="136"/>
      <c r="AP19" s="137"/>
      <c r="AQ19" s="137"/>
      <c r="AR19" s="137"/>
      <c r="AS19" s="137"/>
      <c r="AT19" s="137"/>
    </row>
    <row r="20" spans="1:46" s="135" customFormat="1" ht="15.75" customHeight="1" thickBot="1">
      <c r="A20" s="221"/>
      <c r="B20" s="241" t="str">
        <f>+'QTY '!F20</f>
        <v>BC 602W</v>
      </c>
      <c r="C20" s="200" t="str">
        <f>+'QTY '!E20</f>
        <v>BC111-2FE72-2 F 0201</v>
      </c>
      <c r="D20" s="190"/>
      <c r="E20" s="191"/>
      <c r="F20" s="191"/>
      <c r="G20" s="191"/>
      <c r="H20" s="191"/>
      <c r="I20" s="191"/>
      <c r="J20" s="192"/>
      <c r="K20" s="192">
        <f>VLOOKUP($C20,'QTY '!E20:G95,3,0)</f>
        <v>1.1361666666666666E-2</v>
      </c>
      <c r="L20" s="193">
        <f>$K20*'QTY '!I20</f>
        <v>0</v>
      </c>
      <c r="M20" s="194">
        <f>$K20*'QTY '!J20</f>
        <v>17.7242</v>
      </c>
      <c r="N20" s="195">
        <f>$K20*'QTY '!K20</f>
        <v>17.7242</v>
      </c>
      <c r="O20" s="196">
        <f>$K20*'QTY '!L20</f>
        <v>0</v>
      </c>
      <c r="P20" s="205">
        <f>$K20*'QTY '!M20</f>
        <v>20.905466666666666</v>
      </c>
      <c r="Q20" s="197">
        <f>$K20*'QTY '!N20</f>
        <v>20.905466666666666</v>
      </c>
      <c r="R20" s="198">
        <f>$K20*'QTY '!O20</f>
        <v>0</v>
      </c>
      <c r="S20" s="193">
        <f>$K20*'QTY '!P20</f>
        <v>15.451866666666666</v>
      </c>
      <c r="T20" s="195">
        <f>$K20*'QTY '!Q20</f>
        <v>15.451866666666666</v>
      </c>
      <c r="U20" s="199">
        <f>$K20*'QTY '!R20</f>
        <v>0</v>
      </c>
      <c r="V20" s="193">
        <f>$K20*'QTY '!S20</f>
        <v>12.270599999999998</v>
      </c>
      <c r="W20" s="197">
        <f>$K20*'QTY '!T20</f>
        <v>12.270599999999998</v>
      </c>
      <c r="X20" s="198">
        <f>$K20*'QTY '!U20</f>
        <v>0</v>
      </c>
      <c r="Y20" s="193">
        <f>$K20*'QTY '!V20</f>
        <v>13.406766666666666</v>
      </c>
      <c r="Z20" s="193">
        <f>$K20*'QTY '!W20</f>
        <v>13.406766666666666</v>
      </c>
      <c r="AA20" s="193">
        <f>$K20*'QTY '!X20</f>
        <v>0</v>
      </c>
      <c r="AB20" s="193">
        <f>$K20*'QTY '!Y20</f>
        <v>15.224633333333331</v>
      </c>
      <c r="AC20" s="193">
        <f>$K20*'QTY '!Z20</f>
        <v>15.224633333333331</v>
      </c>
      <c r="AD20" s="193">
        <f>$K20*'QTY '!AA20</f>
        <v>0</v>
      </c>
      <c r="AE20" s="193">
        <f>$K20*'QTY '!AB20</f>
        <v>15.224633333333331</v>
      </c>
      <c r="AF20" s="193">
        <f>$K20*'QTY '!AC20</f>
        <v>15.224633333333331</v>
      </c>
      <c r="AG20" s="193">
        <f t="shared" si="0"/>
        <v>0</v>
      </c>
      <c r="AH20" s="23"/>
      <c r="AJ20" s="136"/>
      <c r="AK20" s="136"/>
      <c r="AL20" s="136"/>
      <c r="AM20" s="136"/>
      <c r="AN20" s="136"/>
      <c r="AP20" s="137"/>
      <c r="AQ20" s="137"/>
      <c r="AR20" s="137"/>
      <c r="AS20" s="137"/>
      <c r="AT20" s="137"/>
    </row>
    <row r="21" spans="1:46" s="135" customFormat="1" ht="15.75" customHeight="1" thickBot="1">
      <c r="A21" s="221"/>
      <c r="B21" s="241" t="str">
        <f>+'QTY '!F21</f>
        <v>BC 602W</v>
      </c>
      <c r="C21" s="200" t="str">
        <f>+'QTY '!E21</f>
        <v>BC111-V3881-1 B 0201</v>
      </c>
      <c r="D21" s="190"/>
      <c r="E21" s="191"/>
      <c r="F21" s="191"/>
      <c r="G21" s="191"/>
      <c r="H21" s="191"/>
      <c r="I21" s="191"/>
      <c r="J21" s="192"/>
      <c r="K21" s="192">
        <f>VLOOKUP($C21,'QTY '!E21:G96,3,0)</f>
        <v>8.1883333333333339E-3</v>
      </c>
      <c r="L21" s="193">
        <f>$K21*'QTY '!I21</f>
        <v>0</v>
      </c>
      <c r="M21" s="194">
        <f>$K21*'QTY '!J21</f>
        <v>55.680666666666667</v>
      </c>
      <c r="N21" s="195">
        <f>$K21*'QTY '!K21</f>
        <v>55.680666666666667</v>
      </c>
      <c r="O21" s="196">
        <f>$K21*'QTY '!L21</f>
        <v>0</v>
      </c>
      <c r="P21" s="205">
        <f>$K21*'QTY '!M21</f>
        <v>43.889466666666671</v>
      </c>
      <c r="Q21" s="197">
        <f>$K21*'QTY '!N21</f>
        <v>43.889466666666671</v>
      </c>
      <c r="R21" s="198">
        <f>$K21*'QTY '!O21</f>
        <v>0</v>
      </c>
      <c r="S21" s="193">
        <f>$K21*'QTY '!P21</f>
        <v>36.683733333333336</v>
      </c>
      <c r="T21" s="195">
        <f>$K21*'QTY '!Q21</f>
        <v>36.683733333333336</v>
      </c>
      <c r="U21" s="199">
        <f>$K21*'QTY '!R21</f>
        <v>0</v>
      </c>
      <c r="V21" s="193">
        <f>$K21*'QTY '!S21</f>
        <v>32.098266666666667</v>
      </c>
      <c r="W21" s="197">
        <f>$K21*'QTY '!T21</f>
        <v>32.098266666666667</v>
      </c>
      <c r="X21" s="198">
        <f>$K21*'QTY '!U21</f>
        <v>0</v>
      </c>
      <c r="Y21" s="193">
        <f>$K21*'QTY '!V21</f>
        <v>34.718533333333333</v>
      </c>
      <c r="Z21" s="193">
        <f>$K21*'QTY '!W21</f>
        <v>34.718533333333333</v>
      </c>
      <c r="AA21" s="193">
        <f>$K21*'QTY '!X21</f>
        <v>0</v>
      </c>
      <c r="AB21" s="193">
        <f>$K21*'QTY '!Y21</f>
        <v>40.614133333333335</v>
      </c>
      <c r="AC21" s="193">
        <f>$K21*'QTY '!Z21</f>
        <v>40.614133333333335</v>
      </c>
      <c r="AD21" s="193">
        <f>$K21*'QTY '!AA21</f>
        <v>0</v>
      </c>
      <c r="AE21" s="193">
        <f>$K21*'QTY '!AB21</f>
        <v>40.614133333333335</v>
      </c>
      <c r="AF21" s="193">
        <f>$K21*'QTY '!AC21</f>
        <v>40.614133333333335</v>
      </c>
      <c r="AG21" s="193">
        <f t="shared" si="0"/>
        <v>0</v>
      </c>
      <c r="AH21" s="23"/>
      <c r="AJ21" s="136"/>
      <c r="AK21" s="136"/>
      <c r="AL21" s="136"/>
      <c r="AM21" s="136"/>
      <c r="AN21" s="136"/>
      <c r="AP21" s="137"/>
      <c r="AQ21" s="137"/>
      <c r="AR21" s="137"/>
      <c r="AS21" s="137"/>
      <c r="AT21" s="137"/>
    </row>
    <row r="22" spans="1:46" s="135" customFormat="1" ht="15.75" customHeight="1" thickBot="1">
      <c r="A22" s="221"/>
      <c r="B22" s="241" t="str">
        <f>+'QTY '!F22</f>
        <v>BC 602W</v>
      </c>
      <c r="C22" s="200" t="str">
        <f>+'QTY '!E22</f>
        <v>BC111-V3650-2 C 0201</v>
      </c>
      <c r="D22" s="190"/>
      <c r="E22" s="191"/>
      <c r="F22" s="191"/>
      <c r="G22" s="191"/>
      <c r="H22" s="191"/>
      <c r="I22" s="191"/>
      <c r="J22" s="192"/>
      <c r="K22" s="192">
        <f>VLOOKUP($C22,'QTY '!E22:G97,3,0)</f>
        <v>1.1546666666666667E-2</v>
      </c>
      <c r="L22" s="193">
        <f>$K22*'QTY '!I22</f>
        <v>0</v>
      </c>
      <c r="M22" s="194">
        <f>$K22*'QTY '!J22</f>
        <v>6.2351999999999999</v>
      </c>
      <c r="N22" s="195">
        <f>$K22*'QTY '!K22</f>
        <v>6.2351999999999999</v>
      </c>
      <c r="O22" s="196">
        <f>$K22*'QTY '!L22</f>
        <v>0</v>
      </c>
      <c r="P22" s="205">
        <f>$K22*'QTY '!M22</f>
        <v>0</v>
      </c>
      <c r="Q22" s="197">
        <f>$K22*'QTY '!N22</f>
        <v>0</v>
      </c>
      <c r="R22" s="198">
        <f>$K22*'QTY '!O22</f>
        <v>0</v>
      </c>
      <c r="S22" s="193">
        <f>$K22*'QTY '!P22</f>
        <v>0</v>
      </c>
      <c r="T22" s="195">
        <f>$K22*'QTY '!Q22</f>
        <v>0</v>
      </c>
      <c r="U22" s="199">
        <f>$K22*'QTY '!R22</f>
        <v>0</v>
      </c>
      <c r="V22" s="193">
        <f>$K22*'QTY '!S22</f>
        <v>0</v>
      </c>
      <c r="W22" s="197">
        <f>$K22*'QTY '!T22</f>
        <v>0</v>
      </c>
      <c r="X22" s="198">
        <f>$K22*'QTY '!U22</f>
        <v>0</v>
      </c>
      <c r="Y22" s="193">
        <f>$K22*'QTY '!V22</f>
        <v>0</v>
      </c>
      <c r="Z22" s="193">
        <f>$K22*'QTY '!W22</f>
        <v>0</v>
      </c>
      <c r="AA22" s="193">
        <f>$K22*'QTY '!X22</f>
        <v>0</v>
      </c>
      <c r="AB22" s="193">
        <f>$K22*'QTY '!Y22</f>
        <v>1.3855999999999999</v>
      </c>
      <c r="AC22" s="193">
        <f>$K22*'QTY '!Z22</f>
        <v>1.3855999999999999</v>
      </c>
      <c r="AD22" s="193">
        <f>$K22*'QTY '!AA22</f>
        <v>0</v>
      </c>
      <c r="AE22" s="193">
        <f>$K22*'QTY '!AB22</f>
        <v>1.3855999999999999</v>
      </c>
      <c r="AF22" s="193">
        <f>$K22*'QTY '!AC22</f>
        <v>1.3855999999999999</v>
      </c>
      <c r="AG22" s="193">
        <f t="shared" si="0"/>
        <v>0</v>
      </c>
      <c r="AH22" s="23"/>
      <c r="AJ22" s="136"/>
      <c r="AK22" s="136"/>
      <c r="AL22" s="136"/>
      <c r="AM22" s="136"/>
      <c r="AN22" s="136"/>
      <c r="AP22" s="137"/>
      <c r="AQ22" s="137"/>
      <c r="AR22" s="137"/>
      <c r="AS22" s="137"/>
      <c r="AT22" s="137"/>
    </row>
    <row r="23" spans="1:46" s="135" customFormat="1" ht="15.75" customHeight="1" thickBot="1">
      <c r="A23" s="221"/>
      <c r="B23" s="241" t="str">
        <f>+'QTY '!F23</f>
        <v>BC 602W</v>
      </c>
      <c r="C23" s="200" t="str">
        <f>+'QTY '!E23</f>
        <v>BC111-V3891-6 B 0201</v>
      </c>
      <c r="D23" s="190"/>
      <c r="E23" s="191"/>
      <c r="F23" s="191"/>
      <c r="G23" s="191"/>
      <c r="H23" s="191"/>
      <c r="I23" s="191"/>
      <c r="J23" s="192"/>
      <c r="K23" s="192">
        <f>VLOOKUP($C23,'QTY '!E23:G98,3,0)</f>
        <v>1.4185E-2</v>
      </c>
      <c r="L23" s="193">
        <f>$K23*'QTY '!I23</f>
        <v>0</v>
      </c>
      <c r="M23" s="194">
        <f>$K23*'QTY '!J23</f>
        <v>0</v>
      </c>
      <c r="N23" s="195">
        <f>$K23*'QTY '!K23</f>
        <v>0</v>
      </c>
      <c r="O23" s="196">
        <f>$K23*'QTY '!L23</f>
        <v>0</v>
      </c>
      <c r="P23" s="205">
        <f>$K23*'QTY '!M23</f>
        <v>0</v>
      </c>
      <c r="Q23" s="197">
        <f>$K23*'QTY '!N23</f>
        <v>0</v>
      </c>
      <c r="R23" s="198">
        <f>$K23*'QTY '!O23</f>
        <v>0</v>
      </c>
      <c r="S23" s="193">
        <f>$K23*'QTY '!P23</f>
        <v>0.28370000000000001</v>
      </c>
      <c r="T23" s="195">
        <f>$K23*'QTY '!Q23</f>
        <v>0.28370000000000001</v>
      </c>
      <c r="U23" s="199">
        <f>$K23*'QTY '!R23</f>
        <v>0</v>
      </c>
      <c r="V23" s="193">
        <f>$K23*'QTY '!S23</f>
        <v>0</v>
      </c>
      <c r="W23" s="197">
        <f>$K23*'QTY '!T23</f>
        <v>0</v>
      </c>
      <c r="X23" s="198">
        <f>$K23*'QTY '!U23</f>
        <v>0</v>
      </c>
      <c r="Y23" s="193">
        <f>$K23*'QTY '!V23</f>
        <v>0</v>
      </c>
      <c r="Z23" s="193">
        <f>$K23*'QTY '!W23</f>
        <v>0</v>
      </c>
      <c r="AA23" s="193">
        <f>$K23*'QTY '!X23</f>
        <v>0</v>
      </c>
      <c r="AB23" s="193">
        <f>$K23*'QTY '!Y23</f>
        <v>0</v>
      </c>
      <c r="AC23" s="193">
        <f>$K23*'QTY '!Z23</f>
        <v>0</v>
      </c>
      <c r="AD23" s="193">
        <f>$K23*'QTY '!AA23</f>
        <v>0</v>
      </c>
      <c r="AE23" s="193">
        <f>$K23*'QTY '!AB23</f>
        <v>0</v>
      </c>
      <c r="AF23" s="193">
        <f>$K23*'QTY '!AC23</f>
        <v>0</v>
      </c>
      <c r="AG23" s="193">
        <f t="shared" si="0"/>
        <v>0</v>
      </c>
      <c r="AH23" s="23"/>
      <c r="AJ23" s="136"/>
      <c r="AK23" s="136"/>
      <c r="AL23" s="136"/>
      <c r="AM23" s="136"/>
      <c r="AN23" s="136"/>
      <c r="AP23" s="137"/>
      <c r="AQ23" s="137"/>
      <c r="AR23" s="137"/>
      <c r="AS23" s="137"/>
      <c r="AT23" s="137"/>
    </row>
    <row r="24" spans="1:46" s="135" customFormat="1" ht="15.75" customHeight="1" thickBot="1">
      <c r="A24" s="221"/>
      <c r="B24" s="241" t="str">
        <f>+'QTY '!F24</f>
        <v>BC 602W</v>
      </c>
      <c r="C24" s="200" t="str">
        <f>+'QTY '!E24</f>
        <v>BC111-V3891-1 F 0001</v>
      </c>
      <c r="D24" s="190"/>
      <c r="E24" s="191"/>
      <c r="F24" s="191"/>
      <c r="G24" s="191"/>
      <c r="H24" s="191"/>
      <c r="I24" s="191"/>
      <c r="J24" s="192"/>
      <c r="K24" s="192">
        <f>VLOOKUP($C24,'QTY '!E24:G99,3,0)</f>
        <v>1.3916666666666666E-2</v>
      </c>
      <c r="L24" s="193">
        <f>$K24*'QTY '!I24</f>
        <v>0</v>
      </c>
      <c r="M24" s="194">
        <f>$K24*'QTY '!J24</f>
        <v>0</v>
      </c>
      <c r="N24" s="195">
        <f>$K24*'QTY '!K24</f>
        <v>0</v>
      </c>
      <c r="O24" s="196">
        <f>$K24*'QTY '!L24</f>
        <v>0</v>
      </c>
      <c r="P24" s="205">
        <f>$K24*'QTY '!M24</f>
        <v>0</v>
      </c>
      <c r="Q24" s="197">
        <f>$K24*'QTY '!N24</f>
        <v>0</v>
      </c>
      <c r="R24" s="198">
        <f>$K24*'QTY '!O24</f>
        <v>0</v>
      </c>
      <c r="S24" s="193">
        <f>$K24*'QTY '!P24</f>
        <v>0</v>
      </c>
      <c r="T24" s="195">
        <f>$K24*'QTY '!Q24</f>
        <v>0</v>
      </c>
      <c r="U24" s="199">
        <f>$K24*'QTY '!R24</f>
        <v>0</v>
      </c>
      <c r="V24" s="193">
        <f>$K24*'QTY '!S24</f>
        <v>0</v>
      </c>
      <c r="W24" s="197">
        <f>$K24*'QTY '!T24</f>
        <v>0</v>
      </c>
      <c r="X24" s="198">
        <f>$K24*'QTY '!U24</f>
        <v>0</v>
      </c>
      <c r="Y24" s="193">
        <f>$K24*'QTY '!V24</f>
        <v>0</v>
      </c>
      <c r="Z24" s="193">
        <f>$K24*'QTY '!W24</f>
        <v>0</v>
      </c>
      <c r="AA24" s="193">
        <f>$K24*'QTY '!X24</f>
        <v>0</v>
      </c>
      <c r="AB24" s="193">
        <f>$K24*'QTY '!Y24</f>
        <v>0</v>
      </c>
      <c r="AC24" s="193">
        <f>$K24*'QTY '!Z24</f>
        <v>0</v>
      </c>
      <c r="AD24" s="193">
        <f>$K24*'QTY '!AA24</f>
        <v>0</v>
      </c>
      <c r="AE24" s="193">
        <f>$K24*'QTY '!AB24</f>
        <v>0</v>
      </c>
      <c r="AF24" s="193">
        <f>$K24*'QTY '!AC24</f>
        <v>0</v>
      </c>
      <c r="AG24" s="193">
        <f t="shared" si="0"/>
        <v>0</v>
      </c>
      <c r="AH24" s="23"/>
      <c r="AJ24" s="136"/>
      <c r="AK24" s="136"/>
      <c r="AL24" s="136"/>
      <c r="AM24" s="136"/>
      <c r="AN24" s="136"/>
      <c r="AP24" s="137"/>
      <c r="AQ24" s="137"/>
      <c r="AR24" s="137"/>
      <c r="AS24" s="137"/>
      <c r="AT24" s="137"/>
    </row>
    <row r="25" spans="1:46" s="135" customFormat="1" ht="15.75" customHeight="1" thickBot="1">
      <c r="A25" s="221"/>
      <c r="B25" s="241" t="str">
        <f>+'QTY '!F25</f>
        <v>BC 602W</v>
      </c>
      <c r="C25" s="200" t="str">
        <f>+'QTY '!E25</f>
        <v>BC111-V3891-2 F 0001</v>
      </c>
      <c r="D25" s="190"/>
      <c r="E25" s="191"/>
      <c r="F25" s="191"/>
      <c r="G25" s="191"/>
      <c r="H25" s="191"/>
      <c r="I25" s="191"/>
      <c r="J25" s="192"/>
      <c r="K25" s="192">
        <f>VLOOKUP($C25,'QTY '!E25:G100,3,0)</f>
        <v>1.1736666666666666E-2</v>
      </c>
      <c r="L25" s="193">
        <f>$K25*'QTY '!I25</f>
        <v>0</v>
      </c>
      <c r="M25" s="194">
        <f>$K25*'QTY '!J25</f>
        <v>0</v>
      </c>
      <c r="N25" s="195">
        <f>$K25*'QTY '!K25</f>
        <v>0</v>
      </c>
      <c r="O25" s="196">
        <f>$K25*'QTY '!L25</f>
        <v>0</v>
      </c>
      <c r="P25" s="205">
        <f>$K25*'QTY '!M25</f>
        <v>0</v>
      </c>
      <c r="Q25" s="197">
        <f>$K25*'QTY '!N25</f>
        <v>0</v>
      </c>
      <c r="R25" s="198">
        <f>$K25*'QTY '!O25</f>
        <v>0</v>
      </c>
      <c r="S25" s="193">
        <f>$K25*'QTY '!P25</f>
        <v>0</v>
      </c>
      <c r="T25" s="195">
        <f>$K25*'QTY '!Q25</f>
        <v>0</v>
      </c>
      <c r="U25" s="199">
        <f>$K25*'QTY '!R25</f>
        <v>0</v>
      </c>
      <c r="V25" s="193">
        <f>$K25*'QTY '!S25</f>
        <v>0</v>
      </c>
      <c r="W25" s="197">
        <f>$K25*'QTY '!T25</f>
        <v>0</v>
      </c>
      <c r="X25" s="198">
        <f>$K25*'QTY '!U25</f>
        <v>0</v>
      </c>
      <c r="Y25" s="193">
        <f>$K25*'QTY '!V25</f>
        <v>0</v>
      </c>
      <c r="Z25" s="193">
        <f>$K25*'QTY '!W25</f>
        <v>0</v>
      </c>
      <c r="AA25" s="193">
        <f>$K25*'QTY '!X25</f>
        <v>0</v>
      </c>
      <c r="AB25" s="193">
        <f>$K25*'QTY '!Y25</f>
        <v>0</v>
      </c>
      <c r="AC25" s="193">
        <f>$K25*'QTY '!Z25</f>
        <v>0</v>
      </c>
      <c r="AD25" s="193">
        <f>$K25*'QTY '!AA25</f>
        <v>0</v>
      </c>
      <c r="AE25" s="193">
        <f>$K25*'QTY '!AB25</f>
        <v>0</v>
      </c>
      <c r="AF25" s="193">
        <f>$K25*'QTY '!AC25</f>
        <v>0</v>
      </c>
      <c r="AG25" s="193">
        <f t="shared" si="0"/>
        <v>0</v>
      </c>
      <c r="AH25" s="23"/>
      <c r="AJ25" s="136"/>
      <c r="AK25" s="136"/>
      <c r="AL25" s="136"/>
      <c r="AM25" s="136"/>
      <c r="AN25" s="136"/>
      <c r="AP25" s="137"/>
      <c r="AQ25" s="137"/>
      <c r="AR25" s="137"/>
      <c r="AS25" s="137"/>
      <c r="AT25" s="137"/>
    </row>
    <row r="26" spans="1:46" s="135" customFormat="1" ht="15.75" customHeight="1" thickBot="1">
      <c r="A26" s="221"/>
      <c r="B26" s="241" t="str">
        <f>+'QTY '!F26</f>
        <v>BC 602W</v>
      </c>
      <c r="C26" s="200" t="str">
        <f>+'QTY '!E26</f>
        <v>DC111-2FE72 F 0201</v>
      </c>
      <c r="D26" s="190"/>
      <c r="E26" s="191"/>
      <c r="F26" s="191"/>
      <c r="G26" s="191"/>
      <c r="H26" s="191"/>
      <c r="I26" s="191"/>
      <c r="J26" s="192"/>
      <c r="K26" s="192">
        <f>VLOOKUP($C26,'QTY '!E26:G101,3,0)</f>
        <v>1.5235E-2</v>
      </c>
      <c r="L26" s="193">
        <f>$K26*'QTY '!I26</f>
        <v>0</v>
      </c>
      <c r="M26" s="194">
        <f>$K26*'QTY '!J26</f>
        <v>2.4376000000000002</v>
      </c>
      <c r="N26" s="195">
        <f>$K26*'QTY '!K26</f>
        <v>2.4376000000000002</v>
      </c>
      <c r="O26" s="196">
        <f>$K26*'QTY '!L26</f>
        <v>0</v>
      </c>
      <c r="P26" s="205">
        <f>$K26*'QTY '!M26</f>
        <v>2.4376000000000002</v>
      </c>
      <c r="Q26" s="197">
        <f>$K26*'QTY '!N26</f>
        <v>2.4376000000000002</v>
      </c>
      <c r="R26" s="198">
        <f>$K26*'QTY '!O26</f>
        <v>0</v>
      </c>
      <c r="S26" s="193">
        <f>$K26*'QTY '!P26</f>
        <v>1.2188000000000001</v>
      </c>
      <c r="T26" s="195">
        <f>$K26*'QTY '!Q26</f>
        <v>1.2188000000000001</v>
      </c>
      <c r="U26" s="199">
        <f>$K26*'QTY '!R26</f>
        <v>0</v>
      </c>
      <c r="V26" s="193">
        <f>$K26*'QTY '!S26</f>
        <v>1.2188000000000001</v>
      </c>
      <c r="W26" s="197">
        <f>$K26*'QTY '!T26</f>
        <v>1.2188000000000001</v>
      </c>
      <c r="X26" s="198">
        <f>$K26*'QTY '!U26</f>
        <v>0</v>
      </c>
      <c r="Y26" s="193">
        <f>$K26*'QTY '!V26</f>
        <v>1.2188000000000001</v>
      </c>
      <c r="Z26" s="193">
        <f>$K26*'QTY '!W26</f>
        <v>1.2188000000000001</v>
      </c>
      <c r="AA26" s="193">
        <f>$K26*'QTY '!X26</f>
        <v>0</v>
      </c>
      <c r="AB26" s="193">
        <f>$K26*'QTY '!Y26</f>
        <v>1.8282</v>
      </c>
      <c r="AC26" s="193">
        <f>$K26*'QTY '!Z26</f>
        <v>1.8282</v>
      </c>
      <c r="AD26" s="193">
        <f>$K26*'QTY '!AA26</f>
        <v>0</v>
      </c>
      <c r="AE26" s="193">
        <f>$K26*'QTY '!AB26</f>
        <v>1.8282</v>
      </c>
      <c r="AF26" s="193">
        <f>$K26*'QTY '!AC26</f>
        <v>1.8282</v>
      </c>
      <c r="AG26" s="193">
        <f t="shared" si="0"/>
        <v>0</v>
      </c>
      <c r="AH26" s="23"/>
      <c r="AJ26" s="136"/>
      <c r="AK26" s="136"/>
      <c r="AL26" s="136"/>
      <c r="AM26" s="136"/>
      <c r="AN26" s="136"/>
      <c r="AP26" s="137"/>
      <c r="AQ26" s="137"/>
      <c r="AR26" s="137"/>
      <c r="AS26" s="137"/>
      <c r="AT26" s="137"/>
    </row>
    <row r="27" spans="1:46" s="135" customFormat="1" ht="15.75" customHeight="1" thickBot="1">
      <c r="A27" s="221"/>
      <c r="B27" s="241" t="str">
        <f>+'QTY '!F27</f>
        <v>BC 602W</v>
      </c>
      <c r="C27" s="200" t="str">
        <f>+'QTY '!E27</f>
        <v>DC111-2FK53 F 0201</v>
      </c>
      <c r="D27" s="190"/>
      <c r="E27" s="191"/>
      <c r="F27" s="191"/>
      <c r="G27" s="191"/>
      <c r="H27" s="191"/>
      <c r="I27" s="191"/>
      <c r="J27" s="192"/>
      <c r="K27" s="192">
        <f>VLOOKUP($C27,'QTY '!E27:G102,3,0)</f>
        <v>1.5235E-2</v>
      </c>
      <c r="L27" s="193">
        <f>$K27*'QTY '!I27</f>
        <v>0</v>
      </c>
      <c r="M27" s="194">
        <f>$K27*'QTY '!J27</f>
        <v>21.938400000000001</v>
      </c>
      <c r="N27" s="195">
        <f>$K27*'QTY '!K27</f>
        <v>21.938400000000001</v>
      </c>
      <c r="O27" s="196">
        <f>$K27*'QTY '!L27</f>
        <v>0</v>
      </c>
      <c r="P27" s="205">
        <f>$K27*'QTY '!M27</f>
        <v>25.594799999999999</v>
      </c>
      <c r="Q27" s="197">
        <f>$K27*'QTY '!N27</f>
        <v>25.594799999999999</v>
      </c>
      <c r="R27" s="198">
        <f>$K27*'QTY '!O27</f>
        <v>0</v>
      </c>
      <c r="S27" s="193">
        <f>$K27*'QTY '!P27</f>
        <v>18.891400000000001</v>
      </c>
      <c r="T27" s="195">
        <f>$K27*'QTY '!Q27</f>
        <v>18.891400000000001</v>
      </c>
      <c r="U27" s="199">
        <f>$K27*'QTY '!R27</f>
        <v>0</v>
      </c>
      <c r="V27" s="193">
        <f>$K27*'QTY '!S27</f>
        <v>15.8444</v>
      </c>
      <c r="W27" s="197">
        <f>$K27*'QTY '!T27</f>
        <v>15.8444</v>
      </c>
      <c r="X27" s="198">
        <f>$K27*'QTY '!U27</f>
        <v>0</v>
      </c>
      <c r="Y27" s="193">
        <f>$K27*'QTY '!V27</f>
        <v>16.453800000000001</v>
      </c>
      <c r="Z27" s="193">
        <f>$K27*'QTY '!W27</f>
        <v>16.453800000000001</v>
      </c>
      <c r="AA27" s="193">
        <f>$K27*'QTY '!X27</f>
        <v>0</v>
      </c>
      <c r="AB27" s="193">
        <f>$K27*'QTY '!Y27</f>
        <v>18.891400000000001</v>
      </c>
      <c r="AC27" s="193">
        <f>$K27*'QTY '!Z27</f>
        <v>18.891400000000001</v>
      </c>
      <c r="AD27" s="193">
        <f>$K27*'QTY '!AA27</f>
        <v>0</v>
      </c>
      <c r="AE27" s="193">
        <f>$K27*'QTY '!AB27</f>
        <v>18.891400000000001</v>
      </c>
      <c r="AF27" s="193">
        <f>$K27*'QTY '!AC27</f>
        <v>18.891400000000001</v>
      </c>
      <c r="AG27" s="193">
        <f t="shared" si="0"/>
        <v>0</v>
      </c>
      <c r="AH27" s="23"/>
      <c r="AJ27" s="136"/>
      <c r="AK27" s="136"/>
      <c r="AL27" s="136"/>
      <c r="AM27" s="136"/>
      <c r="AN27" s="136"/>
      <c r="AP27" s="137"/>
      <c r="AQ27" s="137"/>
      <c r="AR27" s="137"/>
      <c r="AS27" s="137"/>
      <c r="AT27" s="137"/>
    </row>
    <row r="28" spans="1:46" s="135" customFormat="1" ht="15.75" customHeight="1" thickBot="1">
      <c r="A28" s="221"/>
      <c r="B28" s="241" t="str">
        <f>+'QTY '!F28</f>
        <v>BC 602W</v>
      </c>
      <c r="C28" s="200" t="str">
        <f>+'QTY '!E28</f>
        <v>DC111-V3A41 B 0201</v>
      </c>
      <c r="D28" s="190"/>
      <c r="E28" s="191"/>
      <c r="F28" s="191"/>
      <c r="G28" s="191"/>
      <c r="H28" s="191"/>
      <c r="I28" s="191"/>
      <c r="J28" s="192"/>
      <c r="K28" s="192">
        <f>VLOOKUP($C28,'QTY '!E28:G103,3,0)</f>
        <v>1.5096666666666668E-2</v>
      </c>
      <c r="L28" s="193">
        <f>$K28*'QTY '!I28</f>
        <v>0</v>
      </c>
      <c r="M28" s="194">
        <f>$K28*'QTY '!J28</f>
        <v>0</v>
      </c>
      <c r="N28" s="195">
        <f>$K28*'QTY '!K28</f>
        <v>0</v>
      </c>
      <c r="O28" s="196">
        <f>$K28*'QTY '!L28</f>
        <v>0</v>
      </c>
      <c r="P28" s="205">
        <f>$K28*'QTY '!M28</f>
        <v>0</v>
      </c>
      <c r="Q28" s="197">
        <f>$K28*'QTY '!N28</f>
        <v>0</v>
      </c>
      <c r="R28" s="198">
        <f>$K28*'QTY '!O28</f>
        <v>0</v>
      </c>
      <c r="S28" s="193">
        <f>$K28*'QTY '!P28</f>
        <v>0</v>
      </c>
      <c r="T28" s="195">
        <f>$K28*'QTY '!Q28</f>
        <v>0</v>
      </c>
      <c r="U28" s="199">
        <f>$K28*'QTY '!R28</f>
        <v>0</v>
      </c>
      <c r="V28" s="193">
        <f>$K28*'QTY '!S28</f>
        <v>0</v>
      </c>
      <c r="W28" s="197">
        <f>$K28*'QTY '!T28</f>
        <v>0</v>
      </c>
      <c r="X28" s="198">
        <f>$K28*'QTY '!U28</f>
        <v>0</v>
      </c>
      <c r="Y28" s="193">
        <f>$K28*'QTY '!V28</f>
        <v>0</v>
      </c>
      <c r="Z28" s="193">
        <f>$K28*'QTY '!W28</f>
        <v>0</v>
      </c>
      <c r="AA28" s="193">
        <f>$K28*'QTY '!X28</f>
        <v>0</v>
      </c>
      <c r="AB28" s="193">
        <f>$K28*'QTY '!Y28</f>
        <v>0</v>
      </c>
      <c r="AC28" s="193">
        <f>$K28*'QTY '!Z28</f>
        <v>0</v>
      </c>
      <c r="AD28" s="193">
        <f>$K28*'QTY '!AA28</f>
        <v>0</v>
      </c>
      <c r="AE28" s="193">
        <f>$K28*'QTY '!AB28</f>
        <v>0</v>
      </c>
      <c r="AF28" s="193">
        <f>$K28*'QTY '!AC28</f>
        <v>0</v>
      </c>
      <c r="AG28" s="193">
        <f t="shared" si="0"/>
        <v>0</v>
      </c>
      <c r="AH28" s="23"/>
      <c r="AJ28" s="136"/>
      <c r="AK28" s="136"/>
      <c r="AL28" s="136"/>
      <c r="AM28" s="136"/>
      <c r="AN28" s="136"/>
      <c r="AP28" s="137"/>
      <c r="AQ28" s="137"/>
      <c r="AR28" s="137"/>
      <c r="AS28" s="137"/>
      <c r="AT28" s="137"/>
    </row>
    <row r="29" spans="1:46" s="135" customFormat="1" ht="15.75" customHeight="1" thickBot="1">
      <c r="A29" s="221"/>
      <c r="B29" s="241" t="str">
        <f>+'QTY '!F29</f>
        <v>BC 602W</v>
      </c>
      <c r="C29" s="200" t="str">
        <f>+'QTY '!E29</f>
        <v>DC111-V3881 B 0201</v>
      </c>
      <c r="D29" s="190"/>
      <c r="E29" s="191"/>
      <c r="F29" s="191"/>
      <c r="G29" s="191"/>
      <c r="H29" s="191"/>
      <c r="I29" s="191"/>
      <c r="J29" s="192"/>
      <c r="K29" s="192">
        <f>VLOOKUP($C29,'QTY '!E29:G104,3,0)</f>
        <v>1.4811666666666667E-2</v>
      </c>
      <c r="L29" s="193">
        <f>$K29*'QTY '!I29</f>
        <v>0</v>
      </c>
      <c r="M29" s="194">
        <f>$K29*'QTY '!J29</f>
        <v>0</v>
      </c>
      <c r="N29" s="195">
        <f>$K29*'QTY '!K29</f>
        <v>0</v>
      </c>
      <c r="O29" s="196">
        <f>$K29*'QTY '!L29</f>
        <v>0</v>
      </c>
      <c r="P29" s="205">
        <f>$K29*'QTY '!M29</f>
        <v>0</v>
      </c>
      <c r="Q29" s="197">
        <f>$K29*'QTY '!N29</f>
        <v>0</v>
      </c>
      <c r="R29" s="198">
        <f>$K29*'QTY '!O29</f>
        <v>0</v>
      </c>
      <c r="S29" s="193">
        <f>$K29*'QTY '!P29</f>
        <v>0</v>
      </c>
      <c r="T29" s="195">
        <f>$K29*'QTY '!Q29</f>
        <v>0</v>
      </c>
      <c r="U29" s="199">
        <f>$K29*'QTY '!R29</f>
        <v>0</v>
      </c>
      <c r="V29" s="193">
        <f>$K29*'QTY '!S29</f>
        <v>0</v>
      </c>
      <c r="W29" s="197">
        <f>$K29*'QTY '!T29</f>
        <v>0</v>
      </c>
      <c r="X29" s="198">
        <f>$K29*'QTY '!U29</f>
        <v>0</v>
      </c>
      <c r="Y29" s="193">
        <f>$K29*'QTY '!V29</f>
        <v>0</v>
      </c>
      <c r="Z29" s="193">
        <f>$K29*'QTY '!W29</f>
        <v>0</v>
      </c>
      <c r="AA29" s="193">
        <f>$K29*'QTY '!X29</f>
        <v>0</v>
      </c>
      <c r="AB29" s="193">
        <f>$K29*'QTY '!Y29</f>
        <v>0</v>
      </c>
      <c r="AC29" s="193">
        <f>$K29*'QTY '!Z29</f>
        <v>0</v>
      </c>
      <c r="AD29" s="193">
        <f>$K29*'QTY '!AA29</f>
        <v>0</v>
      </c>
      <c r="AE29" s="193">
        <f>$K29*'QTY '!AB29</f>
        <v>0</v>
      </c>
      <c r="AF29" s="193">
        <f>$K29*'QTY '!AC29</f>
        <v>0</v>
      </c>
      <c r="AG29" s="193">
        <f t="shared" si="0"/>
        <v>0</v>
      </c>
      <c r="AH29" s="23"/>
      <c r="AJ29" s="136"/>
      <c r="AK29" s="136"/>
      <c r="AL29" s="136"/>
      <c r="AM29" s="136"/>
      <c r="AN29" s="136"/>
      <c r="AP29" s="137"/>
      <c r="AQ29" s="137"/>
      <c r="AR29" s="137"/>
      <c r="AS29" s="137"/>
      <c r="AT29" s="137"/>
    </row>
    <row r="30" spans="1:46" s="135" customFormat="1" ht="15.75" customHeight="1" thickBot="1">
      <c r="A30" s="221"/>
      <c r="B30" s="241" t="str">
        <f>+'QTY '!F30</f>
        <v>BC 602W</v>
      </c>
      <c r="C30" s="200" t="str">
        <f>+'QTY '!E30</f>
        <v>DC111-V3650 C 0201</v>
      </c>
      <c r="D30" s="190"/>
      <c r="E30" s="191"/>
      <c r="F30" s="191"/>
      <c r="G30" s="191"/>
      <c r="H30" s="191"/>
      <c r="I30" s="191"/>
      <c r="J30" s="192"/>
      <c r="K30" s="192">
        <f>VLOOKUP($C30,'QTY '!E30:G105,3,0)</f>
        <v>1.2021666666666667E-2</v>
      </c>
      <c r="L30" s="193">
        <f>$K30*'QTY '!I30</f>
        <v>0</v>
      </c>
      <c r="M30" s="194">
        <f>$K30*'QTY '!J30</f>
        <v>6.7321333333333335</v>
      </c>
      <c r="N30" s="195">
        <f>$K30*'QTY '!K30</f>
        <v>6.7321333333333335</v>
      </c>
      <c r="O30" s="196">
        <f>$K30*'QTY '!L30</f>
        <v>0</v>
      </c>
      <c r="P30" s="205">
        <f>$K30*'QTY '!M30</f>
        <v>0</v>
      </c>
      <c r="Q30" s="197">
        <f>$K30*'QTY '!N30</f>
        <v>0</v>
      </c>
      <c r="R30" s="198">
        <f>$K30*'QTY '!O30</f>
        <v>0</v>
      </c>
      <c r="S30" s="193">
        <f>$K30*'QTY '!P30</f>
        <v>0</v>
      </c>
      <c r="T30" s="195">
        <f>$K30*'QTY '!Q30</f>
        <v>0</v>
      </c>
      <c r="U30" s="199">
        <f>$K30*'QTY '!R30</f>
        <v>0</v>
      </c>
      <c r="V30" s="193">
        <f>$K30*'QTY '!S30</f>
        <v>0</v>
      </c>
      <c r="W30" s="197">
        <f>$K30*'QTY '!T30</f>
        <v>0</v>
      </c>
      <c r="X30" s="198">
        <f>$K30*'QTY '!U30</f>
        <v>0</v>
      </c>
      <c r="Y30" s="193">
        <f>$K30*'QTY '!V30</f>
        <v>0</v>
      </c>
      <c r="Z30" s="193">
        <f>$K30*'QTY '!W30</f>
        <v>0</v>
      </c>
      <c r="AA30" s="193">
        <f>$K30*'QTY '!X30</f>
        <v>0</v>
      </c>
      <c r="AB30" s="193">
        <f>$K30*'QTY '!Y30</f>
        <v>0.48086666666666666</v>
      </c>
      <c r="AC30" s="193">
        <f>$K30*'QTY '!Z30</f>
        <v>0.48086666666666666</v>
      </c>
      <c r="AD30" s="193">
        <f>$K30*'QTY '!AA30</f>
        <v>0</v>
      </c>
      <c r="AE30" s="193">
        <f>$K30*'QTY '!AB30</f>
        <v>0.48086666666666666</v>
      </c>
      <c r="AF30" s="193">
        <f>$K30*'QTY '!AC30</f>
        <v>0.48086666666666666</v>
      </c>
      <c r="AG30" s="193">
        <f t="shared" si="0"/>
        <v>0</v>
      </c>
      <c r="AH30" s="23"/>
      <c r="AJ30" s="136"/>
      <c r="AK30" s="136"/>
      <c r="AL30" s="136"/>
      <c r="AM30" s="136"/>
      <c r="AN30" s="136"/>
      <c r="AP30" s="137"/>
      <c r="AQ30" s="137"/>
      <c r="AR30" s="137"/>
      <c r="AS30" s="137"/>
      <c r="AT30" s="137"/>
    </row>
    <row r="31" spans="1:46" s="135" customFormat="1" ht="15.75" customHeight="1" thickBot="1">
      <c r="A31" s="221"/>
      <c r="B31" s="241" t="str">
        <f>+'QTY '!F31</f>
        <v>BC 602W</v>
      </c>
      <c r="C31" s="200" t="str">
        <f>+'QTY '!E31</f>
        <v>DC111-V3891 B 0201</v>
      </c>
      <c r="D31" s="190"/>
      <c r="E31" s="191"/>
      <c r="F31" s="191"/>
      <c r="G31" s="191"/>
      <c r="H31" s="191"/>
      <c r="I31" s="191"/>
      <c r="J31" s="192"/>
      <c r="K31" s="192">
        <f>VLOOKUP($C31,'QTY '!E31:G106,3,0)</f>
        <v>1.5805E-2</v>
      </c>
      <c r="L31" s="193">
        <f>$K31*'QTY '!I31</f>
        <v>0</v>
      </c>
      <c r="M31" s="194">
        <f>$K31*'QTY '!J31</f>
        <v>0</v>
      </c>
      <c r="N31" s="195">
        <f>$K31*'QTY '!K31</f>
        <v>0</v>
      </c>
      <c r="O31" s="196">
        <f>$K31*'QTY '!L31</f>
        <v>0</v>
      </c>
      <c r="P31" s="205">
        <f>$K31*'QTY '!M31</f>
        <v>0</v>
      </c>
      <c r="Q31" s="197">
        <f>$K31*'QTY '!N31</f>
        <v>0</v>
      </c>
      <c r="R31" s="198">
        <f>$K31*'QTY '!O31</f>
        <v>0</v>
      </c>
      <c r="S31" s="193">
        <f>$K31*'QTY '!P31</f>
        <v>0</v>
      </c>
      <c r="T31" s="195">
        <f>$K31*'QTY '!Q31</f>
        <v>0</v>
      </c>
      <c r="U31" s="199">
        <f>$K31*'QTY '!R31</f>
        <v>0</v>
      </c>
      <c r="V31" s="193">
        <f>$K31*'QTY '!S31</f>
        <v>0</v>
      </c>
      <c r="W31" s="197">
        <f>$K31*'QTY '!T31</f>
        <v>0</v>
      </c>
      <c r="X31" s="198">
        <f>$K31*'QTY '!U31</f>
        <v>0</v>
      </c>
      <c r="Y31" s="193">
        <f>$K31*'QTY '!V31</f>
        <v>0</v>
      </c>
      <c r="Z31" s="193">
        <f>$K31*'QTY '!W31</f>
        <v>0</v>
      </c>
      <c r="AA31" s="193">
        <f>$K31*'QTY '!X31</f>
        <v>0</v>
      </c>
      <c r="AB31" s="193">
        <f>$K31*'QTY '!Y31</f>
        <v>0</v>
      </c>
      <c r="AC31" s="193">
        <f>$K31*'QTY '!Z31</f>
        <v>0</v>
      </c>
      <c r="AD31" s="193">
        <f>$K31*'QTY '!AA31</f>
        <v>0</v>
      </c>
      <c r="AE31" s="193">
        <f>$K31*'QTY '!AB31</f>
        <v>0</v>
      </c>
      <c r="AF31" s="193">
        <f>$K31*'QTY '!AC31</f>
        <v>0</v>
      </c>
      <c r="AG31" s="193">
        <f t="shared" si="0"/>
        <v>0</v>
      </c>
      <c r="AH31" s="23"/>
      <c r="AJ31" s="136"/>
      <c r="AK31" s="136"/>
      <c r="AL31" s="136"/>
      <c r="AM31" s="136"/>
      <c r="AN31" s="136"/>
      <c r="AP31" s="137"/>
      <c r="AQ31" s="137"/>
      <c r="AR31" s="137"/>
      <c r="AS31" s="137"/>
      <c r="AT31" s="137"/>
    </row>
    <row r="32" spans="1:46" s="135" customFormat="1" ht="15.75" customHeight="1" thickBot="1">
      <c r="A32" s="221"/>
      <c r="B32" s="241" t="str">
        <f>+'QTY '!F32</f>
        <v>BC 819W</v>
      </c>
      <c r="C32" s="200" t="str">
        <f>+'QTY '!E32</f>
        <v>BC111-11730-3 B 0001</v>
      </c>
      <c r="D32" s="190"/>
      <c r="E32" s="191"/>
      <c r="F32" s="191"/>
      <c r="G32" s="191"/>
      <c r="H32" s="191"/>
      <c r="I32" s="191"/>
      <c r="J32" s="192"/>
      <c r="K32" s="192">
        <f>VLOOKUP($C32,'QTY '!E32:G107,3,0)</f>
        <v>1.4606666666666665E-2</v>
      </c>
      <c r="L32" s="193">
        <f>$K32*'QTY '!I32</f>
        <v>0</v>
      </c>
      <c r="M32" s="194">
        <f>$K32*'QTY '!J32</f>
        <v>0</v>
      </c>
      <c r="N32" s="195">
        <f>$K32*'QTY '!K32</f>
        <v>0</v>
      </c>
      <c r="O32" s="196">
        <f>$K32*'QTY '!L32</f>
        <v>0</v>
      </c>
      <c r="P32" s="205">
        <f>$K32*'QTY '!M32</f>
        <v>0</v>
      </c>
      <c r="Q32" s="197">
        <f>$K32*'QTY '!N32</f>
        <v>0</v>
      </c>
      <c r="R32" s="198">
        <f>$K32*'QTY '!O32</f>
        <v>0</v>
      </c>
      <c r="S32" s="193">
        <f>$K32*'QTY '!P32</f>
        <v>0</v>
      </c>
      <c r="T32" s="195">
        <f>$K32*'QTY '!Q32</f>
        <v>0</v>
      </c>
      <c r="U32" s="199">
        <f>$K32*'QTY '!R32</f>
        <v>0</v>
      </c>
      <c r="V32" s="193">
        <f>$K32*'QTY '!S32</f>
        <v>0</v>
      </c>
      <c r="W32" s="197">
        <f>$K32*'QTY '!T32</f>
        <v>0</v>
      </c>
      <c r="X32" s="198">
        <f>$K32*'QTY '!U32</f>
        <v>0</v>
      </c>
      <c r="Y32" s="193">
        <f>$K32*'QTY '!V32</f>
        <v>0</v>
      </c>
      <c r="Z32" s="193">
        <f>$K32*'QTY '!W32</f>
        <v>0</v>
      </c>
      <c r="AA32" s="193">
        <f>$K32*'QTY '!X32</f>
        <v>0</v>
      </c>
      <c r="AB32" s="193">
        <f>$K32*'QTY '!Y32</f>
        <v>0</v>
      </c>
      <c r="AC32" s="193">
        <f>$K32*'QTY '!Z32</f>
        <v>0</v>
      </c>
      <c r="AD32" s="193">
        <f>$K32*'QTY '!AA32</f>
        <v>0</v>
      </c>
      <c r="AE32" s="193">
        <f>$K32*'QTY '!AB32</f>
        <v>0</v>
      </c>
      <c r="AF32" s="193">
        <f>$K32*'QTY '!AC32</f>
        <v>0</v>
      </c>
      <c r="AG32" s="193">
        <f t="shared" si="0"/>
        <v>0</v>
      </c>
      <c r="AH32" s="23"/>
      <c r="AJ32" s="136"/>
      <c r="AK32" s="136"/>
      <c r="AL32" s="136"/>
      <c r="AM32" s="136"/>
      <c r="AN32" s="136"/>
      <c r="AP32" s="137"/>
      <c r="AQ32" s="137"/>
      <c r="AR32" s="137"/>
      <c r="AS32" s="137"/>
      <c r="AT32" s="137"/>
    </row>
    <row r="33" spans="1:46" s="135" customFormat="1" ht="15.75" customHeight="1" thickBot="1">
      <c r="A33" s="221"/>
      <c r="B33" s="241" t="str">
        <f>+'QTY '!F33</f>
        <v>BC 819W</v>
      </c>
      <c r="C33" s="200" t="str">
        <f>+'QTY '!E33</f>
        <v>BC111-11810-3 2001</v>
      </c>
      <c r="D33" s="190"/>
      <c r="E33" s="191"/>
      <c r="F33" s="191"/>
      <c r="G33" s="191"/>
      <c r="H33" s="191"/>
      <c r="I33" s="191"/>
      <c r="J33" s="192"/>
      <c r="K33" s="192">
        <f>VLOOKUP($C33,'QTY '!E33:G108,3,0)</f>
        <v>1.4674999999999999E-2</v>
      </c>
      <c r="L33" s="193">
        <f>$K33*'QTY '!I33</f>
        <v>0</v>
      </c>
      <c r="M33" s="194">
        <f>$K33*'QTY '!J33</f>
        <v>0</v>
      </c>
      <c r="N33" s="195">
        <f>$K33*'QTY '!K33</f>
        <v>0</v>
      </c>
      <c r="O33" s="196">
        <f>$K33*'QTY '!L33</f>
        <v>0</v>
      </c>
      <c r="P33" s="205">
        <f>$K33*'QTY '!M33</f>
        <v>0</v>
      </c>
      <c r="Q33" s="197">
        <f>$K33*'QTY '!N33</f>
        <v>0</v>
      </c>
      <c r="R33" s="198">
        <f>$K33*'QTY '!O33</f>
        <v>0</v>
      </c>
      <c r="S33" s="193">
        <f>$K33*'QTY '!P33</f>
        <v>0.29349999999999998</v>
      </c>
      <c r="T33" s="195">
        <f>$K33*'QTY '!Q33</f>
        <v>0.29349999999999998</v>
      </c>
      <c r="U33" s="199">
        <f>$K33*'QTY '!R33</f>
        <v>0</v>
      </c>
      <c r="V33" s="193">
        <f>$K33*'QTY '!S33</f>
        <v>0</v>
      </c>
      <c r="W33" s="197">
        <f>$K33*'QTY '!T33</f>
        <v>0</v>
      </c>
      <c r="X33" s="198">
        <f>$K33*'QTY '!U33</f>
        <v>0</v>
      </c>
      <c r="Y33" s="193">
        <f>$K33*'QTY '!V33</f>
        <v>0</v>
      </c>
      <c r="Z33" s="193">
        <f>$K33*'QTY '!W33</f>
        <v>0</v>
      </c>
      <c r="AA33" s="193">
        <f>$K33*'QTY '!X33</f>
        <v>0</v>
      </c>
      <c r="AB33" s="193">
        <f>$K33*'QTY '!Y33</f>
        <v>0</v>
      </c>
      <c r="AC33" s="193">
        <f>$K33*'QTY '!Z33</f>
        <v>0</v>
      </c>
      <c r="AD33" s="193">
        <f>$K33*'QTY '!AA33</f>
        <v>0</v>
      </c>
      <c r="AE33" s="193">
        <f>$K33*'QTY '!AB33</f>
        <v>0</v>
      </c>
      <c r="AF33" s="193">
        <f>$K33*'QTY '!AC33</f>
        <v>0</v>
      </c>
      <c r="AG33" s="193">
        <f t="shared" si="0"/>
        <v>0</v>
      </c>
      <c r="AH33" s="23"/>
      <c r="AJ33" s="136"/>
      <c r="AK33" s="136"/>
      <c r="AL33" s="136"/>
      <c r="AM33" s="136"/>
      <c r="AN33" s="136"/>
      <c r="AP33" s="137"/>
      <c r="AQ33" s="137"/>
      <c r="AR33" s="137"/>
      <c r="AS33" s="137"/>
      <c r="AT33" s="137"/>
    </row>
    <row r="34" spans="1:46" s="135" customFormat="1" ht="15.75" customHeight="1" thickBot="1">
      <c r="A34" s="221"/>
      <c r="B34" s="241" t="str">
        <f>+'QTY '!F34</f>
        <v>BC 819W</v>
      </c>
      <c r="C34" s="200" t="str">
        <f>+'QTY '!E34</f>
        <v>BC111-5A843-2 0001</v>
      </c>
      <c r="D34" s="190"/>
      <c r="E34" s="191"/>
      <c r="F34" s="191"/>
      <c r="G34" s="191"/>
      <c r="H34" s="191"/>
      <c r="I34" s="191"/>
      <c r="J34" s="192"/>
      <c r="K34" s="192">
        <f>VLOOKUP($C34,'QTY '!E34:G109,3,0)</f>
        <v>1.6293333333333333E-2</v>
      </c>
      <c r="L34" s="193">
        <f>$K34*'QTY '!I34</f>
        <v>0</v>
      </c>
      <c r="M34" s="194">
        <f>$K34*'QTY '!J34</f>
        <v>0</v>
      </c>
      <c r="N34" s="195">
        <f>$K34*'QTY '!K34</f>
        <v>0</v>
      </c>
      <c r="O34" s="196">
        <f>$K34*'QTY '!L34</f>
        <v>0</v>
      </c>
      <c r="P34" s="205">
        <f>$K34*'QTY '!M34</f>
        <v>0</v>
      </c>
      <c r="Q34" s="197">
        <f>$K34*'QTY '!N34</f>
        <v>0</v>
      </c>
      <c r="R34" s="198">
        <f>$K34*'QTY '!O34</f>
        <v>0</v>
      </c>
      <c r="S34" s="193">
        <f>$K34*'QTY '!P34</f>
        <v>0.65173333333333328</v>
      </c>
      <c r="T34" s="195">
        <f>$K34*'QTY '!Q34</f>
        <v>0.65173333333333328</v>
      </c>
      <c r="U34" s="199">
        <f>$K34*'QTY '!R34</f>
        <v>0</v>
      </c>
      <c r="V34" s="193">
        <f>$K34*'QTY '!S34</f>
        <v>0</v>
      </c>
      <c r="W34" s="197">
        <f>$K34*'QTY '!T34</f>
        <v>0</v>
      </c>
      <c r="X34" s="198">
        <f>$K34*'QTY '!U34</f>
        <v>0</v>
      </c>
      <c r="Y34" s="193">
        <f>$K34*'QTY '!V34</f>
        <v>0</v>
      </c>
      <c r="Z34" s="193">
        <f>$K34*'QTY '!W34</f>
        <v>0</v>
      </c>
      <c r="AA34" s="193">
        <f>$K34*'QTY '!X34</f>
        <v>0</v>
      </c>
      <c r="AB34" s="193">
        <f>$K34*'QTY '!Y34</f>
        <v>0</v>
      </c>
      <c r="AC34" s="193">
        <f>$K34*'QTY '!Z34</f>
        <v>0</v>
      </c>
      <c r="AD34" s="193">
        <f>$K34*'QTY '!AA34</f>
        <v>0</v>
      </c>
      <c r="AE34" s="193">
        <f>$K34*'QTY '!AB34</f>
        <v>0</v>
      </c>
      <c r="AF34" s="193">
        <f>$K34*'QTY '!AC34</f>
        <v>0</v>
      </c>
      <c r="AG34" s="193">
        <f t="shared" si="0"/>
        <v>0</v>
      </c>
      <c r="AH34" s="23"/>
      <c r="AJ34" s="136"/>
      <c r="AK34" s="136"/>
      <c r="AL34" s="136"/>
      <c r="AM34" s="136"/>
      <c r="AN34" s="136"/>
      <c r="AP34" s="137"/>
      <c r="AQ34" s="137"/>
      <c r="AR34" s="137"/>
      <c r="AS34" s="137"/>
      <c r="AT34" s="137"/>
    </row>
    <row r="35" spans="1:46" s="135" customFormat="1" ht="15.75" customHeight="1" thickBot="1">
      <c r="A35" s="221"/>
      <c r="B35" s="241" t="str">
        <f>+'QTY '!F35</f>
        <v>BC 819W</v>
      </c>
      <c r="C35" s="200" t="str">
        <f>+'QTY '!E35</f>
        <v>BC111-5A852-2 A 0002</v>
      </c>
      <c r="D35" s="190"/>
      <c r="E35" s="191"/>
      <c r="F35" s="191"/>
      <c r="G35" s="191"/>
      <c r="H35" s="191"/>
      <c r="I35" s="191"/>
      <c r="J35" s="192"/>
      <c r="K35" s="192">
        <f>VLOOKUP($C35,'QTY '!E35:G110,3,0)</f>
        <v>1.4731666666666667E-2</v>
      </c>
      <c r="L35" s="193">
        <f>$K35*'QTY '!I35</f>
        <v>0</v>
      </c>
      <c r="M35" s="194">
        <f>$K35*'QTY '!J35</f>
        <v>0</v>
      </c>
      <c r="N35" s="195">
        <f>$K35*'QTY '!K35</f>
        <v>0</v>
      </c>
      <c r="O35" s="196">
        <f>$K35*'QTY '!L35</f>
        <v>0</v>
      </c>
      <c r="P35" s="205">
        <f>$K35*'QTY '!M35</f>
        <v>0</v>
      </c>
      <c r="Q35" s="197">
        <f>$K35*'QTY '!N35</f>
        <v>0</v>
      </c>
      <c r="R35" s="198">
        <f>$K35*'QTY '!O35</f>
        <v>0</v>
      </c>
      <c r="S35" s="193">
        <f>$K35*'QTY '!P35</f>
        <v>0</v>
      </c>
      <c r="T35" s="195">
        <f>$K35*'QTY '!Q35</f>
        <v>0</v>
      </c>
      <c r="U35" s="199">
        <f>$K35*'QTY '!R35</f>
        <v>0</v>
      </c>
      <c r="V35" s="193">
        <f>$K35*'QTY '!S35</f>
        <v>0</v>
      </c>
      <c r="W35" s="197">
        <f>$K35*'QTY '!T35</f>
        <v>0</v>
      </c>
      <c r="X35" s="198">
        <f>$K35*'QTY '!U35</f>
        <v>0</v>
      </c>
      <c r="Y35" s="193">
        <f>$K35*'QTY '!V35</f>
        <v>0</v>
      </c>
      <c r="Z35" s="193">
        <f>$K35*'QTY '!W35</f>
        <v>0</v>
      </c>
      <c r="AA35" s="193">
        <f>$K35*'QTY '!X35</f>
        <v>0</v>
      </c>
      <c r="AB35" s="193">
        <f>$K35*'QTY '!Y35</f>
        <v>0</v>
      </c>
      <c r="AC35" s="193">
        <f>$K35*'QTY '!Z35</f>
        <v>0</v>
      </c>
      <c r="AD35" s="193">
        <f>$K35*'QTY '!AA35</f>
        <v>0</v>
      </c>
      <c r="AE35" s="193">
        <f>$K35*'QTY '!AB35</f>
        <v>0</v>
      </c>
      <c r="AF35" s="193">
        <f>$K35*'QTY '!AC35</f>
        <v>0</v>
      </c>
      <c r="AG35" s="193">
        <f t="shared" si="0"/>
        <v>0</v>
      </c>
      <c r="AH35" s="23"/>
      <c r="AJ35" s="136"/>
      <c r="AK35" s="136"/>
      <c r="AL35" s="136"/>
      <c r="AM35" s="136"/>
      <c r="AN35" s="136"/>
      <c r="AP35" s="137"/>
      <c r="AQ35" s="137"/>
      <c r="AR35" s="137"/>
      <c r="AS35" s="137"/>
      <c r="AT35" s="137"/>
    </row>
    <row r="36" spans="1:46" s="135" customFormat="1" ht="15.75" customHeight="1" thickBot="1">
      <c r="A36" s="221"/>
      <c r="B36" s="241" t="str">
        <f>+'QTY '!F36</f>
        <v>BC 819W</v>
      </c>
      <c r="C36" s="200" t="str">
        <f>+'QTY '!E36</f>
        <v>BC111-5A883-2 0001</v>
      </c>
      <c r="D36" s="190"/>
      <c r="E36" s="191"/>
      <c r="F36" s="191"/>
      <c r="G36" s="191"/>
      <c r="H36" s="191"/>
      <c r="I36" s="191"/>
      <c r="J36" s="192"/>
      <c r="K36" s="192">
        <f>VLOOKUP($C36,'QTY '!E36:G111,3,0)</f>
        <v>1.6293333333333333E-2</v>
      </c>
      <c r="L36" s="193">
        <f>$K36*'QTY '!I36</f>
        <v>0</v>
      </c>
      <c r="M36" s="194">
        <f>$K36*'QTY '!J36</f>
        <v>0.32586666666666664</v>
      </c>
      <c r="N36" s="195">
        <f>$K36*'QTY '!K36</f>
        <v>0.32586666666666664</v>
      </c>
      <c r="O36" s="196">
        <f>$K36*'QTY '!L36</f>
        <v>0</v>
      </c>
      <c r="P36" s="205">
        <f>$K36*'QTY '!M36</f>
        <v>0.65173333333333328</v>
      </c>
      <c r="Q36" s="197">
        <f>$K36*'QTY '!N36</f>
        <v>0.65173333333333328</v>
      </c>
      <c r="R36" s="198">
        <f>$K36*'QTY '!O36</f>
        <v>0</v>
      </c>
      <c r="S36" s="193">
        <f>$K36*'QTY '!P36</f>
        <v>0.65173333333333328</v>
      </c>
      <c r="T36" s="195">
        <f>$K36*'QTY '!Q36</f>
        <v>0.65173333333333328</v>
      </c>
      <c r="U36" s="199">
        <f>$K36*'QTY '!R36</f>
        <v>0</v>
      </c>
      <c r="V36" s="193">
        <f>$K36*'QTY '!S36</f>
        <v>0.32586666666666664</v>
      </c>
      <c r="W36" s="197">
        <f>$K36*'QTY '!T36</f>
        <v>0.32586666666666664</v>
      </c>
      <c r="X36" s="198">
        <f>$K36*'QTY '!U36</f>
        <v>0</v>
      </c>
      <c r="Y36" s="193">
        <f>$K36*'QTY '!V36</f>
        <v>0</v>
      </c>
      <c r="Z36" s="193">
        <f>$K36*'QTY '!W36</f>
        <v>0</v>
      </c>
      <c r="AA36" s="193">
        <f>$K36*'QTY '!X36</f>
        <v>0</v>
      </c>
      <c r="AB36" s="193">
        <f>$K36*'QTY '!Y36</f>
        <v>0</v>
      </c>
      <c r="AC36" s="193">
        <f>$K36*'QTY '!Z36</f>
        <v>0</v>
      </c>
      <c r="AD36" s="193">
        <f>$K36*'QTY '!AA36</f>
        <v>0</v>
      </c>
      <c r="AE36" s="193">
        <f>$K36*'QTY '!AB36</f>
        <v>0</v>
      </c>
      <c r="AF36" s="193">
        <f>$K36*'QTY '!AC36</f>
        <v>0</v>
      </c>
      <c r="AG36" s="193">
        <f t="shared" si="0"/>
        <v>0</v>
      </c>
      <c r="AH36" s="23"/>
      <c r="AJ36" s="136"/>
      <c r="AK36" s="136"/>
      <c r="AL36" s="136"/>
      <c r="AM36" s="136"/>
      <c r="AN36" s="136"/>
      <c r="AP36" s="137"/>
      <c r="AQ36" s="137"/>
      <c r="AR36" s="137"/>
      <c r="AS36" s="137"/>
      <c r="AT36" s="137"/>
    </row>
    <row r="37" spans="1:46" s="135" customFormat="1" ht="15.75" customHeight="1" thickBot="1">
      <c r="A37" s="221"/>
      <c r="B37" s="241" t="str">
        <f>+'QTY '!F37</f>
        <v>BC 819W</v>
      </c>
      <c r="C37" s="200" t="str">
        <f>+'QTY '!E37</f>
        <v>BC111-5AC33-2 0001</v>
      </c>
      <c r="D37" s="190"/>
      <c r="E37" s="191"/>
      <c r="F37" s="191"/>
      <c r="G37" s="191"/>
      <c r="H37" s="191"/>
      <c r="I37" s="191"/>
      <c r="J37" s="192"/>
      <c r="K37" s="192">
        <f>VLOOKUP($C37,'QTY '!E37:G112,3,0)</f>
        <v>1.6279999999999999E-2</v>
      </c>
      <c r="L37" s="193">
        <f>$K37*'QTY '!I37</f>
        <v>0</v>
      </c>
      <c r="M37" s="194">
        <f>$K37*'QTY '!J37</f>
        <v>0.6512</v>
      </c>
      <c r="N37" s="195">
        <f>$K37*'QTY '!K37</f>
        <v>0.6512</v>
      </c>
      <c r="O37" s="196">
        <f>$K37*'QTY '!L37</f>
        <v>0</v>
      </c>
      <c r="P37" s="205">
        <f>$K37*'QTY '!M37</f>
        <v>0.3256</v>
      </c>
      <c r="Q37" s="197">
        <f>$K37*'QTY '!N37</f>
        <v>0.3256</v>
      </c>
      <c r="R37" s="198">
        <f>$K37*'QTY '!O37</f>
        <v>0</v>
      </c>
      <c r="S37" s="193">
        <f>$K37*'QTY '!P37</f>
        <v>0.3256</v>
      </c>
      <c r="T37" s="195">
        <f>$K37*'QTY '!Q37</f>
        <v>0.3256</v>
      </c>
      <c r="U37" s="199">
        <f>$K37*'QTY '!R37</f>
        <v>0</v>
      </c>
      <c r="V37" s="193">
        <f>$K37*'QTY '!S37</f>
        <v>0.3256</v>
      </c>
      <c r="W37" s="197">
        <f>$K37*'QTY '!T37</f>
        <v>0.3256</v>
      </c>
      <c r="X37" s="198">
        <f>$K37*'QTY '!U37</f>
        <v>0</v>
      </c>
      <c r="Y37" s="193">
        <f>$K37*'QTY '!V37</f>
        <v>0</v>
      </c>
      <c r="Z37" s="193">
        <f>$K37*'QTY '!W37</f>
        <v>0</v>
      </c>
      <c r="AA37" s="193">
        <f>$K37*'QTY '!X37</f>
        <v>0</v>
      </c>
      <c r="AB37" s="193">
        <f>$K37*'QTY '!Y37</f>
        <v>0</v>
      </c>
      <c r="AC37" s="193">
        <f>$K37*'QTY '!Z37</f>
        <v>0</v>
      </c>
      <c r="AD37" s="193">
        <f>$K37*'QTY '!AA37</f>
        <v>0</v>
      </c>
      <c r="AE37" s="193">
        <f>$K37*'QTY '!AB37</f>
        <v>0</v>
      </c>
      <c r="AF37" s="193">
        <f>$K37*'QTY '!AC37</f>
        <v>0</v>
      </c>
      <c r="AG37" s="193">
        <f t="shared" si="0"/>
        <v>0</v>
      </c>
      <c r="AH37" s="23"/>
      <c r="AJ37" s="136"/>
      <c r="AK37" s="136"/>
      <c r="AL37" s="136"/>
      <c r="AM37" s="136"/>
      <c r="AN37" s="136"/>
      <c r="AP37" s="137"/>
      <c r="AQ37" s="137"/>
      <c r="AR37" s="137"/>
      <c r="AS37" s="137"/>
      <c r="AT37" s="137"/>
    </row>
    <row r="38" spans="1:46" s="135" customFormat="1" ht="15.75" customHeight="1" thickBot="1">
      <c r="A38" s="221"/>
      <c r="B38" s="241" t="str">
        <f>+'QTY '!F39</f>
        <v>BC 819W</v>
      </c>
      <c r="C38" s="200" t="str">
        <f>+'QTY '!E38</f>
        <v>BC111-5AA03-2 0001</v>
      </c>
      <c r="D38" s="190"/>
      <c r="E38" s="191"/>
      <c r="F38" s="191"/>
      <c r="G38" s="191"/>
      <c r="H38" s="191"/>
      <c r="I38" s="191"/>
      <c r="J38" s="192"/>
      <c r="K38" s="192">
        <f>VLOOKUP($C38,'QTY '!E38:G113,3,0)</f>
        <v>1.6305E-2</v>
      </c>
      <c r="L38" s="193">
        <f>$K38*'QTY '!I38</f>
        <v>0</v>
      </c>
      <c r="M38" s="194">
        <f>$K38*'QTY '!J38</f>
        <v>0.6522</v>
      </c>
      <c r="N38" s="195">
        <f>$K38*'QTY '!K38</f>
        <v>0.6522</v>
      </c>
      <c r="O38" s="196">
        <f>$K38*'QTY '!L38</f>
        <v>0</v>
      </c>
      <c r="P38" s="205">
        <f>$K38*'QTY '!M38</f>
        <v>0.3261</v>
      </c>
      <c r="Q38" s="197">
        <f>$K38*'QTY '!N38</f>
        <v>0.3261</v>
      </c>
      <c r="R38" s="198">
        <f>$K38*'QTY '!O38</f>
        <v>0</v>
      </c>
      <c r="S38" s="193">
        <f>$K38*'QTY '!P38</f>
        <v>0.6522</v>
      </c>
      <c r="T38" s="195">
        <f>$K38*'QTY '!Q38</f>
        <v>0.6522</v>
      </c>
      <c r="U38" s="199">
        <f>$K38*'QTY '!R38</f>
        <v>0</v>
      </c>
      <c r="V38" s="193">
        <f>$K38*'QTY '!S38</f>
        <v>0.3261</v>
      </c>
      <c r="W38" s="197">
        <f>$K38*'QTY '!T38</f>
        <v>0.3261</v>
      </c>
      <c r="X38" s="198">
        <f>$K38*'QTY '!U38</f>
        <v>0</v>
      </c>
      <c r="Y38" s="193">
        <f>$K38*'QTY '!V38</f>
        <v>0</v>
      </c>
      <c r="Z38" s="193">
        <f>$K38*'QTY '!W38</f>
        <v>0</v>
      </c>
      <c r="AA38" s="193">
        <f>$K38*'QTY '!X38</f>
        <v>0</v>
      </c>
      <c r="AB38" s="193">
        <f>$K38*'QTY '!Y38</f>
        <v>0</v>
      </c>
      <c r="AC38" s="193">
        <f>$K38*'QTY '!Z38</f>
        <v>0</v>
      </c>
      <c r="AD38" s="193">
        <f>$K38*'QTY '!AA38</f>
        <v>0</v>
      </c>
      <c r="AE38" s="193">
        <f>$K38*'QTY '!AB38</f>
        <v>0</v>
      </c>
      <c r="AF38" s="193">
        <f>$K38*'QTY '!AC38</f>
        <v>0</v>
      </c>
      <c r="AG38" s="193">
        <f t="shared" si="0"/>
        <v>0</v>
      </c>
      <c r="AH38" s="23"/>
      <c r="AJ38" s="136"/>
      <c r="AK38" s="136"/>
      <c r="AL38" s="136"/>
      <c r="AM38" s="136"/>
      <c r="AN38" s="136"/>
      <c r="AP38" s="137"/>
      <c r="AQ38" s="137"/>
      <c r="AR38" s="137"/>
      <c r="AS38" s="137"/>
      <c r="AT38" s="137"/>
    </row>
    <row r="39" spans="1:46" s="135" customFormat="1" ht="15.75" customHeight="1" thickBot="1">
      <c r="A39" s="221"/>
      <c r="B39" s="241" t="str">
        <f>+'QTY '!F40</f>
        <v>BC 819W</v>
      </c>
      <c r="C39" s="200" t="str">
        <f>+'QTY '!E39</f>
        <v>BC111-5AA02-2 A 0002</v>
      </c>
      <c r="D39" s="190"/>
      <c r="E39" s="191"/>
      <c r="F39" s="191"/>
      <c r="G39" s="191"/>
      <c r="H39" s="191"/>
      <c r="I39" s="191"/>
      <c r="J39" s="192"/>
      <c r="K39" s="192">
        <f>VLOOKUP($C39,'QTY '!E39:G114,3,0)</f>
        <v>1.4756666666666666E-2</v>
      </c>
      <c r="L39" s="193">
        <f>$K39*'QTY '!I39</f>
        <v>0</v>
      </c>
      <c r="M39" s="194">
        <f>$K39*'QTY '!J39</f>
        <v>0</v>
      </c>
      <c r="N39" s="195">
        <f>$K39*'QTY '!K39</f>
        <v>0</v>
      </c>
      <c r="O39" s="196">
        <f>$K39*'QTY '!L39</f>
        <v>0</v>
      </c>
      <c r="P39" s="205">
        <f>$K39*'QTY '!M39</f>
        <v>0</v>
      </c>
      <c r="Q39" s="197">
        <f>$K39*'QTY '!N39</f>
        <v>0</v>
      </c>
      <c r="R39" s="198">
        <f>$K39*'QTY '!O39</f>
        <v>0</v>
      </c>
      <c r="S39" s="193">
        <f>$K39*'QTY '!P39</f>
        <v>0</v>
      </c>
      <c r="T39" s="195">
        <f>$K39*'QTY '!Q39</f>
        <v>0</v>
      </c>
      <c r="U39" s="199">
        <f>$K39*'QTY '!R39</f>
        <v>0</v>
      </c>
      <c r="V39" s="193">
        <f>$K39*'QTY '!S39</f>
        <v>0</v>
      </c>
      <c r="W39" s="197">
        <f>$K39*'QTY '!T39</f>
        <v>0</v>
      </c>
      <c r="X39" s="198">
        <f>$K39*'QTY '!U39</f>
        <v>0</v>
      </c>
      <c r="Y39" s="193">
        <f>$K39*'QTY '!V39</f>
        <v>0</v>
      </c>
      <c r="Z39" s="193">
        <f>$K39*'QTY '!W39</f>
        <v>0</v>
      </c>
      <c r="AA39" s="193">
        <f>$K39*'QTY '!X39</f>
        <v>0</v>
      </c>
      <c r="AB39" s="193">
        <f>$K39*'QTY '!Y39</f>
        <v>0</v>
      </c>
      <c r="AC39" s="193">
        <f>$K39*'QTY '!Z39</f>
        <v>0</v>
      </c>
      <c r="AD39" s="193">
        <f>$K39*'QTY '!AA39</f>
        <v>0</v>
      </c>
      <c r="AE39" s="193">
        <f>$K39*'QTY '!AB39</f>
        <v>0</v>
      </c>
      <c r="AF39" s="193">
        <f>$K39*'QTY '!AC39</f>
        <v>0</v>
      </c>
      <c r="AG39" s="193">
        <f t="shared" si="0"/>
        <v>0</v>
      </c>
      <c r="AH39" s="23"/>
      <c r="AJ39" s="136"/>
      <c r="AK39" s="136"/>
      <c r="AL39" s="136"/>
      <c r="AM39" s="136"/>
      <c r="AN39" s="136"/>
      <c r="AP39" s="137"/>
      <c r="AQ39" s="137"/>
      <c r="AR39" s="137"/>
      <c r="AS39" s="137"/>
      <c r="AT39" s="137"/>
    </row>
    <row r="40" spans="1:46" s="135" customFormat="1" ht="15.75" customHeight="1" thickBot="1">
      <c r="A40" s="221"/>
      <c r="B40" s="241" t="str">
        <f>+'QTY '!F41</f>
        <v>BC 819W</v>
      </c>
      <c r="C40" s="200" t="str">
        <f>+'QTY '!E40</f>
        <v>BC111-5A841-2 A 0002</v>
      </c>
      <c r="D40" s="190"/>
      <c r="E40" s="191"/>
      <c r="F40" s="191"/>
      <c r="G40" s="191"/>
      <c r="H40" s="191"/>
      <c r="I40" s="191"/>
      <c r="J40" s="192"/>
      <c r="K40" s="192">
        <f>VLOOKUP($C40,'QTY '!E40:G115,3,0)</f>
        <v>1.4745000000000001E-2</v>
      </c>
      <c r="L40" s="193">
        <f>$K40*'QTY '!I40</f>
        <v>0</v>
      </c>
      <c r="M40" s="194">
        <f>$K40*'QTY '!J40</f>
        <v>0</v>
      </c>
      <c r="N40" s="195">
        <f>$K40*'QTY '!K40</f>
        <v>0</v>
      </c>
      <c r="O40" s="196">
        <f>$K40*'QTY '!L40</f>
        <v>0</v>
      </c>
      <c r="P40" s="205">
        <f>$K40*'QTY '!M40</f>
        <v>0</v>
      </c>
      <c r="Q40" s="197">
        <f>$K40*'QTY '!N40</f>
        <v>0</v>
      </c>
      <c r="R40" s="198">
        <f>$K40*'QTY '!O40</f>
        <v>0</v>
      </c>
      <c r="S40" s="193">
        <f>$K40*'QTY '!P40</f>
        <v>0</v>
      </c>
      <c r="T40" s="195">
        <f>$K40*'QTY '!Q40</f>
        <v>0</v>
      </c>
      <c r="U40" s="199">
        <f>$K40*'QTY '!R40</f>
        <v>0</v>
      </c>
      <c r="V40" s="193">
        <f>$K40*'QTY '!S40</f>
        <v>0</v>
      </c>
      <c r="W40" s="197">
        <f>$K40*'QTY '!T40</f>
        <v>0</v>
      </c>
      <c r="X40" s="198">
        <f>$K40*'QTY '!U40</f>
        <v>0</v>
      </c>
      <c r="Y40" s="193">
        <f>$K40*'QTY '!V40</f>
        <v>0</v>
      </c>
      <c r="Z40" s="193">
        <f>$K40*'QTY '!W40</f>
        <v>0</v>
      </c>
      <c r="AA40" s="193">
        <f>$K40*'QTY '!X40</f>
        <v>0</v>
      </c>
      <c r="AB40" s="193">
        <f>$K40*'QTY '!Y40</f>
        <v>0</v>
      </c>
      <c r="AC40" s="193">
        <f>$K40*'QTY '!Z40</f>
        <v>0</v>
      </c>
      <c r="AD40" s="193">
        <f>$K40*'QTY '!AA40</f>
        <v>0</v>
      </c>
      <c r="AE40" s="193">
        <f>$K40*'QTY '!AB40</f>
        <v>0</v>
      </c>
      <c r="AF40" s="193">
        <f>$K40*'QTY '!AC40</f>
        <v>0</v>
      </c>
      <c r="AG40" s="193">
        <f t="shared" si="0"/>
        <v>0</v>
      </c>
      <c r="AH40" s="23"/>
      <c r="AJ40" s="136"/>
      <c r="AK40" s="136"/>
      <c r="AL40" s="136"/>
      <c r="AM40" s="136"/>
      <c r="AN40" s="136"/>
      <c r="AP40" s="137"/>
      <c r="AQ40" s="137"/>
      <c r="AR40" s="137"/>
      <c r="AS40" s="137"/>
      <c r="AT40" s="137"/>
    </row>
    <row r="41" spans="1:46" s="135" customFormat="1" ht="15.75" customHeight="1" thickBot="1">
      <c r="A41" s="221"/>
      <c r="B41" s="241" t="str">
        <f>+'QTY '!F42</f>
        <v>BC 891W</v>
      </c>
      <c r="C41" s="200" t="str">
        <f>+'QTY '!E41</f>
        <v>BC111-5A881-2 A 0002</v>
      </c>
      <c r="D41" s="190"/>
      <c r="E41" s="191"/>
      <c r="F41" s="191"/>
      <c r="G41" s="191"/>
      <c r="H41" s="191"/>
      <c r="I41" s="191"/>
      <c r="J41" s="192"/>
      <c r="K41" s="192">
        <f>VLOOKUP($C41,'QTY '!E41:G116,3,0)</f>
        <v>1.4745000000000001E-2</v>
      </c>
      <c r="L41" s="193">
        <f>$K41*'QTY '!I41</f>
        <v>0</v>
      </c>
      <c r="M41" s="194">
        <f>$K41*'QTY '!J41</f>
        <v>0</v>
      </c>
      <c r="N41" s="195">
        <f>$K41*'QTY '!K41</f>
        <v>0</v>
      </c>
      <c r="O41" s="196">
        <f>$K41*'QTY '!L41</f>
        <v>0</v>
      </c>
      <c r="P41" s="205">
        <f>$K41*'QTY '!M41</f>
        <v>0</v>
      </c>
      <c r="Q41" s="197">
        <f>$K41*'QTY '!N41</f>
        <v>0</v>
      </c>
      <c r="R41" s="198">
        <f>$K41*'QTY '!O41</f>
        <v>0</v>
      </c>
      <c r="S41" s="193">
        <f>$K41*'QTY '!P41</f>
        <v>0</v>
      </c>
      <c r="T41" s="195">
        <f>$K41*'QTY '!Q41</f>
        <v>0</v>
      </c>
      <c r="U41" s="199">
        <f>$K41*'QTY '!R41</f>
        <v>0</v>
      </c>
      <c r="V41" s="193">
        <f>$K41*'QTY '!S41</f>
        <v>0</v>
      </c>
      <c r="W41" s="197">
        <f>$K41*'QTY '!T41</f>
        <v>0</v>
      </c>
      <c r="X41" s="198">
        <f>$K41*'QTY '!U41</f>
        <v>0</v>
      </c>
      <c r="Y41" s="193">
        <f>$K41*'QTY '!V41</f>
        <v>0</v>
      </c>
      <c r="Z41" s="193">
        <f>$K41*'QTY '!W41</f>
        <v>0</v>
      </c>
      <c r="AA41" s="193">
        <f>$K41*'QTY '!X41</f>
        <v>0</v>
      </c>
      <c r="AB41" s="193">
        <f>$K41*'QTY '!Y41</f>
        <v>0</v>
      </c>
      <c r="AC41" s="193">
        <f>$K41*'QTY '!Z41</f>
        <v>0</v>
      </c>
      <c r="AD41" s="193">
        <f>$K41*'QTY '!AA41</f>
        <v>0</v>
      </c>
      <c r="AE41" s="193">
        <f>$K41*'QTY '!AB41</f>
        <v>0</v>
      </c>
      <c r="AF41" s="193">
        <f>$K41*'QTY '!AC41</f>
        <v>0</v>
      </c>
      <c r="AG41" s="193">
        <f t="shared" si="0"/>
        <v>0</v>
      </c>
      <c r="AH41" s="23"/>
      <c r="AJ41" s="136"/>
      <c r="AK41" s="136"/>
      <c r="AL41" s="136"/>
      <c r="AM41" s="136"/>
      <c r="AN41" s="136"/>
      <c r="AP41" s="137"/>
      <c r="AQ41" s="137"/>
      <c r="AR41" s="137"/>
      <c r="AS41" s="137"/>
      <c r="AT41" s="137"/>
    </row>
    <row r="42" spans="1:46" s="135" customFormat="1" ht="15.75" customHeight="1" thickBot="1">
      <c r="A42" s="221"/>
      <c r="B42" s="241" t="str">
        <f>+'QTY '!F43</f>
        <v>BC 891W</v>
      </c>
      <c r="C42" s="200" t="str">
        <f>+'QTY '!E42</f>
        <v>BC111-1HQ61-1 A 1001</v>
      </c>
      <c r="D42" s="190"/>
      <c r="E42" s="191"/>
      <c r="F42" s="191"/>
      <c r="G42" s="191"/>
      <c r="H42" s="191"/>
      <c r="I42" s="191"/>
      <c r="J42" s="192"/>
      <c r="K42" s="192">
        <f>VLOOKUP($C42,'QTY '!E42:G117,3,0)</f>
        <v>1.2791666666666666E-2</v>
      </c>
      <c r="L42" s="193">
        <f>$K42*'QTY '!I42</f>
        <v>0</v>
      </c>
      <c r="M42" s="194">
        <f>$K42*'QTY '!J42</f>
        <v>57.818333333333335</v>
      </c>
      <c r="N42" s="195">
        <f>$K42*'QTY '!K42</f>
        <v>57.818333333333335</v>
      </c>
      <c r="O42" s="196">
        <f>$K42*'QTY '!L42</f>
        <v>0</v>
      </c>
      <c r="P42" s="205">
        <f>$K42*'QTY '!M42</f>
        <v>63.958333333333336</v>
      </c>
      <c r="Q42" s="197">
        <f>$K42*'QTY '!N42</f>
        <v>63.958333333333336</v>
      </c>
      <c r="R42" s="198">
        <f>$K42*'QTY '!O42</f>
        <v>0</v>
      </c>
      <c r="S42" s="193">
        <f>$K42*'QTY '!P42</f>
        <v>68.051666666666662</v>
      </c>
      <c r="T42" s="195">
        <f>$K42*'QTY '!Q42</f>
        <v>68.051666666666662</v>
      </c>
      <c r="U42" s="199">
        <f>$K42*'QTY '!R42</f>
        <v>0</v>
      </c>
      <c r="V42" s="193">
        <f>$K42*'QTY '!S42</f>
        <v>56.795000000000002</v>
      </c>
      <c r="W42" s="197">
        <f>$K42*'QTY '!T42</f>
        <v>56.795000000000002</v>
      </c>
      <c r="X42" s="198">
        <f>$K42*'QTY '!U42</f>
        <v>0</v>
      </c>
      <c r="Y42" s="193">
        <f>$K42*'QTY '!V42</f>
        <v>67.539999999999992</v>
      </c>
      <c r="Z42" s="193">
        <f>$K42*'QTY '!W42</f>
        <v>67.539999999999992</v>
      </c>
      <c r="AA42" s="193">
        <f>$K42*'QTY '!X42</f>
        <v>0</v>
      </c>
      <c r="AB42" s="193">
        <f>$K42*'QTY '!Y42</f>
        <v>80.331666666666663</v>
      </c>
      <c r="AC42" s="193">
        <f>$K42*'QTY '!Z42</f>
        <v>80.331666666666663</v>
      </c>
      <c r="AD42" s="193">
        <f>$K42*'QTY '!AA42</f>
        <v>0</v>
      </c>
      <c r="AE42" s="193">
        <f>$K42*'QTY '!AB42</f>
        <v>80.331666666666663</v>
      </c>
      <c r="AF42" s="193">
        <f>$K42*'QTY '!AC42</f>
        <v>80.331666666666663</v>
      </c>
      <c r="AG42" s="193">
        <f t="shared" si="0"/>
        <v>0</v>
      </c>
      <c r="AH42" s="23"/>
      <c r="AJ42" s="136"/>
      <c r="AK42" s="136"/>
      <c r="AL42" s="136"/>
      <c r="AM42" s="136"/>
      <c r="AN42" s="136"/>
      <c r="AP42" s="137"/>
      <c r="AQ42" s="137"/>
      <c r="AR42" s="137"/>
      <c r="AS42" s="137"/>
      <c r="AT42" s="137"/>
    </row>
    <row r="43" spans="1:46" s="135" customFormat="1" ht="15.75" customHeight="1" thickBot="1">
      <c r="A43" s="221"/>
      <c r="B43" s="241" t="str">
        <f>+'QTY '!F44</f>
        <v>BC 891W</v>
      </c>
      <c r="C43" s="200" t="str">
        <f>+'QTY '!E43</f>
        <v>BC111-1HY10-1 A 1001</v>
      </c>
      <c r="D43" s="190"/>
      <c r="E43" s="191"/>
      <c r="F43" s="191"/>
      <c r="G43" s="191"/>
      <c r="H43" s="191"/>
      <c r="I43" s="191"/>
      <c r="J43" s="192"/>
      <c r="K43" s="192">
        <f>VLOOKUP($C43,'QTY '!E43:G118,3,0)</f>
        <v>1.391E-2</v>
      </c>
      <c r="L43" s="193">
        <f>$K43*'QTY '!I43</f>
        <v>0</v>
      </c>
      <c r="M43" s="194">
        <f>$K43*'QTY '!J43</f>
        <v>0</v>
      </c>
      <c r="N43" s="195">
        <f>$K43*'QTY '!K43</f>
        <v>0</v>
      </c>
      <c r="O43" s="196">
        <f>$K43*'QTY '!L43</f>
        <v>0</v>
      </c>
      <c r="P43" s="205">
        <f>$K43*'QTY '!M43</f>
        <v>1.6692</v>
      </c>
      <c r="Q43" s="197">
        <f>$K43*'QTY '!N43</f>
        <v>1.6692</v>
      </c>
      <c r="R43" s="198">
        <f>$K43*'QTY '!O43</f>
        <v>0</v>
      </c>
      <c r="S43" s="193">
        <f>$K43*'QTY '!P43</f>
        <v>0.83460000000000001</v>
      </c>
      <c r="T43" s="195">
        <f>$K43*'QTY '!Q43</f>
        <v>0.83460000000000001</v>
      </c>
      <c r="U43" s="199">
        <f>$K43*'QTY '!R43</f>
        <v>0</v>
      </c>
      <c r="V43" s="193">
        <f>$K43*'QTY '!S43</f>
        <v>0</v>
      </c>
      <c r="W43" s="197">
        <f>$K43*'QTY '!T43</f>
        <v>0</v>
      </c>
      <c r="X43" s="198">
        <f>$K43*'QTY '!U43</f>
        <v>0</v>
      </c>
      <c r="Y43" s="193">
        <f>$K43*'QTY '!V43</f>
        <v>0.83460000000000001</v>
      </c>
      <c r="Z43" s="193">
        <f>$K43*'QTY '!W43</f>
        <v>0.83460000000000001</v>
      </c>
      <c r="AA43" s="193">
        <f>$K43*'QTY '!X43</f>
        <v>0</v>
      </c>
      <c r="AB43" s="193">
        <f>$K43*'QTY '!Y43</f>
        <v>0.83460000000000001</v>
      </c>
      <c r="AC43" s="193">
        <f>$K43*'QTY '!Z43</f>
        <v>0.83460000000000001</v>
      </c>
      <c r="AD43" s="193">
        <f>$K43*'QTY '!AA43</f>
        <v>0</v>
      </c>
      <c r="AE43" s="193">
        <f>$K43*'QTY '!AB43</f>
        <v>0.83460000000000001</v>
      </c>
      <c r="AF43" s="193">
        <f>$K43*'QTY '!AC43</f>
        <v>0.83460000000000001</v>
      </c>
      <c r="AG43" s="193">
        <f t="shared" si="0"/>
        <v>0</v>
      </c>
      <c r="AH43" s="23"/>
      <c r="AJ43" s="136"/>
      <c r="AK43" s="136"/>
      <c r="AL43" s="136"/>
      <c r="AM43" s="136"/>
      <c r="AN43" s="136"/>
      <c r="AP43" s="137"/>
      <c r="AQ43" s="137"/>
      <c r="AR43" s="137"/>
      <c r="AS43" s="137"/>
      <c r="AT43" s="137"/>
    </row>
    <row r="44" spans="1:46" s="135" customFormat="1" ht="15.75" customHeight="1" thickBot="1">
      <c r="A44" s="221"/>
      <c r="B44" s="241" t="str">
        <f>+'QTY '!F45</f>
        <v>BC 891W</v>
      </c>
      <c r="C44" s="200" t="str">
        <f>+'QTY '!E44</f>
        <v>BC111-1HY10-2 A 1001</v>
      </c>
      <c r="D44" s="190"/>
      <c r="E44" s="191"/>
      <c r="F44" s="191"/>
      <c r="G44" s="191"/>
      <c r="H44" s="191"/>
      <c r="I44" s="191"/>
      <c r="J44" s="192"/>
      <c r="K44" s="192">
        <f>VLOOKUP($C44,'QTY '!E44:G119,3,0)</f>
        <v>1.3613333333333335E-2</v>
      </c>
      <c r="L44" s="193">
        <f>$K44*'QTY '!I44</f>
        <v>0</v>
      </c>
      <c r="M44" s="194">
        <f>$K44*'QTY '!J44</f>
        <v>0</v>
      </c>
      <c r="N44" s="195">
        <f>$K44*'QTY '!K44</f>
        <v>0</v>
      </c>
      <c r="O44" s="196">
        <f>$K44*'QTY '!L44</f>
        <v>0</v>
      </c>
      <c r="P44" s="205">
        <f>$K44*'QTY '!M44</f>
        <v>0</v>
      </c>
      <c r="Q44" s="197">
        <f>$K44*'QTY '!N44</f>
        <v>0</v>
      </c>
      <c r="R44" s="198">
        <f>$K44*'QTY '!O44</f>
        <v>0</v>
      </c>
      <c r="S44" s="193">
        <f>$K44*'QTY '!P44</f>
        <v>0</v>
      </c>
      <c r="T44" s="195">
        <f>$K44*'QTY '!Q44</f>
        <v>0</v>
      </c>
      <c r="U44" s="199">
        <f>$K44*'QTY '!R44</f>
        <v>0</v>
      </c>
      <c r="V44" s="193">
        <f>$K44*'QTY '!S44</f>
        <v>0</v>
      </c>
      <c r="W44" s="197">
        <f>$K44*'QTY '!T44</f>
        <v>0</v>
      </c>
      <c r="X44" s="198">
        <f>$K44*'QTY '!U44</f>
        <v>0</v>
      </c>
      <c r="Y44" s="193">
        <f>$K44*'QTY '!V44</f>
        <v>0</v>
      </c>
      <c r="Z44" s="193">
        <f>$K44*'QTY '!W44</f>
        <v>0</v>
      </c>
      <c r="AA44" s="193">
        <f>$K44*'QTY '!X44</f>
        <v>0</v>
      </c>
      <c r="AB44" s="193">
        <f>$K44*'QTY '!Y44</f>
        <v>0</v>
      </c>
      <c r="AC44" s="193">
        <f>$K44*'QTY '!Z44</f>
        <v>0</v>
      </c>
      <c r="AD44" s="193">
        <f>$K44*'QTY '!AA44</f>
        <v>0</v>
      </c>
      <c r="AE44" s="193">
        <f>$K44*'QTY '!AB44</f>
        <v>0</v>
      </c>
      <c r="AF44" s="193">
        <f>$K44*'QTY '!AC44</f>
        <v>0</v>
      </c>
      <c r="AG44" s="193">
        <f t="shared" si="0"/>
        <v>0</v>
      </c>
      <c r="AH44" s="23"/>
      <c r="AJ44" s="136"/>
      <c r="AK44" s="136"/>
      <c r="AL44" s="136"/>
      <c r="AM44" s="136"/>
      <c r="AN44" s="136"/>
      <c r="AP44" s="137"/>
      <c r="AQ44" s="137"/>
      <c r="AR44" s="137"/>
      <c r="AS44" s="137"/>
      <c r="AT44" s="137"/>
    </row>
    <row r="45" spans="1:46" s="135" customFormat="1" ht="15.75" customHeight="1" thickBot="1">
      <c r="A45" s="221"/>
      <c r="B45" s="241" t="str">
        <f>+'QTY '!F46</f>
        <v>BC 766W</v>
      </c>
      <c r="C45" s="200" t="str">
        <f>+'QTY '!E45</f>
        <v>BC111-1HR01-1 0002</v>
      </c>
      <c r="D45" s="190"/>
      <c r="E45" s="191"/>
      <c r="F45" s="191"/>
      <c r="G45" s="191"/>
      <c r="H45" s="191"/>
      <c r="I45" s="191"/>
      <c r="J45" s="192"/>
      <c r="K45" s="192">
        <f>VLOOKUP($C45,'QTY '!E45:G120,3,0)</f>
        <v>1.2791666666666666E-2</v>
      </c>
      <c r="L45" s="193">
        <f>$K45*'QTY '!I45</f>
        <v>0</v>
      </c>
      <c r="M45" s="194">
        <f>$K45*'QTY '!J45</f>
        <v>88.518333333333331</v>
      </c>
      <c r="N45" s="195">
        <f>$K45*'QTY '!K45</f>
        <v>88.518333333333331</v>
      </c>
      <c r="O45" s="196">
        <f>$K45*'QTY '!L45</f>
        <v>0</v>
      </c>
      <c r="P45" s="205">
        <f>$K45*'QTY '!M45</f>
        <v>82.37833333333333</v>
      </c>
      <c r="Q45" s="197">
        <f>$K45*'QTY '!N45</f>
        <v>82.37833333333333</v>
      </c>
      <c r="R45" s="198">
        <f>$K45*'QTY '!O45</f>
        <v>0</v>
      </c>
      <c r="S45" s="193">
        <f>$K45*'QTY '!P45</f>
        <v>82.89</v>
      </c>
      <c r="T45" s="195">
        <f>$K45*'QTY '!Q45</f>
        <v>82.89</v>
      </c>
      <c r="U45" s="199">
        <f>$K45*'QTY '!R45</f>
        <v>0</v>
      </c>
      <c r="V45" s="193">
        <f>$K45*'QTY '!S45</f>
        <v>71.633333333333326</v>
      </c>
      <c r="W45" s="197">
        <f>$K45*'QTY '!T45</f>
        <v>71.633333333333326</v>
      </c>
      <c r="X45" s="198">
        <f>$K45*'QTY '!U45</f>
        <v>0</v>
      </c>
      <c r="Y45" s="193">
        <f>$K45*'QTY '!V45</f>
        <v>86.983333333333334</v>
      </c>
      <c r="Z45" s="193">
        <f>$K45*'QTY '!W45</f>
        <v>86.983333333333334</v>
      </c>
      <c r="AA45" s="193">
        <f>$K45*'QTY '!X45</f>
        <v>0</v>
      </c>
      <c r="AB45" s="193">
        <f>$K45*'QTY '!Y45</f>
        <v>107.96166666666666</v>
      </c>
      <c r="AC45" s="193">
        <f>$K45*'QTY '!Z45</f>
        <v>107.96166666666666</v>
      </c>
      <c r="AD45" s="193">
        <f>$K45*'QTY '!AA45</f>
        <v>0</v>
      </c>
      <c r="AE45" s="193">
        <f>$K45*'QTY '!AB45</f>
        <v>107.96166666666666</v>
      </c>
      <c r="AF45" s="193">
        <f>$K45*'QTY '!AC45</f>
        <v>107.96166666666666</v>
      </c>
      <c r="AG45" s="193">
        <f t="shared" si="0"/>
        <v>0</v>
      </c>
      <c r="AH45" s="23"/>
      <c r="AJ45" s="136"/>
      <c r="AK45" s="136"/>
      <c r="AL45" s="136"/>
      <c r="AM45" s="136"/>
      <c r="AN45" s="136"/>
      <c r="AP45" s="137"/>
      <c r="AQ45" s="137"/>
      <c r="AR45" s="137"/>
      <c r="AS45" s="137"/>
      <c r="AT45" s="137"/>
    </row>
    <row r="46" spans="1:46" s="135" customFormat="1" ht="15.75" customHeight="1" thickBot="1">
      <c r="A46" s="221"/>
      <c r="B46" s="241" t="str">
        <f>+'QTY '!F47</f>
        <v>BC 766W</v>
      </c>
      <c r="C46" s="200" t="str">
        <f>+'QTY '!E46</f>
        <v>BC111-62092-2 B 1001</v>
      </c>
      <c r="D46" s="190"/>
      <c r="E46" s="191"/>
      <c r="F46" s="191"/>
      <c r="G46" s="191"/>
      <c r="H46" s="191"/>
      <c r="I46" s="191"/>
      <c r="J46" s="192"/>
      <c r="K46" s="192">
        <f>VLOOKUP($C46,'QTY '!E46:G121,3,0)</f>
        <v>1.4745000000000001E-2</v>
      </c>
      <c r="L46" s="193">
        <f>$K46*'QTY '!I46</f>
        <v>0</v>
      </c>
      <c r="M46" s="194">
        <f>$K46*'QTY '!J46</f>
        <v>0</v>
      </c>
      <c r="N46" s="195">
        <f>$K46*'QTY '!K46</f>
        <v>0</v>
      </c>
      <c r="O46" s="196">
        <f>$K46*'QTY '!L46</f>
        <v>0</v>
      </c>
      <c r="P46" s="205">
        <f>$K46*'QTY '!M46</f>
        <v>0</v>
      </c>
      <c r="Q46" s="197">
        <f>$K46*'QTY '!N46</f>
        <v>0</v>
      </c>
      <c r="R46" s="198">
        <f>$K46*'QTY '!O46</f>
        <v>0</v>
      </c>
      <c r="S46" s="193">
        <f>$K46*'QTY '!P46</f>
        <v>0</v>
      </c>
      <c r="T46" s="195">
        <f>$K46*'QTY '!Q46</f>
        <v>0</v>
      </c>
      <c r="U46" s="199">
        <f>$K46*'QTY '!R46</f>
        <v>0</v>
      </c>
      <c r="V46" s="193">
        <f>$K46*'QTY '!S46</f>
        <v>0</v>
      </c>
      <c r="W46" s="197">
        <f>$K46*'QTY '!T46</f>
        <v>0</v>
      </c>
      <c r="X46" s="198">
        <f>$K46*'QTY '!U46</f>
        <v>0</v>
      </c>
      <c r="Y46" s="193">
        <f>$K46*'QTY '!V46</f>
        <v>0</v>
      </c>
      <c r="Z46" s="193">
        <f>$K46*'QTY '!W46</f>
        <v>0</v>
      </c>
      <c r="AA46" s="193">
        <f>$K46*'QTY '!X46</f>
        <v>0</v>
      </c>
      <c r="AB46" s="193">
        <f>$K46*'QTY '!Y46</f>
        <v>0</v>
      </c>
      <c r="AC46" s="193">
        <f>$K46*'QTY '!Z46</f>
        <v>0</v>
      </c>
      <c r="AD46" s="193">
        <f>$K46*'QTY '!AA46</f>
        <v>0</v>
      </c>
      <c r="AE46" s="193">
        <f>$K46*'QTY '!AB46</f>
        <v>0</v>
      </c>
      <c r="AF46" s="193">
        <f>$K46*'QTY '!AC46</f>
        <v>0</v>
      </c>
      <c r="AG46" s="193">
        <f t="shared" si="0"/>
        <v>0</v>
      </c>
      <c r="AH46" s="23"/>
      <c r="AJ46" s="136"/>
      <c r="AK46" s="136"/>
      <c r="AL46" s="136"/>
      <c r="AM46" s="136"/>
      <c r="AN46" s="136"/>
      <c r="AP46" s="137"/>
      <c r="AQ46" s="137"/>
      <c r="AR46" s="137"/>
      <c r="AS46" s="137"/>
      <c r="AT46" s="137"/>
    </row>
    <row r="47" spans="1:46" s="135" customFormat="1" ht="15.75" customHeight="1" thickBot="1">
      <c r="A47" s="221"/>
      <c r="B47" s="219"/>
      <c r="C47" s="200" t="str">
        <f>+'QTY '!E47</f>
        <v>BC111-62062-2 B 1001</v>
      </c>
      <c r="D47" s="190"/>
      <c r="E47" s="191"/>
      <c r="F47" s="191"/>
      <c r="G47" s="191"/>
      <c r="H47" s="191"/>
      <c r="I47" s="191"/>
      <c r="J47" s="192"/>
      <c r="K47" s="192">
        <f>VLOOKUP($C47,'QTY '!E47:G122,3,0)</f>
        <v>1.4745000000000001E-2</v>
      </c>
      <c r="L47" s="193">
        <f>$K47*'QTY '!I47</f>
        <v>0</v>
      </c>
      <c r="M47" s="194">
        <f>$K47*'QTY '!J47</f>
        <v>0</v>
      </c>
      <c r="N47" s="195">
        <f>$K47*'QTY '!K47</f>
        <v>0</v>
      </c>
      <c r="O47" s="196">
        <f>$K47*'QTY '!L47</f>
        <v>0</v>
      </c>
      <c r="P47" s="205">
        <f>$K47*'QTY '!M47</f>
        <v>0</v>
      </c>
      <c r="Q47" s="197">
        <f>$K47*'QTY '!N47</f>
        <v>0</v>
      </c>
      <c r="R47" s="198">
        <f>$K47*'QTY '!O47</f>
        <v>0</v>
      </c>
      <c r="S47" s="193">
        <f>$K47*'QTY '!P47</f>
        <v>0</v>
      </c>
      <c r="T47" s="195">
        <f>$K47*'QTY '!Q47</f>
        <v>0</v>
      </c>
      <c r="U47" s="199">
        <f>$K47*'QTY '!R47</f>
        <v>0</v>
      </c>
      <c r="V47" s="193">
        <f>$K47*'QTY '!S47</f>
        <v>0</v>
      </c>
      <c r="W47" s="197">
        <f>$K47*'QTY '!T47</f>
        <v>0</v>
      </c>
      <c r="X47" s="198">
        <f>$K47*'QTY '!U47</f>
        <v>0</v>
      </c>
      <c r="Y47" s="193">
        <f>$K47*'QTY '!V47</f>
        <v>0</v>
      </c>
      <c r="Z47" s="193">
        <f>$K47*'QTY '!W47</f>
        <v>0</v>
      </c>
      <c r="AA47" s="193">
        <f>$K47*'QTY '!X47</f>
        <v>0</v>
      </c>
      <c r="AB47" s="193">
        <f>$K47*'QTY '!Y47</f>
        <v>0</v>
      </c>
      <c r="AC47" s="193">
        <f>$K47*'QTY '!Z47</f>
        <v>0</v>
      </c>
      <c r="AD47" s="193">
        <f>$K47*'QTY '!AA47</f>
        <v>0</v>
      </c>
      <c r="AE47" s="193">
        <f>$K47*'QTY '!AB47</f>
        <v>0</v>
      </c>
      <c r="AF47" s="193">
        <f>$K47*'QTY '!AC47</f>
        <v>0</v>
      </c>
      <c r="AG47" s="193">
        <f t="shared" si="0"/>
        <v>0</v>
      </c>
      <c r="AH47" s="23"/>
      <c r="AJ47" s="136"/>
      <c r="AK47" s="136"/>
      <c r="AL47" s="136"/>
      <c r="AM47" s="136"/>
      <c r="AN47" s="136"/>
      <c r="AP47" s="137"/>
      <c r="AQ47" s="137"/>
      <c r="AR47" s="137"/>
      <c r="AS47" s="137"/>
      <c r="AT47" s="137"/>
    </row>
    <row r="48" spans="1:46" s="135" customFormat="1" ht="15.75" customHeight="1" thickBot="1">
      <c r="A48" s="221"/>
      <c r="B48" s="219"/>
      <c r="C48" s="200" t="str">
        <f>+'QTY '!E48</f>
        <v>BC111-16P60-1   0001</v>
      </c>
      <c r="D48" s="190"/>
      <c r="E48" s="191"/>
      <c r="F48" s="191"/>
      <c r="G48" s="191"/>
      <c r="H48" s="191"/>
      <c r="I48" s="191"/>
      <c r="J48" s="192"/>
      <c r="K48" s="192">
        <f>VLOOKUP($C48,'QTY '!E48:G123,3,0)</f>
        <v>1.2330000000000001E-2</v>
      </c>
      <c r="L48" s="193">
        <f>$K48*'QTY '!I48</f>
        <v>0</v>
      </c>
      <c r="M48" s="194">
        <f>$K48*'QTY '!J48</f>
        <v>18.2484</v>
      </c>
      <c r="N48" s="195">
        <f>$K48*'QTY '!K48</f>
        <v>18.2484</v>
      </c>
      <c r="O48" s="196">
        <f>$K48*'QTY '!L48</f>
        <v>0</v>
      </c>
      <c r="P48" s="205">
        <f>$K48*'QTY '!M48</f>
        <v>26.8794</v>
      </c>
      <c r="Q48" s="197">
        <f>$K48*'QTY '!N48</f>
        <v>26.8794</v>
      </c>
      <c r="R48" s="198">
        <f>$K48*'QTY '!O48</f>
        <v>0</v>
      </c>
      <c r="S48" s="193">
        <f>$K48*'QTY '!P48</f>
        <v>20.961000000000002</v>
      </c>
      <c r="T48" s="195">
        <f>$K48*'QTY '!Q48</f>
        <v>20.961000000000002</v>
      </c>
      <c r="U48" s="199">
        <f>$K48*'QTY '!R48</f>
        <v>0</v>
      </c>
      <c r="V48" s="193">
        <f>$K48*'QTY '!S48</f>
        <v>18.741600000000002</v>
      </c>
      <c r="W48" s="197">
        <f>$K48*'QTY '!T48</f>
        <v>18.741600000000002</v>
      </c>
      <c r="X48" s="198">
        <f>$K48*'QTY '!U48</f>
        <v>0</v>
      </c>
      <c r="Y48" s="193">
        <f>$K48*'QTY '!V48</f>
        <v>20.961000000000002</v>
      </c>
      <c r="Z48" s="193">
        <f>$K48*'QTY '!W48</f>
        <v>20.961000000000002</v>
      </c>
      <c r="AA48" s="193">
        <f>$K48*'QTY '!X48</f>
        <v>0</v>
      </c>
      <c r="AB48" s="193">
        <f>$K48*'QTY '!Y48</f>
        <v>19.2348</v>
      </c>
      <c r="AC48" s="193">
        <f>$K48*'QTY '!Z48</f>
        <v>19.2348</v>
      </c>
      <c r="AD48" s="193">
        <f>$K48*'QTY '!AA48</f>
        <v>0</v>
      </c>
      <c r="AE48" s="193">
        <f>$K48*'QTY '!AB48</f>
        <v>19.2348</v>
      </c>
      <c r="AF48" s="193">
        <f>$K48*'QTY '!AC48</f>
        <v>19.2348</v>
      </c>
      <c r="AG48" s="193">
        <f t="shared" ref="AG48:AG51" si="11">+AD48+AF48-AE48</f>
        <v>0</v>
      </c>
      <c r="AH48" s="23"/>
      <c r="AJ48" s="136"/>
      <c r="AK48" s="136"/>
      <c r="AL48" s="136"/>
      <c r="AM48" s="136"/>
      <c r="AN48" s="136"/>
      <c r="AP48" s="137"/>
      <c r="AQ48" s="137"/>
      <c r="AR48" s="137"/>
      <c r="AS48" s="137"/>
      <c r="AT48" s="137"/>
    </row>
    <row r="49" spans="1:46" s="135" customFormat="1" ht="15.75" customHeight="1" thickBot="1">
      <c r="A49" s="221"/>
      <c r="B49" s="219"/>
      <c r="C49" s="200" t="str">
        <f>+'QTY '!E49</f>
        <v>BC111-16J40-1   0001</v>
      </c>
      <c r="D49" s="190"/>
      <c r="E49" s="191"/>
      <c r="F49" s="191"/>
      <c r="G49" s="191"/>
      <c r="H49" s="191"/>
      <c r="I49" s="191"/>
      <c r="J49" s="192"/>
      <c r="K49" s="192">
        <f>VLOOKUP($C49,'QTY '!E49:G124,3,0)</f>
        <v>1.2791666666666666E-2</v>
      </c>
      <c r="L49" s="193">
        <f>$K49*'QTY '!I49</f>
        <v>0</v>
      </c>
      <c r="M49" s="194">
        <f>$K49*'QTY '!J49</f>
        <v>65.493333333333339</v>
      </c>
      <c r="N49" s="195">
        <f>$K49*'QTY '!K49</f>
        <v>65.493333333333339</v>
      </c>
      <c r="O49" s="196">
        <f>$K49*'QTY '!L49</f>
        <v>0</v>
      </c>
      <c r="P49" s="205">
        <f>$K49*'QTY '!M49</f>
        <v>54.236666666666665</v>
      </c>
      <c r="Q49" s="197">
        <f>$K49*'QTY '!N49</f>
        <v>54.236666666666665</v>
      </c>
      <c r="R49" s="198">
        <f>$K49*'QTY '!O49</f>
        <v>0</v>
      </c>
      <c r="S49" s="193">
        <f>$K49*'QTY '!P49</f>
        <v>57.818333333333335</v>
      </c>
      <c r="T49" s="195">
        <f>$K49*'QTY '!Q49</f>
        <v>57.818333333333335</v>
      </c>
      <c r="U49" s="199">
        <f>$K49*'QTY '!R49</f>
        <v>0</v>
      </c>
      <c r="V49" s="193">
        <f>$K49*'QTY '!S49</f>
        <v>50.143333333333331</v>
      </c>
      <c r="W49" s="197">
        <f>$K49*'QTY '!T49</f>
        <v>50.143333333333331</v>
      </c>
      <c r="X49" s="198">
        <f>$K49*'QTY '!U49</f>
        <v>0</v>
      </c>
      <c r="Y49" s="193">
        <f>$K49*'QTY '!V49</f>
        <v>54.748333333333335</v>
      </c>
      <c r="Z49" s="193">
        <f>$K49*'QTY '!W49</f>
        <v>54.748333333333335</v>
      </c>
      <c r="AA49" s="193">
        <f>$K49*'QTY '!X49</f>
        <v>0</v>
      </c>
      <c r="AB49" s="193">
        <f>$K49*'QTY '!Y49</f>
        <v>50.655000000000001</v>
      </c>
      <c r="AC49" s="193">
        <f>$K49*'QTY '!Z49</f>
        <v>50.655000000000001</v>
      </c>
      <c r="AD49" s="193">
        <f>$K49*'QTY '!AA49</f>
        <v>0</v>
      </c>
      <c r="AE49" s="193">
        <f>$K49*'QTY '!AB49</f>
        <v>50.655000000000001</v>
      </c>
      <c r="AF49" s="193">
        <f>$K49*'QTY '!AC49</f>
        <v>50.655000000000001</v>
      </c>
      <c r="AG49" s="193">
        <f t="shared" si="11"/>
        <v>0</v>
      </c>
      <c r="AH49" s="23"/>
      <c r="AJ49" s="136"/>
      <c r="AK49" s="136"/>
      <c r="AL49" s="136"/>
      <c r="AM49" s="136"/>
      <c r="AN49" s="136"/>
      <c r="AP49" s="137"/>
      <c r="AQ49" s="137"/>
      <c r="AR49" s="137"/>
      <c r="AS49" s="137"/>
      <c r="AT49" s="137"/>
    </row>
    <row r="50" spans="1:46" s="135" customFormat="1" ht="15.75" customHeight="1" thickBot="1">
      <c r="A50" s="221"/>
      <c r="B50" s="219"/>
      <c r="C50" s="200" t="str">
        <f>+'QTY '!E50</f>
        <v>BC111-16R30-1   0001</v>
      </c>
      <c r="D50" s="190"/>
      <c r="E50" s="191"/>
      <c r="F50" s="191"/>
      <c r="G50" s="191"/>
      <c r="H50" s="191"/>
      <c r="I50" s="191"/>
      <c r="J50" s="192"/>
      <c r="K50" s="192">
        <f>VLOOKUP($C50,'QTY '!E50:G125,3,0)</f>
        <v>1.2791666666666666E-2</v>
      </c>
      <c r="L50" s="193">
        <f>$K50*'QTY '!I50</f>
        <v>0</v>
      </c>
      <c r="M50" s="194">
        <f>$K50*'QTY '!J50</f>
        <v>35.816666666666663</v>
      </c>
      <c r="N50" s="195">
        <f>$K50*'QTY '!K50</f>
        <v>35.816666666666663</v>
      </c>
      <c r="O50" s="196">
        <f>$K50*'QTY '!L50</f>
        <v>0</v>
      </c>
      <c r="P50" s="205">
        <f>$K50*'QTY '!M50</f>
        <v>18.931666666666665</v>
      </c>
      <c r="Q50" s="197">
        <f>$K50*'QTY '!N50</f>
        <v>18.931666666666665</v>
      </c>
      <c r="R50" s="198">
        <f>$K50*'QTY '!O50</f>
        <v>0</v>
      </c>
      <c r="S50" s="193">
        <f>$K50*'QTY '!P50</f>
        <v>26.606666666666666</v>
      </c>
      <c r="T50" s="195">
        <f>$K50*'QTY '!Q50</f>
        <v>26.606666666666666</v>
      </c>
      <c r="U50" s="199">
        <f>$K50*'QTY '!R50</f>
        <v>0</v>
      </c>
      <c r="V50" s="193">
        <f>$K50*'QTY '!S50</f>
        <v>24.048333333333332</v>
      </c>
      <c r="W50" s="197">
        <f>$K50*'QTY '!T50</f>
        <v>24.048333333333332</v>
      </c>
      <c r="X50" s="198">
        <f>$K50*'QTY '!U50</f>
        <v>0</v>
      </c>
      <c r="Y50" s="193">
        <f>$K50*'QTY '!V50</f>
        <v>26.094999999999999</v>
      </c>
      <c r="Z50" s="193">
        <f>$K50*'QTY '!W50</f>
        <v>26.094999999999999</v>
      </c>
      <c r="AA50" s="193">
        <f>$K50*'QTY '!X50</f>
        <v>0</v>
      </c>
      <c r="AB50" s="193">
        <f>$K50*'QTY '!Y50</f>
        <v>24.56</v>
      </c>
      <c r="AC50" s="193">
        <f>$K50*'QTY '!Z50</f>
        <v>24.56</v>
      </c>
      <c r="AD50" s="193">
        <f>$K50*'QTY '!AA50</f>
        <v>0</v>
      </c>
      <c r="AE50" s="193">
        <f>$K50*'QTY '!AB50</f>
        <v>24.56</v>
      </c>
      <c r="AF50" s="193">
        <f>$K50*'QTY '!AC50</f>
        <v>24.56</v>
      </c>
      <c r="AG50" s="193">
        <f t="shared" si="11"/>
        <v>0</v>
      </c>
      <c r="AH50" s="23"/>
      <c r="AJ50" s="136"/>
      <c r="AK50" s="136"/>
      <c r="AL50" s="136"/>
      <c r="AM50" s="136"/>
      <c r="AN50" s="136"/>
      <c r="AP50" s="137"/>
      <c r="AQ50" s="137"/>
      <c r="AR50" s="137"/>
      <c r="AS50" s="137"/>
      <c r="AT50" s="137"/>
    </row>
    <row r="51" spans="1:46" s="135" customFormat="1" ht="15.75" customHeight="1" thickBot="1">
      <c r="A51" s="221"/>
      <c r="B51" s="219"/>
      <c r="C51" s="200" t="str">
        <f>+'QTY '!E51</f>
        <v>BC111-16R90-1   0001</v>
      </c>
      <c r="D51" s="190"/>
      <c r="E51" s="191"/>
      <c r="F51" s="191"/>
      <c r="G51" s="191"/>
      <c r="H51" s="191"/>
      <c r="I51" s="191"/>
      <c r="J51" s="192"/>
      <c r="K51" s="192">
        <f>VLOOKUP($C51,'QTY '!E51:G126,3,0)</f>
        <v>1.2343333333333335E-2</v>
      </c>
      <c r="L51" s="193">
        <f>$K51*'QTY '!I51</f>
        <v>0</v>
      </c>
      <c r="M51" s="194">
        <f>$K51*'QTY '!J51</f>
        <v>17.527533333333334</v>
      </c>
      <c r="N51" s="195">
        <f>$K51*'QTY '!K51</f>
        <v>17.527533333333334</v>
      </c>
      <c r="O51" s="196">
        <f>$K51*'QTY '!L51</f>
        <v>0</v>
      </c>
      <c r="P51" s="205">
        <f>$K51*'QTY '!M51</f>
        <v>16.046333333333337</v>
      </c>
      <c r="Q51" s="197">
        <f>$K51*'QTY '!N51</f>
        <v>16.046333333333337</v>
      </c>
      <c r="R51" s="198">
        <f>$K51*'QTY '!O51</f>
        <v>0</v>
      </c>
      <c r="S51" s="193">
        <f>$K51*'QTY '!P51</f>
        <v>17.033800000000003</v>
      </c>
      <c r="T51" s="195">
        <f>$K51*'QTY '!Q51</f>
        <v>17.033800000000003</v>
      </c>
      <c r="U51" s="199">
        <f>$K51*'QTY '!R51</f>
        <v>0</v>
      </c>
      <c r="V51" s="193">
        <f>$K51*'QTY '!S51</f>
        <v>15.552600000000002</v>
      </c>
      <c r="W51" s="197">
        <f>$K51*'QTY '!T51</f>
        <v>15.552600000000002</v>
      </c>
      <c r="X51" s="198">
        <f>$K51*'QTY '!U51</f>
        <v>0</v>
      </c>
      <c r="Y51" s="193">
        <f>$K51*'QTY '!V51</f>
        <v>16.540066666666668</v>
      </c>
      <c r="Z51" s="193">
        <f>$K51*'QTY '!W51</f>
        <v>16.540066666666668</v>
      </c>
      <c r="AA51" s="193">
        <f>$K51*'QTY '!X51</f>
        <v>0</v>
      </c>
      <c r="AB51" s="193">
        <f>$K51*'QTY '!Y51</f>
        <v>15.058866666666669</v>
      </c>
      <c r="AC51" s="193">
        <f>$K51*'QTY '!Z51</f>
        <v>15.058866666666669</v>
      </c>
      <c r="AD51" s="193">
        <f>$K51*'QTY '!AA51</f>
        <v>0</v>
      </c>
      <c r="AE51" s="193">
        <f>$K51*'QTY '!AB51</f>
        <v>15.058866666666669</v>
      </c>
      <c r="AF51" s="193">
        <f>$K51*'QTY '!AC51</f>
        <v>15.058866666666669</v>
      </c>
      <c r="AG51" s="193">
        <f t="shared" si="11"/>
        <v>0</v>
      </c>
      <c r="AH51" s="23"/>
      <c r="AJ51" s="136"/>
      <c r="AK51" s="136"/>
      <c r="AL51" s="136"/>
      <c r="AM51" s="136"/>
      <c r="AN51" s="136"/>
      <c r="AP51" s="137"/>
      <c r="AQ51" s="137"/>
      <c r="AR51" s="137"/>
      <c r="AS51" s="137"/>
      <c r="AT51" s="137"/>
    </row>
    <row r="52" spans="1:46" s="135" customFormat="1" ht="15.75" customHeight="1">
      <c r="A52" s="221"/>
      <c r="B52" s="255"/>
      <c r="C52" s="200" t="str">
        <f>+'QTY '!E52</f>
        <v>DC111-V3G90 B 0101</v>
      </c>
      <c r="D52" s="190"/>
      <c r="E52" s="191"/>
      <c r="F52" s="191"/>
      <c r="G52" s="191"/>
      <c r="H52" s="191"/>
      <c r="I52" s="191"/>
      <c r="J52" s="192"/>
      <c r="K52" s="192">
        <f>VLOOKUP($C52,'QTY '!E52:G127,3,0)</f>
        <v>1.589666666666667E-2</v>
      </c>
      <c r="L52" s="193">
        <f>$K52*'QTY '!I52</f>
        <v>0</v>
      </c>
      <c r="M52" s="194">
        <f>$K52*'QTY '!J52</f>
        <v>0</v>
      </c>
      <c r="N52" s="195">
        <f>$K52*'QTY '!K52</f>
        <v>0</v>
      </c>
      <c r="O52" s="196">
        <f>$K52*'QTY '!L52</f>
        <v>0</v>
      </c>
      <c r="P52" s="205">
        <f>$K52*'QTY '!M52</f>
        <v>0</v>
      </c>
      <c r="Q52" s="197">
        <f>$K52*'QTY '!N52</f>
        <v>0</v>
      </c>
      <c r="R52" s="198">
        <f>$K52*'QTY '!O52</f>
        <v>0</v>
      </c>
      <c r="S52" s="193">
        <f>$K52*'QTY '!P52</f>
        <v>0.6358666666666668</v>
      </c>
      <c r="T52" s="195">
        <f>$K52*'QTY '!Q52</f>
        <v>0.6358666666666668</v>
      </c>
      <c r="U52" s="199">
        <f>$K52*'QTY '!R52</f>
        <v>0</v>
      </c>
      <c r="V52" s="193">
        <f>$K52*'QTY '!S52</f>
        <v>0.6358666666666668</v>
      </c>
      <c r="W52" s="197">
        <f>$K52*'QTY '!T52</f>
        <v>0.6358666666666668</v>
      </c>
      <c r="X52" s="198">
        <f>$K52*'QTY '!U52</f>
        <v>0</v>
      </c>
      <c r="Y52" s="193">
        <f>$K52*'QTY '!V52</f>
        <v>0</v>
      </c>
      <c r="Z52" s="193">
        <f>$K52*'QTY '!W52</f>
        <v>0</v>
      </c>
      <c r="AA52" s="193">
        <f>$K52*'QTY '!X52</f>
        <v>0</v>
      </c>
      <c r="AB52" s="193">
        <f>$K52*'QTY '!Y52</f>
        <v>0</v>
      </c>
      <c r="AC52" s="193">
        <f>$K52*'QTY '!Z52</f>
        <v>0</v>
      </c>
      <c r="AD52" s="193">
        <f>$K52*'QTY '!AA52</f>
        <v>0</v>
      </c>
      <c r="AE52" s="193">
        <f>$K52*'QTY '!AB52</f>
        <v>0</v>
      </c>
      <c r="AF52" s="193">
        <f>$K52*'QTY '!AC52</f>
        <v>0</v>
      </c>
      <c r="AG52" s="193">
        <f t="shared" ref="AG52:AG54" si="12">+AD52+AF52-AE52</f>
        <v>0</v>
      </c>
      <c r="AH52" s="23"/>
      <c r="AJ52" s="252"/>
      <c r="AK52" s="252"/>
      <c r="AL52" s="252"/>
      <c r="AM52" s="252"/>
      <c r="AN52" s="252"/>
      <c r="AP52" s="137"/>
      <c r="AQ52" s="137"/>
      <c r="AR52" s="137"/>
      <c r="AS52" s="137"/>
      <c r="AT52" s="137"/>
    </row>
    <row r="53" spans="1:46" s="135" customFormat="1" ht="15.75" customHeight="1">
      <c r="A53" s="221"/>
      <c r="B53" s="255"/>
      <c r="C53" s="200" t="str">
        <f>+'QTY '!E53</f>
        <v>DC111-V3C10 B 0101</v>
      </c>
      <c r="D53" s="190"/>
      <c r="E53" s="191"/>
      <c r="F53" s="191"/>
      <c r="G53" s="191"/>
      <c r="H53" s="191"/>
      <c r="I53" s="191"/>
      <c r="J53" s="192"/>
      <c r="K53" s="192">
        <f>VLOOKUP($C53,'QTY '!E53:G128,3,0)</f>
        <v>1.5188333333333335E-2</v>
      </c>
      <c r="L53" s="193">
        <f>$K53*'QTY '!I53</f>
        <v>0</v>
      </c>
      <c r="M53" s="194">
        <f>$K53*'QTY '!J53</f>
        <v>9.1130000000000013</v>
      </c>
      <c r="N53" s="195">
        <f>$K53*'QTY '!K53</f>
        <v>9.1130000000000013</v>
      </c>
      <c r="O53" s="196">
        <f>$K53*'QTY '!L53</f>
        <v>0</v>
      </c>
      <c r="P53" s="205">
        <f>$K53*'QTY '!M53</f>
        <v>9.7205333333333339</v>
      </c>
      <c r="Q53" s="197">
        <f>$K53*'QTY '!N53</f>
        <v>9.7205333333333339</v>
      </c>
      <c r="R53" s="198">
        <f>$K53*'QTY '!O53</f>
        <v>0</v>
      </c>
      <c r="S53" s="193">
        <f>$K53*'QTY '!P53</f>
        <v>5.4678000000000004</v>
      </c>
      <c r="T53" s="195">
        <f>$K53*'QTY '!Q53</f>
        <v>5.4678000000000004</v>
      </c>
      <c r="U53" s="199">
        <f>$K53*'QTY '!R53</f>
        <v>0</v>
      </c>
      <c r="V53" s="193">
        <f>$K53*'QTY '!S53</f>
        <v>4.2527333333333335</v>
      </c>
      <c r="W53" s="197">
        <f>$K53*'QTY '!T53</f>
        <v>4.2527333333333335</v>
      </c>
      <c r="X53" s="198">
        <f>$K53*'QTY '!U53</f>
        <v>0</v>
      </c>
      <c r="Y53" s="193">
        <f>$K53*'QTY '!V53</f>
        <v>5.4678000000000004</v>
      </c>
      <c r="Z53" s="193">
        <f>$K53*'QTY '!W53</f>
        <v>5.4678000000000004</v>
      </c>
      <c r="AA53" s="193">
        <f>$K53*'QTY '!X53</f>
        <v>0</v>
      </c>
      <c r="AB53" s="193">
        <f>$K53*'QTY '!Y53</f>
        <v>9.1130000000000013</v>
      </c>
      <c r="AC53" s="193">
        <f>$K53*'QTY '!Z53</f>
        <v>9.1130000000000013</v>
      </c>
      <c r="AD53" s="193">
        <f>$K53*'QTY '!AA53</f>
        <v>0</v>
      </c>
      <c r="AE53" s="193">
        <f>$K53*'QTY '!AB53</f>
        <v>9.1130000000000013</v>
      </c>
      <c r="AF53" s="193">
        <f>$K53*'QTY '!AC53</f>
        <v>9.1130000000000013</v>
      </c>
      <c r="AG53" s="193">
        <f t="shared" si="12"/>
        <v>0</v>
      </c>
      <c r="AH53" s="23"/>
      <c r="AJ53" s="252"/>
      <c r="AK53" s="252"/>
      <c r="AL53" s="252"/>
      <c r="AM53" s="252"/>
      <c r="AN53" s="252"/>
      <c r="AP53" s="137"/>
      <c r="AQ53" s="137"/>
      <c r="AR53" s="137"/>
      <c r="AS53" s="137"/>
      <c r="AT53" s="137"/>
    </row>
    <row r="54" spans="1:46" s="135" customFormat="1" ht="15.75" customHeight="1">
      <c r="A54" s="221"/>
      <c r="B54" s="255"/>
      <c r="C54" s="200" t="str">
        <f>+'QTY '!E54</f>
        <v>DC111-V3C50 B 0101</v>
      </c>
      <c r="D54" s="190"/>
      <c r="E54" s="191"/>
      <c r="F54" s="191"/>
      <c r="G54" s="191"/>
      <c r="H54" s="191"/>
      <c r="I54" s="191"/>
      <c r="J54" s="192"/>
      <c r="K54" s="192">
        <f>VLOOKUP($C54,'QTY '!E54:G129,3,0)</f>
        <v>1.4901666666666667E-2</v>
      </c>
      <c r="L54" s="193">
        <f>$K54*'QTY '!I54</f>
        <v>0</v>
      </c>
      <c r="M54" s="194">
        <f>$K54*'QTY '!J54</f>
        <v>92.986400000000003</v>
      </c>
      <c r="N54" s="195">
        <f>$K54*'QTY '!K54</f>
        <v>92.986400000000003</v>
      </c>
      <c r="O54" s="196">
        <f>$K54*'QTY '!L54</f>
        <v>0</v>
      </c>
      <c r="P54" s="205">
        <f>$K54*'QTY '!M54</f>
        <v>69.739800000000002</v>
      </c>
      <c r="Q54" s="197">
        <f>$K54*'QTY '!N54</f>
        <v>69.739800000000002</v>
      </c>
      <c r="R54" s="198">
        <f>$K54*'QTY '!O54</f>
        <v>0</v>
      </c>
      <c r="S54" s="193">
        <f>$K54*'QTY '!P54</f>
        <v>61.990933333333338</v>
      </c>
      <c r="T54" s="195">
        <f>$K54*'QTY '!Q54</f>
        <v>61.990933333333338</v>
      </c>
      <c r="U54" s="199">
        <f>$K54*'QTY '!R54</f>
        <v>0</v>
      </c>
      <c r="V54" s="193">
        <f>$K54*'QTY '!S54</f>
        <v>53.646000000000001</v>
      </c>
      <c r="W54" s="197">
        <f>$K54*'QTY '!T54</f>
        <v>53.646000000000001</v>
      </c>
      <c r="X54" s="198">
        <f>$K54*'QTY '!U54</f>
        <v>0</v>
      </c>
      <c r="Y54" s="193">
        <f>$K54*'QTY '!V54</f>
        <v>57.818466666666666</v>
      </c>
      <c r="Z54" s="193">
        <f>$K54*'QTY '!W54</f>
        <v>57.818466666666666</v>
      </c>
      <c r="AA54" s="193">
        <f>$K54*'QTY '!X54</f>
        <v>0</v>
      </c>
      <c r="AB54" s="193">
        <f>$K54*'QTY '!Y54</f>
        <v>64.971266666666665</v>
      </c>
      <c r="AC54" s="193">
        <f>$K54*'QTY '!Z54</f>
        <v>64.971266666666665</v>
      </c>
      <c r="AD54" s="193">
        <f>$K54*'QTY '!AA54</f>
        <v>0</v>
      </c>
      <c r="AE54" s="193">
        <f>$K54*'QTY '!AB54</f>
        <v>64.971266666666665</v>
      </c>
      <c r="AF54" s="193">
        <f>$K54*'QTY '!AC54</f>
        <v>64.971266666666665</v>
      </c>
      <c r="AG54" s="193">
        <f t="shared" si="12"/>
        <v>0</v>
      </c>
      <c r="AH54" s="23"/>
      <c r="AJ54" s="252"/>
      <c r="AK54" s="252"/>
      <c r="AL54" s="252"/>
      <c r="AM54" s="252"/>
      <c r="AN54" s="252"/>
      <c r="AP54" s="137"/>
      <c r="AQ54" s="137"/>
      <c r="AR54" s="137"/>
      <c r="AS54" s="137"/>
      <c r="AT54" s="137"/>
    </row>
    <row r="55" spans="1:46" s="135" customFormat="1" ht="15.75" customHeight="1">
      <c r="A55" s="221"/>
      <c r="B55" s="255"/>
      <c r="C55" s="200" t="str">
        <f>+'QTY '!E55</f>
        <v>BC111-1KU50-2   0001</v>
      </c>
      <c r="D55" s="267"/>
      <c r="E55" s="23"/>
      <c r="F55" s="23"/>
      <c r="G55" s="23"/>
      <c r="H55" s="23"/>
      <c r="I55" s="23"/>
      <c r="J55" s="250"/>
      <c r="K55" s="250">
        <f>VLOOKUP($C55,'QTY '!E55:G130,3,0)</f>
        <v>1.3601666666666668E-2</v>
      </c>
      <c r="L55" s="251">
        <f>$K55*'QTY '!I55</f>
        <v>0</v>
      </c>
      <c r="M55" s="259">
        <f>$K55*'QTY '!J55</f>
        <v>0.81610000000000005</v>
      </c>
      <c r="N55" s="260">
        <f>$K55*'QTY '!K55</f>
        <v>0.81610000000000005</v>
      </c>
      <c r="O55" s="261">
        <f>$K55*'QTY '!L55</f>
        <v>0</v>
      </c>
      <c r="P55" s="262">
        <f>$K55*'QTY '!M55</f>
        <v>1.6322000000000001</v>
      </c>
      <c r="Q55" s="260">
        <f>$K55*'QTY '!N55</f>
        <v>1.6322000000000001</v>
      </c>
      <c r="R55" s="263">
        <f>$K55*'QTY '!O55</f>
        <v>0</v>
      </c>
      <c r="S55" s="251">
        <f>$K55*'QTY '!P55</f>
        <v>0.81610000000000005</v>
      </c>
      <c r="T55" s="260">
        <f>$K55*'QTY '!Q55</f>
        <v>0.81610000000000005</v>
      </c>
      <c r="U55" s="263">
        <f>$K55*'QTY '!R55</f>
        <v>0</v>
      </c>
      <c r="V55" s="251">
        <f>$K55*'QTY '!S55</f>
        <v>0</v>
      </c>
      <c r="W55" s="260">
        <f>$K55*'QTY '!T55</f>
        <v>0</v>
      </c>
      <c r="X55" s="263">
        <f>$K55*'QTY '!U55</f>
        <v>0</v>
      </c>
      <c r="Y55" s="251">
        <f>$K55*'QTY '!V55</f>
        <v>0.81610000000000005</v>
      </c>
      <c r="Z55" s="251">
        <f>$K55*'QTY '!W55</f>
        <v>0.81610000000000005</v>
      </c>
      <c r="AA55" s="251">
        <f>$K55*'QTY '!X55</f>
        <v>0</v>
      </c>
      <c r="AB55" s="251">
        <f>$K55*'QTY '!Y55</f>
        <v>0.81610000000000005</v>
      </c>
      <c r="AC55" s="251">
        <f>$K55*'QTY '!Z55</f>
        <v>0.81610000000000005</v>
      </c>
      <c r="AD55" s="251">
        <f>$K55*'QTY '!AA55</f>
        <v>0</v>
      </c>
      <c r="AE55" s="251">
        <f>$K55*'QTY '!AB55</f>
        <v>0.81610000000000005</v>
      </c>
      <c r="AF55" s="251">
        <f>$K55*'QTY '!AC55</f>
        <v>0.81610000000000005</v>
      </c>
      <c r="AG55" s="251">
        <f t="shared" ref="AG55:AG84" si="13">+AD55+AF55-AE55</f>
        <v>0</v>
      </c>
      <c r="AH55" s="23"/>
      <c r="AJ55" s="252"/>
      <c r="AK55" s="252"/>
      <c r="AL55" s="252"/>
      <c r="AM55" s="252"/>
      <c r="AN55" s="252"/>
      <c r="AP55" s="137"/>
      <c r="AQ55" s="137"/>
      <c r="AR55" s="137"/>
      <c r="AS55" s="137"/>
      <c r="AT55" s="137"/>
    </row>
    <row r="56" spans="1:46" s="135" customFormat="1" ht="15.75" customHeight="1">
      <c r="A56" s="221"/>
      <c r="B56" s="255"/>
      <c r="C56" s="200" t="str">
        <f>+'QTY '!E56</f>
        <v>JN111-62063-3   0002</v>
      </c>
      <c r="D56" s="267"/>
      <c r="E56" s="23"/>
      <c r="F56" s="23"/>
      <c r="G56" s="23"/>
      <c r="H56" s="23"/>
      <c r="I56" s="23"/>
      <c r="J56" s="250"/>
      <c r="K56" s="250">
        <f>VLOOKUP($C56,'QTY '!E56:G131,3,0)</f>
        <v>2.1368333333333329E-2</v>
      </c>
      <c r="L56" s="251">
        <f>$K56*'QTY '!I56</f>
        <v>0</v>
      </c>
      <c r="M56" s="259">
        <f>$K56*'QTY '!J56</f>
        <v>0</v>
      </c>
      <c r="N56" s="260">
        <f>$K56*'QTY '!K56</f>
        <v>0</v>
      </c>
      <c r="O56" s="261">
        <f>$K56*'QTY '!L56</f>
        <v>0</v>
      </c>
      <c r="P56" s="262">
        <f>$K56*'QTY '!M56</f>
        <v>0</v>
      </c>
      <c r="Q56" s="260">
        <f>$K56*'QTY '!N56</f>
        <v>0</v>
      </c>
      <c r="R56" s="263">
        <f>$K56*'QTY '!O56</f>
        <v>0</v>
      </c>
      <c r="S56" s="251">
        <f>$K56*'QTY '!P56</f>
        <v>0</v>
      </c>
      <c r="T56" s="260">
        <f>$K56*'QTY '!Q56</f>
        <v>0</v>
      </c>
      <c r="U56" s="263">
        <f>$K56*'QTY '!R56</f>
        <v>0</v>
      </c>
      <c r="V56" s="251">
        <f>$K56*'QTY '!S56</f>
        <v>0</v>
      </c>
      <c r="W56" s="260">
        <f>$K56*'QTY '!T56</f>
        <v>0</v>
      </c>
      <c r="X56" s="263">
        <f>$K56*'QTY '!U56</f>
        <v>0</v>
      </c>
      <c r="Y56" s="251">
        <f>$K56*'QTY '!V56</f>
        <v>0</v>
      </c>
      <c r="Z56" s="251">
        <f>$K56*'QTY '!W56</f>
        <v>0</v>
      </c>
      <c r="AA56" s="251">
        <f>$K56*'QTY '!X56</f>
        <v>0</v>
      </c>
      <c r="AB56" s="251">
        <f>$K56*'QTY '!Y56</f>
        <v>0</v>
      </c>
      <c r="AC56" s="251">
        <f>$K56*'QTY '!Z56</f>
        <v>0</v>
      </c>
      <c r="AD56" s="251">
        <f>$K56*'QTY '!AA56</f>
        <v>0</v>
      </c>
      <c r="AE56" s="251">
        <f>$K56*'QTY '!AB56</f>
        <v>0</v>
      </c>
      <c r="AF56" s="251">
        <f>$K56*'QTY '!AC56</f>
        <v>0</v>
      </c>
      <c r="AG56" s="251">
        <f t="shared" si="13"/>
        <v>0</v>
      </c>
      <c r="AH56" s="23"/>
      <c r="AJ56" s="252"/>
      <c r="AK56" s="252"/>
      <c r="AL56" s="252"/>
      <c r="AM56" s="252"/>
      <c r="AN56" s="252"/>
      <c r="AP56" s="137"/>
      <c r="AQ56" s="137"/>
      <c r="AR56" s="137"/>
      <c r="AS56" s="137"/>
      <c r="AT56" s="137"/>
    </row>
    <row r="57" spans="1:46" s="135" customFormat="1" ht="15.75" customHeight="1">
      <c r="A57" s="221"/>
      <c r="B57" s="255"/>
      <c r="C57" s="200" t="str">
        <f>+'QTY '!E57</f>
        <v>JN111-62063-4   0002</v>
      </c>
      <c r="D57" s="267"/>
      <c r="E57" s="23"/>
      <c r="F57" s="23"/>
      <c r="G57" s="23"/>
      <c r="H57" s="23"/>
      <c r="I57" s="23"/>
      <c r="J57" s="250"/>
      <c r="K57" s="250">
        <f>VLOOKUP($C57,'QTY '!E57:G132,3,0)</f>
        <v>1.7923333333333333E-2</v>
      </c>
      <c r="L57" s="251">
        <f>$K57*'QTY '!I57</f>
        <v>0</v>
      </c>
      <c r="M57" s="259">
        <f>$K57*'QTY '!J57</f>
        <v>0</v>
      </c>
      <c r="N57" s="260">
        <f>$K57*'QTY '!K57</f>
        <v>0</v>
      </c>
      <c r="O57" s="261">
        <f>$K57*'QTY '!L57</f>
        <v>0</v>
      </c>
      <c r="P57" s="262">
        <f>$K57*'QTY '!M57</f>
        <v>0</v>
      </c>
      <c r="Q57" s="260">
        <f>$K57*'QTY '!N57</f>
        <v>0</v>
      </c>
      <c r="R57" s="263">
        <f>$K57*'QTY '!O57</f>
        <v>0</v>
      </c>
      <c r="S57" s="251">
        <f>$K57*'QTY '!P57</f>
        <v>0</v>
      </c>
      <c r="T57" s="260">
        <f>$K57*'QTY '!Q57</f>
        <v>0</v>
      </c>
      <c r="U57" s="263">
        <f>$K57*'QTY '!R57</f>
        <v>0</v>
      </c>
      <c r="V57" s="251">
        <f>$K57*'QTY '!S57</f>
        <v>0</v>
      </c>
      <c r="W57" s="260">
        <f>$K57*'QTY '!T57</f>
        <v>0</v>
      </c>
      <c r="X57" s="263">
        <f>$K57*'QTY '!U57</f>
        <v>0</v>
      </c>
      <c r="Y57" s="251">
        <f>$K57*'QTY '!V57</f>
        <v>0</v>
      </c>
      <c r="Z57" s="251">
        <f>$K57*'QTY '!W57</f>
        <v>0</v>
      </c>
      <c r="AA57" s="251">
        <f>$K57*'QTY '!X57</f>
        <v>0</v>
      </c>
      <c r="AB57" s="251">
        <f>$K57*'QTY '!Y57</f>
        <v>0</v>
      </c>
      <c r="AC57" s="251">
        <f>$K57*'QTY '!Z57</f>
        <v>0</v>
      </c>
      <c r="AD57" s="251">
        <f>$K57*'QTY '!AA57</f>
        <v>0</v>
      </c>
      <c r="AE57" s="251">
        <f>$K57*'QTY '!AB57</f>
        <v>0</v>
      </c>
      <c r="AF57" s="251">
        <f>$K57*'QTY '!AC57</f>
        <v>0</v>
      </c>
      <c r="AG57" s="251">
        <f t="shared" si="13"/>
        <v>0</v>
      </c>
      <c r="AH57" s="23"/>
      <c r="AJ57" s="252"/>
      <c r="AK57" s="252"/>
      <c r="AL57" s="252"/>
      <c r="AM57" s="252"/>
      <c r="AN57" s="252"/>
      <c r="AP57" s="137"/>
      <c r="AQ57" s="137"/>
      <c r="AR57" s="137"/>
      <c r="AS57" s="137"/>
      <c r="AT57" s="137"/>
    </row>
    <row r="58" spans="1:46" s="135" customFormat="1" ht="15.75" customHeight="1">
      <c r="A58" s="221"/>
      <c r="B58" s="255"/>
      <c r="C58" s="200" t="str">
        <f>+'QTY '!E58</f>
        <v>JN111-62093-3   0002</v>
      </c>
      <c r="D58" s="267"/>
      <c r="E58" s="23"/>
      <c r="F58" s="23"/>
      <c r="G58" s="23"/>
      <c r="H58" s="23"/>
      <c r="I58" s="23"/>
      <c r="J58" s="250"/>
      <c r="K58" s="250">
        <f>VLOOKUP($C58,'QTY '!E58:G133,3,0)</f>
        <v>1.6306666666666667E-2</v>
      </c>
      <c r="L58" s="251">
        <f>$K58*'QTY '!I58</f>
        <v>0</v>
      </c>
      <c r="M58" s="259">
        <f>$K58*'QTY '!J58</f>
        <v>0</v>
      </c>
      <c r="N58" s="260">
        <f>$K58*'QTY '!K58</f>
        <v>0</v>
      </c>
      <c r="O58" s="261">
        <f>$K58*'QTY '!L58</f>
        <v>0</v>
      </c>
      <c r="P58" s="262">
        <f>$K58*'QTY '!M58</f>
        <v>0</v>
      </c>
      <c r="Q58" s="260">
        <f>$K58*'QTY '!N58</f>
        <v>0</v>
      </c>
      <c r="R58" s="263">
        <f>$K58*'QTY '!O58</f>
        <v>0</v>
      </c>
      <c r="S58" s="251">
        <f>$K58*'QTY '!P58</f>
        <v>0</v>
      </c>
      <c r="T58" s="260">
        <f>$K58*'QTY '!Q58</f>
        <v>0</v>
      </c>
      <c r="U58" s="263">
        <f>$K58*'QTY '!R58</f>
        <v>0</v>
      </c>
      <c r="V58" s="251">
        <f>$K58*'QTY '!S58</f>
        <v>0</v>
      </c>
      <c r="W58" s="260">
        <f>$K58*'QTY '!T58</f>
        <v>0</v>
      </c>
      <c r="X58" s="263">
        <f>$K58*'QTY '!U58</f>
        <v>0</v>
      </c>
      <c r="Y58" s="251">
        <f>$K58*'QTY '!V58</f>
        <v>0</v>
      </c>
      <c r="Z58" s="251">
        <f>$K58*'QTY '!W58</f>
        <v>0</v>
      </c>
      <c r="AA58" s="251">
        <f>$K58*'QTY '!X58</f>
        <v>0</v>
      </c>
      <c r="AB58" s="251">
        <f>$K58*'QTY '!Y58</f>
        <v>0</v>
      </c>
      <c r="AC58" s="251">
        <f>$K58*'QTY '!Z58</f>
        <v>0</v>
      </c>
      <c r="AD58" s="251">
        <f>$K58*'QTY '!AA58</f>
        <v>0</v>
      </c>
      <c r="AE58" s="251">
        <f>$K58*'QTY '!AB58</f>
        <v>0</v>
      </c>
      <c r="AF58" s="251">
        <f>$K58*'QTY '!AC58</f>
        <v>0</v>
      </c>
      <c r="AG58" s="251">
        <f t="shared" si="13"/>
        <v>0</v>
      </c>
      <c r="AH58" s="23"/>
      <c r="AJ58" s="252"/>
      <c r="AK58" s="252"/>
      <c r="AL58" s="252"/>
      <c r="AM58" s="252"/>
      <c r="AN58" s="252"/>
      <c r="AP58" s="137"/>
      <c r="AQ58" s="137"/>
      <c r="AR58" s="137"/>
      <c r="AS58" s="137"/>
      <c r="AT58" s="137"/>
    </row>
    <row r="59" spans="1:46" s="135" customFormat="1" ht="15.75" customHeight="1">
      <c r="A59" s="221"/>
      <c r="B59" s="255"/>
      <c r="C59" s="200" t="str">
        <f>+'QTY '!E59</f>
        <v>JN111-62093-4   0002</v>
      </c>
      <c r="D59" s="267"/>
      <c r="E59" s="23"/>
      <c r="F59" s="23"/>
      <c r="G59" s="23"/>
      <c r="H59" s="23"/>
      <c r="I59" s="23"/>
      <c r="J59" s="250"/>
      <c r="K59" s="250">
        <f>VLOOKUP($C59,'QTY '!E59:G134,3,0)</f>
        <v>1.8749999999999999E-2</v>
      </c>
      <c r="L59" s="251">
        <f>$K59*'QTY '!I59</f>
        <v>0</v>
      </c>
      <c r="M59" s="259">
        <f>$K59*'QTY '!J59</f>
        <v>0</v>
      </c>
      <c r="N59" s="260">
        <f>$K59*'QTY '!K59</f>
        <v>0</v>
      </c>
      <c r="O59" s="261">
        <f>$K59*'QTY '!L59</f>
        <v>0</v>
      </c>
      <c r="P59" s="262">
        <f>$K59*'QTY '!M59</f>
        <v>0</v>
      </c>
      <c r="Q59" s="260">
        <f>$K59*'QTY '!N59</f>
        <v>0</v>
      </c>
      <c r="R59" s="263">
        <f>$K59*'QTY '!O59</f>
        <v>0</v>
      </c>
      <c r="S59" s="251">
        <f>$K59*'QTY '!P59</f>
        <v>0</v>
      </c>
      <c r="T59" s="260">
        <f>$K59*'QTY '!Q59</f>
        <v>0</v>
      </c>
      <c r="U59" s="263">
        <f>$K59*'QTY '!R59</f>
        <v>0</v>
      </c>
      <c r="V59" s="251">
        <f>$K59*'QTY '!S59</f>
        <v>0</v>
      </c>
      <c r="W59" s="260">
        <f>$K59*'QTY '!T59</f>
        <v>0</v>
      </c>
      <c r="X59" s="263">
        <f>$K59*'QTY '!U59</f>
        <v>0</v>
      </c>
      <c r="Y59" s="251">
        <f>$K59*'QTY '!V59</f>
        <v>0</v>
      </c>
      <c r="Z59" s="251">
        <f>$K59*'QTY '!W59</f>
        <v>0</v>
      </c>
      <c r="AA59" s="251">
        <f>$K59*'QTY '!X59</f>
        <v>0</v>
      </c>
      <c r="AB59" s="251">
        <f>$K59*'QTY '!Y59</f>
        <v>0</v>
      </c>
      <c r="AC59" s="251">
        <f>$K59*'QTY '!Z59</f>
        <v>0</v>
      </c>
      <c r="AD59" s="251">
        <f>$K59*'QTY '!AA59</f>
        <v>0</v>
      </c>
      <c r="AE59" s="251">
        <f>$K59*'QTY '!AB59</f>
        <v>0</v>
      </c>
      <c r="AF59" s="251">
        <f>$K59*'QTY '!AC59</f>
        <v>0</v>
      </c>
      <c r="AG59" s="251">
        <f t="shared" si="13"/>
        <v>0</v>
      </c>
      <c r="AH59" s="23"/>
      <c r="AJ59" s="252"/>
      <c r="AK59" s="252"/>
      <c r="AL59" s="252"/>
      <c r="AM59" s="252"/>
      <c r="AN59" s="252"/>
      <c r="AP59" s="137"/>
      <c r="AQ59" s="137"/>
      <c r="AR59" s="137"/>
      <c r="AS59" s="137"/>
      <c r="AT59" s="137"/>
    </row>
    <row r="60" spans="1:46" s="135" customFormat="1" ht="15.75" customHeight="1">
      <c r="A60" s="221"/>
      <c r="B60" s="255"/>
      <c r="C60" s="200" t="str">
        <f>+'QTY '!E60</f>
        <v>BC111-5DR50-1 B 0001</v>
      </c>
      <c r="D60" s="267"/>
      <c r="E60" s="23"/>
      <c r="F60" s="23"/>
      <c r="G60" s="23"/>
      <c r="H60" s="23"/>
      <c r="I60" s="23"/>
      <c r="J60" s="250"/>
      <c r="K60" s="250">
        <f>VLOOKUP($C60,'QTY '!E60:G135,3,0)</f>
        <v>1.291E-2</v>
      </c>
      <c r="L60" s="251">
        <f>$K60*'QTY '!I60</f>
        <v>0</v>
      </c>
      <c r="M60" s="259">
        <f>$K60*'QTY '!J60</f>
        <v>0</v>
      </c>
      <c r="N60" s="260">
        <f>$K60*'QTY '!K60</f>
        <v>0</v>
      </c>
      <c r="O60" s="261">
        <f>$K60*'QTY '!L60</f>
        <v>0</v>
      </c>
      <c r="P60" s="262">
        <f>$K60*'QTY '!M60</f>
        <v>0</v>
      </c>
      <c r="Q60" s="260">
        <f>$K60*'QTY '!N60</f>
        <v>0</v>
      </c>
      <c r="R60" s="263">
        <f>$K60*'QTY '!O60</f>
        <v>0</v>
      </c>
      <c r="S60" s="251">
        <f>$K60*'QTY '!P60</f>
        <v>0</v>
      </c>
      <c r="T60" s="260">
        <f>$K60*'QTY '!Q60</f>
        <v>0</v>
      </c>
      <c r="U60" s="263">
        <f>$K60*'QTY '!R60</f>
        <v>0</v>
      </c>
      <c r="V60" s="251">
        <f>$K60*'QTY '!S60</f>
        <v>0</v>
      </c>
      <c r="W60" s="260">
        <f>$K60*'QTY '!T60</f>
        <v>0</v>
      </c>
      <c r="X60" s="263">
        <f>$K60*'QTY '!U60</f>
        <v>0</v>
      </c>
      <c r="Y60" s="251">
        <f>$K60*'QTY '!V60</f>
        <v>0</v>
      </c>
      <c r="Z60" s="251">
        <f>$K60*'QTY '!W60</f>
        <v>0</v>
      </c>
      <c r="AA60" s="251">
        <f>$K60*'QTY '!X60</f>
        <v>0</v>
      </c>
      <c r="AB60" s="251">
        <f>$K60*'QTY '!Y60</f>
        <v>0</v>
      </c>
      <c r="AC60" s="251">
        <f>$K60*'QTY '!Z60</f>
        <v>0</v>
      </c>
      <c r="AD60" s="251">
        <f>$K60*'QTY '!AA60</f>
        <v>0</v>
      </c>
      <c r="AE60" s="251">
        <f>$K60*'QTY '!AB60</f>
        <v>0</v>
      </c>
      <c r="AF60" s="251">
        <f>$K60*'QTY '!AC60</f>
        <v>0</v>
      </c>
      <c r="AG60" s="251">
        <f t="shared" si="13"/>
        <v>0</v>
      </c>
      <c r="AH60" s="23"/>
      <c r="AJ60" s="252"/>
      <c r="AK60" s="252"/>
      <c r="AL60" s="252"/>
      <c r="AM60" s="252"/>
      <c r="AN60" s="252"/>
      <c r="AP60" s="137"/>
      <c r="AQ60" s="137"/>
      <c r="AR60" s="137"/>
      <c r="AS60" s="137"/>
      <c r="AT60" s="137"/>
    </row>
    <row r="61" spans="1:46" s="135" customFormat="1" ht="15.75" customHeight="1">
      <c r="A61" s="221"/>
      <c r="B61" s="255"/>
      <c r="C61" s="200" t="str">
        <f>+'QTY '!E61</f>
        <v>BC111-5DR50-2 B 0001</v>
      </c>
      <c r="D61" s="267"/>
      <c r="E61" s="23"/>
      <c r="F61" s="23"/>
      <c r="G61" s="23"/>
      <c r="H61" s="23"/>
      <c r="I61" s="23"/>
      <c r="J61" s="250"/>
      <c r="K61" s="250">
        <f>VLOOKUP($C61,'QTY '!E61:G136,3,0)</f>
        <v>1.3510000000000001E-2</v>
      </c>
      <c r="L61" s="251">
        <f>$K61*'QTY '!I61</f>
        <v>0</v>
      </c>
      <c r="M61" s="259">
        <f>$K61*'QTY '!J61</f>
        <v>0</v>
      </c>
      <c r="N61" s="260">
        <f>$K61*'QTY '!K61</f>
        <v>0</v>
      </c>
      <c r="O61" s="261">
        <f>$K61*'QTY '!L61</f>
        <v>0</v>
      </c>
      <c r="P61" s="262">
        <f>$K61*'QTY '!M61</f>
        <v>0</v>
      </c>
      <c r="Q61" s="260">
        <f>$K61*'QTY '!N61</f>
        <v>0</v>
      </c>
      <c r="R61" s="263">
        <f>$K61*'QTY '!O61</f>
        <v>0</v>
      </c>
      <c r="S61" s="251">
        <f>$K61*'QTY '!P61</f>
        <v>0</v>
      </c>
      <c r="T61" s="260">
        <f>$K61*'QTY '!Q61</f>
        <v>0</v>
      </c>
      <c r="U61" s="263">
        <f>$K61*'QTY '!R61</f>
        <v>0</v>
      </c>
      <c r="V61" s="251">
        <f>$K61*'QTY '!S61</f>
        <v>0</v>
      </c>
      <c r="W61" s="260">
        <f>$K61*'QTY '!T61</f>
        <v>0</v>
      </c>
      <c r="X61" s="263">
        <f>$K61*'QTY '!U61</f>
        <v>0</v>
      </c>
      <c r="Y61" s="251">
        <f>$K61*'QTY '!V61</f>
        <v>0</v>
      </c>
      <c r="Z61" s="251">
        <f>$K61*'QTY '!W61</f>
        <v>0</v>
      </c>
      <c r="AA61" s="251">
        <f>$K61*'QTY '!X61</f>
        <v>0</v>
      </c>
      <c r="AB61" s="251">
        <f>$K61*'QTY '!Y61</f>
        <v>0</v>
      </c>
      <c r="AC61" s="251">
        <f>$K61*'QTY '!Z61</f>
        <v>0</v>
      </c>
      <c r="AD61" s="251">
        <f>$K61*'QTY '!AA61</f>
        <v>0</v>
      </c>
      <c r="AE61" s="251">
        <f>$K61*'QTY '!AB61</f>
        <v>0</v>
      </c>
      <c r="AF61" s="251">
        <f>$K61*'QTY '!AC61</f>
        <v>0</v>
      </c>
      <c r="AG61" s="251">
        <f t="shared" si="13"/>
        <v>0</v>
      </c>
      <c r="AH61" s="23"/>
      <c r="AJ61" s="252"/>
      <c r="AK61" s="252"/>
      <c r="AL61" s="252"/>
      <c r="AM61" s="252"/>
      <c r="AN61" s="252"/>
      <c r="AP61" s="137"/>
      <c r="AQ61" s="137"/>
      <c r="AR61" s="137"/>
      <c r="AS61" s="137"/>
      <c r="AT61" s="137"/>
    </row>
    <row r="62" spans="1:46" s="135" customFormat="1" ht="15.75" customHeight="1">
      <c r="A62" s="221"/>
      <c r="B62" s="255"/>
      <c r="C62" s="200" t="str">
        <f>+'QTY '!E62</f>
        <v>BC111-V1020-1 D 0101</v>
      </c>
      <c r="D62" s="267"/>
      <c r="E62" s="23"/>
      <c r="F62" s="23"/>
      <c r="G62" s="23"/>
      <c r="H62" s="23"/>
      <c r="I62" s="23"/>
      <c r="J62" s="250"/>
      <c r="K62" s="250">
        <f>VLOOKUP($C62,'QTY '!E62:G137,3,0)</f>
        <v>1.1786666666666668E-2</v>
      </c>
      <c r="L62" s="251">
        <f>$K62*'QTY '!I62</f>
        <v>0</v>
      </c>
      <c r="M62" s="259">
        <f>$K62*'QTY '!J62</f>
        <v>52.332800000000006</v>
      </c>
      <c r="N62" s="260">
        <f>$K62*'QTY '!K62</f>
        <v>52.332800000000006</v>
      </c>
      <c r="O62" s="261">
        <f>$K62*'QTY '!L62</f>
        <v>0</v>
      </c>
      <c r="P62" s="262">
        <f>$K62*'QTY '!M62</f>
        <v>25.459200000000003</v>
      </c>
      <c r="Q62" s="260">
        <f>$K62*'QTY '!N62</f>
        <v>25.459200000000003</v>
      </c>
      <c r="R62" s="263">
        <f>$K62*'QTY '!O62</f>
        <v>0</v>
      </c>
      <c r="S62" s="251">
        <f>$K62*'QTY '!P62</f>
        <v>0</v>
      </c>
      <c r="T62" s="260">
        <f>$K62*'QTY '!Q62</f>
        <v>0</v>
      </c>
      <c r="U62" s="263">
        <f>$K62*'QTY '!R62</f>
        <v>0</v>
      </c>
      <c r="V62" s="251">
        <f>$K62*'QTY '!S62</f>
        <v>4.2431999999999999</v>
      </c>
      <c r="W62" s="260">
        <f>$K62*'QTY '!T62</f>
        <v>4.2431999999999999</v>
      </c>
      <c r="X62" s="263">
        <f>$K62*'QTY '!U62</f>
        <v>0</v>
      </c>
      <c r="Y62" s="251">
        <f>$K62*'QTY '!V62</f>
        <v>4.2431999999999999</v>
      </c>
      <c r="Z62" s="251">
        <f>$K62*'QTY '!W62</f>
        <v>4.2431999999999999</v>
      </c>
      <c r="AA62" s="251">
        <f>$K62*'QTY '!X62</f>
        <v>0</v>
      </c>
      <c r="AB62" s="251">
        <f>$K62*'QTY '!Y62</f>
        <v>4.2431999999999999</v>
      </c>
      <c r="AC62" s="251">
        <f>$K62*'QTY '!Z62</f>
        <v>4.2431999999999999</v>
      </c>
      <c r="AD62" s="251">
        <f>$K62*'QTY '!AA62</f>
        <v>0</v>
      </c>
      <c r="AE62" s="251">
        <f>$K62*'QTY '!AB62</f>
        <v>4.2431999999999999</v>
      </c>
      <c r="AF62" s="251">
        <f>$K62*'QTY '!AC62</f>
        <v>4.2431999999999999</v>
      </c>
      <c r="AG62" s="251">
        <f t="shared" si="13"/>
        <v>0</v>
      </c>
      <c r="AH62" s="23"/>
      <c r="AJ62" s="252"/>
      <c r="AK62" s="252"/>
      <c r="AL62" s="252"/>
      <c r="AM62" s="252"/>
      <c r="AN62" s="252"/>
      <c r="AP62" s="137"/>
      <c r="AQ62" s="137"/>
      <c r="AR62" s="137"/>
      <c r="AS62" s="137"/>
      <c r="AT62" s="137"/>
    </row>
    <row r="63" spans="1:46" s="135" customFormat="1" ht="15.75" customHeight="1">
      <c r="A63" s="221"/>
      <c r="B63" s="255"/>
      <c r="C63" s="200" t="str">
        <f>+'QTY '!E63</f>
        <v>BC111-V1100-1 G 0201</v>
      </c>
      <c r="D63" s="267"/>
      <c r="E63" s="23"/>
      <c r="F63" s="23"/>
      <c r="G63" s="23"/>
      <c r="H63" s="23"/>
      <c r="I63" s="23"/>
      <c r="J63" s="250"/>
      <c r="K63" s="250">
        <f>VLOOKUP($C63,'QTY '!E63:G138,3,0)</f>
        <v>1.1863333333333333E-2</v>
      </c>
      <c r="L63" s="251">
        <f>$K63*'QTY '!I63</f>
        <v>0</v>
      </c>
      <c r="M63" s="259">
        <f>$K63*'QTY '!J63</f>
        <v>159.44319999999999</v>
      </c>
      <c r="N63" s="260">
        <f>$K63*'QTY '!K63</f>
        <v>159.44319999999999</v>
      </c>
      <c r="O63" s="261">
        <f>$K63*'QTY '!L63</f>
        <v>0</v>
      </c>
      <c r="P63" s="262">
        <f>$K63*'QTY '!M63</f>
        <v>130.2594</v>
      </c>
      <c r="Q63" s="260">
        <f>$K63*'QTY '!N63</f>
        <v>130.2594</v>
      </c>
      <c r="R63" s="263">
        <f>$K63*'QTY '!O63</f>
        <v>0</v>
      </c>
      <c r="S63" s="251">
        <f>$K63*'QTY '!P63</f>
        <v>121.7178</v>
      </c>
      <c r="T63" s="260">
        <f>$K63*'QTY '!Q63</f>
        <v>121.7178</v>
      </c>
      <c r="U63" s="263">
        <f>$K63*'QTY '!R63</f>
        <v>0</v>
      </c>
      <c r="V63" s="251">
        <f>$K63*'QTY '!S63</f>
        <v>98.940200000000004</v>
      </c>
      <c r="W63" s="260">
        <f>$K63*'QTY '!T63</f>
        <v>98.940200000000004</v>
      </c>
      <c r="X63" s="263">
        <f>$K63*'QTY '!U63</f>
        <v>0</v>
      </c>
      <c r="Y63" s="251">
        <f>$K63*'QTY '!V63</f>
        <v>121.7178</v>
      </c>
      <c r="Z63" s="251">
        <f>$K63*'QTY '!W63</f>
        <v>121.7178</v>
      </c>
      <c r="AA63" s="251">
        <f>$K63*'QTY '!X63</f>
        <v>0</v>
      </c>
      <c r="AB63" s="251">
        <f>$K63*'QTY '!Y63</f>
        <v>137.37739999999999</v>
      </c>
      <c r="AC63" s="251">
        <f>$K63*'QTY '!Z63</f>
        <v>137.37739999999999</v>
      </c>
      <c r="AD63" s="251">
        <f>$K63*'QTY '!AA63</f>
        <v>0</v>
      </c>
      <c r="AE63" s="251">
        <f>$K63*'QTY '!AB63</f>
        <v>137.37739999999999</v>
      </c>
      <c r="AF63" s="251">
        <f>$K63*'QTY '!AC63</f>
        <v>137.37739999999999</v>
      </c>
      <c r="AG63" s="251">
        <f t="shared" si="13"/>
        <v>0</v>
      </c>
      <c r="AH63" s="23"/>
      <c r="AJ63" s="252"/>
      <c r="AK63" s="252"/>
      <c r="AL63" s="252"/>
      <c r="AM63" s="252"/>
      <c r="AN63" s="252"/>
      <c r="AP63" s="137"/>
      <c r="AQ63" s="137"/>
      <c r="AR63" s="137"/>
      <c r="AS63" s="137"/>
      <c r="AT63" s="137"/>
    </row>
    <row r="64" spans="1:46" s="135" customFormat="1" ht="15.75" customHeight="1">
      <c r="A64" s="221"/>
      <c r="B64" s="255"/>
      <c r="C64" s="200" t="str">
        <f>+'QTY '!E64</f>
        <v>BC111-1S130-1 D 0001</v>
      </c>
      <c r="D64" s="267"/>
      <c r="E64" s="23"/>
      <c r="F64" s="23"/>
      <c r="G64" s="23"/>
      <c r="H64" s="23"/>
      <c r="I64" s="23"/>
      <c r="J64" s="250"/>
      <c r="K64" s="250">
        <f>VLOOKUP($C64,'QTY '!E64:G139,3,0)</f>
        <v>0</v>
      </c>
      <c r="L64" s="251">
        <f>$K64*'QTY '!I64</f>
        <v>0</v>
      </c>
      <c r="M64" s="259">
        <f>$K64*'QTY '!J64</f>
        <v>0</v>
      </c>
      <c r="N64" s="260">
        <f>$K64*'QTY '!K64</f>
        <v>0</v>
      </c>
      <c r="O64" s="261">
        <f>$K64*'QTY '!L64</f>
        <v>0</v>
      </c>
      <c r="P64" s="262">
        <f>$K64*'QTY '!M64</f>
        <v>0</v>
      </c>
      <c r="Q64" s="260">
        <f>$K64*'QTY '!N64</f>
        <v>0</v>
      </c>
      <c r="R64" s="263">
        <f>$K64*'QTY '!O64</f>
        <v>0</v>
      </c>
      <c r="S64" s="251">
        <f>$K64*'QTY '!P64</f>
        <v>0</v>
      </c>
      <c r="T64" s="260">
        <f>$K64*'QTY '!Q64</f>
        <v>0</v>
      </c>
      <c r="U64" s="263">
        <f>$K64*'QTY '!R64</f>
        <v>0</v>
      </c>
      <c r="V64" s="251">
        <f>$K64*'QTY '!S64</f>
        <v>0</v>
      </c>
      <c r="W64" s="260">
        <f>$K64*'QTY '!T64</f>
        <v>0</v>
      </c>
      <c r="X64" s="263">
        <f>$K64*'QTY '!U64</f>
        <v>0</v>
      </c>
      <c r="Y64" s="251">
        <f>$K64*'QTY '!V64</f>
        <v>0</v>
      </c>
      <c r="Z64" s="251">
        <f>$K64*'QTY '!W64</f>
        <v>0</v>
      </c>
      <c r="AA64" s="251">
        <f>$K64*'QTY '!X64</f>
        <v>0</v>
      </c>
      <c r="AB64" s="251">
        <f>$K64*'QTY '!Y64</f>
        <v>0</v>
      </c>
      <c r="AC64" s="251">
        <f>$K64*'QTY '!Z64</f>
        <v>0</v>
      </c>
      <c r="AD64" s="251">
        <f>$K64*'QTY '!AA64</f>
        <v>0</v>
      </c>
      <c r="AE64" s="251">
        <f>$K64*'QTY '!AB64</f>
        <v>0</v>
      </c>
      <c r="AF64" s="251">
        <f>$K64*'QTY '!AC64</f>
        <v>0</v>
      </c>
      <c r="AG64" s="251">
        <f t="shared" si="13"/>
        <v>0</v>
      </c>
      <c r="AH64" s="23"/>
      <c r="AJ64" s="252"/>
      <c r="AK64" s="252"/>
      <c r="AL64" s="252"/>
      <c r="AM64" s="252"/>
      <c r="AN64" s="252"/>
      <c r="AP64" s="137"/>
      <c r="AQ64" s="137"/>
      <c r="AR64" s="137"/>
      <c r="AS64" s="137"/>
      <c r="AT64" s="137"/>
    </row>
    <row r="65" spans="1:46" s="135" customFormat="1" ht="15.75" customHeight="1">
      <c r="A65" s="221"/>
      <c r="B65" s="255"/>
      <c r="C65" s="200" t="str">
        <f>+'QTY '!E65</f>
        <v>BC111-1S130-2 D 0001</v>
      </c>
      <c r="D65" s="267"/>
      <c r="E65" s="23"/>
      <c r="F65" s="23"/>
      <c r="G65" s="23"/>
      <c r="H65" s="23"/>
      <c r="I65" s="23"/>
      <c r="J65" s="250"/>
      <c r="K65" s="250">
        <f>VLOOKUP($C65,'QTY '!E65:G140,3,0)</f>
        <v>0</v>
      </c>
      <c r="L65" s="251">
        <f>$K65*'QTY '!I65</f>
        <v>0</v>
      </c>
      <c r="M65" s="259">
        <f>$K65*'QTY '!J65</f>
        <v>0</v>
      </c>
      <c r="N65" s="260">
        <f>$K65*'QTY '!K65</f>
        <v>0</v>
      </c>
      <c r="O65" s="261">
        <f>$K65*'QTY '!L65</f>
        <v>0</v>
      </c>
      <c r="P65" s="262">
        <f>$K65*'QTY '!M65</f>
        <v>0</v>
      </c>
      <c r="Q65" s="260">
        <f>$K65*'QTY '!N65</f>
        <v>0</v>
      </c>
      <c r="R65" s="263">
        <f>$K65*'QTY '!O65</f>
        <v>0</v>
      </c>
      <c r="S65" s="251">
        <f>$K65*'QTY '!P65</f>
        <v>0</v>
      </c>
      <c r="T65" s="260">
        <f>$K65*'QTY '!Q65</f>
        <v>0</v>
      </c>
      <c r="U65" s="263">
        <f>$K65*'QTY '!R65</f>
        <v>0</v>
      </c>
      <c r="V65" s="251">
        <f>$K65*'QTY '!S65</f>
        <v>0</v>
      </c>
      <c r="W65" s="260">
        <f>$K65*'QTY '!T65</f>
        <v>0</v>
      </c>
      <c r="X65" s="263">
        <f>$K65*'QTY '!U65</f>
        <v>0</v>
      </c>
      <c r="Y65" s="251">
        <f>$K65*'QTY '!V65</f>
        <v>0</v>
      </c>
      <c r="Z65" s="251">
        <f>$K65*'QTY '!W65</f>
        <v>0</v>
      </c>
      <c r="AA65" s="251">
        <f>$K65*'QTY '!X65</f>
        <v>0</v>
      </c>
      <c r="AB65" s="251">
        <f>$K65*'QTY '!Y65</f>
        <v>0</v>
      </c>
      <c r="AC65" s="251">
        <f>$K65*'QTY '!Z65</f>
        <v>0</v>
      </c>
      <c r="AD65" s="251">
        <f>$K65*'QTY '!AA65</f>
        <v>0</v>
      </c>
      <c r="AE65" s="251">
        <f>$K65*'QTY '!AB65</f>
        <v>0</v>
      </c>
      <c r="AF65" s="251">
        <f>$K65*'QTY '!AC65</f>
        <v>0</v>
      </c>
      <c r="AG65" s="251">
        <f t="shared" si="13"/>
        <v>0</v>
      </c>
      <c r="AH65" s="23"/>
      <c r="AJ65" s="252"/>
      <c r="AK65" s="252"/>
      <c r="AL65" s="252"/>
      <c r="AM65" s="252"/>
      <c r="AN65" s="252"/>
      <c r="AP65" s="137"/>
      <c r="AQ65" s="137"/>
      <c r="AR65" s="137"/>
      <c r="AS65" s="137"/>
      <c r="AT65" s="137"/>
    </row>
    <row r="66" spans="1:46" s="135" customFormat="1" ht="15.75" customHeight="1">
      <c r="A66" s="221"/>
      <c r="B66" s="255"/>
      <c r="C66" s="200" t="str">
        <f>+'QTY '!E66</f>
        <v>BC111-16N10-1   1001</v>
      </c>
      <c r="D66" s="267"/>
      <c r="E66" s="23"/>
      <c r="F66" s="23"/>
      <c r="G66" s="23"/>
      <c r="H66" s="23"/>
      <c r="I66" s="23"/>
      <c r="J66" s="250"/>
      <c r="K66" s="250">
        <f>VLOOKUP($C66,'QTY '!E66:G141,3,0)</f>
        <v>0</v>
      </c>
      <c r="L66" s="251">
        <f>$K66*'QTY '!I66</f>
        <v>0</v>
      </c>
      <c r="M66" s="259">
        <f>$K66*'QTY '!J66</f>
        <v>0</v>
      </c>
      <c r="N66" s="260">
        <f>$K66*'QTY '!K66</f>
        <v>0</v>
      </c>
      <c r="O66" s="261">
        <f>$K66*'QTY '!L66</f>
        <v>0</v>
      </c>
      <c r="P66" s="262">
        <f>$K66*'QTY '!M66</f>
        <v>0</v>
      </c>
      <c r="Q66" s="260">
        <f>$K66*'QTY '!N66</f>
        <v>0</v>
      </c>
      <c r="R66" s="263">
        <f>$K66*'QTY '!O66</f>
        <v>0</v>
      </c>
      <c r="S66" s="251">
        <f>$K66*'QTY '!P66</f>
        <v>0</v>
      </c>
      <c r="T66" s="260">
        <f>$K66*'QTY '!Q66</f>
        <v>0</v>
      </c>
      <c r="U66" s="263">
        <f>$K66*'QTY '!R66</f>
        <v>0</v>
      </c>
      <c r="V66" s="251">
        <f>$K66*'QTY '!S66</f>
        <v>0</v>
      </c>
      <c r="W66" s="260">
        <f>$K66*'QTY '!T66</f>
        <v>0</v>
      </c>
      <c r="X66" s="263">
        <f>$K66*'QTY '!U66</f>
        <v>0</v>
      </c>
      <c r="Y66" s="251">
        <f>$K66*'QTY '!V66</f>
        <v>0</v>
      </c>
      <c r="Z66" s="251">
        <f>$K66*'QTY '!W66</f>
        <v>0</v>
      </c>
      <c r="AA66" s="251">
        <f>$K66*'QTY '!X66</f>
        <v>0</v>
      </c>
      <c r="AB66" s="251">
        <f>$K66*'QTY '!Y66</f>
        <v>0</v>
      </c>
      <c r="AC66" s="251">
        <f>$K66*'QTY '!Z66</f>
        <v>0</v>
      </c>
      <c r="AD66" s="251">
        <f>$K66*'QTY '!AA66</f>
        <v>0</v>
      </c>
      <c r="AE66" s="251">
        <f>$K66*'QTY '!AB66</f>
        <v>0</v>
      </c>
      <c r="AF66" s="251">
        <f>$K66*'QTY '!AC66</f>
        <v>0</v>
      </c>
      <c r="AG66" s="251">
        <f t="shared" si="13"/>
        <v>0</v>
      </c>
      <c r="AH66" s="23"/>
      <c r="AJ66" s="252"/>
      <c r="AK66" s="252"/>
      <c r="AL66" s="252"/>
      <c r="AM66" s="252"/>
      <c r="AN66" s="252"/>
      <c r="AP66" s="137"/>
      <c r="AQ66" s="137"/>
      <c r="AR66" s="137"/>
      <c r="AS66" s="137"/>
      <c r="AT66" s="137"/>
    </row>
    <row r="67" spans="1:46" s="135" customFormat="1" ht="15.75" customHeight="1">
      <c r="A67" s="221"/>
      <c r="B67" s="255"/>
      <c r="C67" s="200" t="str">
        <f>+'QTY '!E67</f>
        <v>BC111-16F01-1 A 0002</v>
      </c>
      <c r="D67" s="267"/>
      <c r="E67" s="23"/>
      <c r="F67" s="23"/>
      <c r="G67" s="23"/>
      <c r="H67" s="23"/>
      <c r="I67" s="23"/>
      <c r="J67" s="250"/>
      <c r="K67" s="250">
        <f>VLOOKUP($C67,'QTY '!E67:G142,3,0)</f>
        <v>1.2346666666666667E-2</v>
      </c>
      <c r="L67" s="251">
        <f>$K67*'QTY '!I67</f>
        <v>0</v>
      </c>
      <c r="M67" s="259">
        <f>$K67*'QTY '!J67</f>
        <v>0</v>
      </c>
      <c r="N67" s="260">
        <f>$K67*'QTY '!K67</f>
        <v>0</v>
      </c>
      <c r="O67" s="261">
        <f>$K67*'QTY '!L67</f>
        <v>0</v>
      </c>
      <c r="P67" s="262">
        <f>$K67*'QTY '!M67</f>
        <v>0</v>
      </c>
      <c r="Q67" s="260">
        <f>$K67*'QTY '!N67</f>
        <v>0</v>
      </c>
      <c r="R67" s="263">
        <f>$K67*'QTY '!O67</f>
        <v>0</v>
      </c>
      <c r="S67" s="251">
        <f>$K67*'QTY '!P67</f>
        <v>0</v>
      </c>
      <c r="T67" s="260">
        <f>$K67*'QTY '!Q67</f>
        <v>0</v>
      </c>
      <c r="U67" s="263">
        <f>$K67*'QTY '!R67</f>
        <v>0</v>
      </c>
      <c r="V67" s="251">
        <f>$K67*'QTY '!S67</f>
        <v>0</v>
      </c>
      <c r="W67" s="260">
        <f>$K67*'QTY '!T67</f>
        <v>0</v>
      </c>
      <c r="X67" s="263">
        <f>$K67*'QTY '!U67</f>
        <v>0</v>
      </c>
      <c r="Y67" s="251">
        <f>$K67*'QTY '!V67</f>
        <v>0</v>
      </c>
      <c r="Z67" s="251">
        <f>$K67*'QTY '!W67</f>
        <v>0</v>
      </c>
      <c r="AA67" s="251">
        <f>$K67*'QTY '!X67</f>
        <v>0</v>
      </c>
      <c r="AB67" s="251">
        <f>$K67*'QTY '!Y67</f>
        <v>0</v>
      </c>
      <c r="AC67" s="251">
        <f>$K67*'QTY '!Z67</f>
        <v>0</v>
      </c>
      <c r="AD67" s="251">
        <f>$K67*'QTY '!AA67</f>
        <v>0</v>
      </c>
      <c r="AE67" s="251">
        <f>$K67*'QTY '!AB67</f>
        <v>0</v>
      </c>
      <c r="AF67" s="251">
        <f>$K67*'QTY '!AC67</f>
        <v>0</v>
      </c>
      <c r="AG67" s="251">
        <f t="shared" si="13"/>
        <v>0</v>
      </c>
      <c r="AH67" s="23"/>
      <c r="AJ67" s="252"/>
      <c r="AK67" s="252"/>
      <c r="AL67" s="252"/>
      <c r="AM67" s="252"/>
      <c r="AN67" s="252"/>
      <c r="AP67" s="137"/>
      <c r="AQ67" s="137"/>
      <c r="AR67" s="137"/>
      <c r="AS67" s="137"/>
      <c r="AT67" s="137"/>
    </row>
    <row r="68" spans="1:46" s="135" customFormat="1" ht="15.75" customHeight="1">
      <c r="A68" s="221"/>
      <c r="B68" s="255"/>
      <c r="C68" s="200" t="str">
        <f>+'QTY '!E68</f>
        <v>BC111-16M20-1   1001</v>
      </c>
      <c r="D68" s="267"/>
      <c r="E68" s="23"/>
      <c r="F68" s="23"/>
      <c r="G68" s="23"/>
      <c r="H68" s="23"/>
      <c r="I68" s="23"/>
      <c r="J68" s="250"/>
      <c r="K68" s="250">
        <f>VLOOKUP($C68,'QTY '!E68:G143,3,0)</f>
        <v>0</v>
      </c>
      <c r="L68" s="251">
        <f>$K68*'QTY '!I68</f>
        <v>0</v>
      </c>
      <c r="M68" s="259">
        <f>$K68*'QTY '!J68</f>
        <v>0</v>
      </c>
      <c r="N68" s="260">
        <f>$K68*'QTY '!K68</f>
        <v>0</v>
      </c>
      <c r="O68" s="261">
        <f>$K68*'QTY '!L68</f>
        <v>0</v>
      </c>
      <c r="P68" s="262">
        <f>$K68*'QTY '!M68</f>
        <v>0</v>
      </c>
      <c r="Q68" s="260">
        <f>$K68*'QTY '!N68</f>
        <v>0</v>
      </c>
      <c r="R68" s="263">
        <f>$K68*'QTY '!O68</f>
        <v>0</v>
      </c>
      <c r="S68" s="251">
        <f>$K68*'QTY '!P68</f>
        <v>0</v>
      </c>
      <c r="T68" s="260">
        <f>$K68*'QTY '!Q68</f>
        <v>0</v>
      </c>
      <c r="U68" s="263">
        <f>$K68*'QTY '!R68</f>
        <v>0</v>
      </c>
      <c r="V68" s="251">
        <f>$K68*'QTY '!S68</f>
        <v>0</v>
      </c>
      <c r="W68" s="260">
        <f>$K68*'QTY '!T68</f>
        <v>0</v>
      </c>
      <c r="X68" s="263">
        <f>$K68*'QTY '!U68</f>
        <v>0</v>
      </c>
      <c r="Y68" s="251">
        <f>$K68*'QTY '!V68</f>
        <v>0</v>
      </c>
      <c r="Z68" s="251">
        <f>$K68*'QTY '!W68</f>
        <v>0</v>
      </c>
      <c r="AA68" s="251">
        <f>$K68*'QTY '!X68</f>
        <v>0</v>
      </c>
      <c r="AB68" s="251">
        <f>$K68*'QTY '!Y68</f>
        <v>0</v>
      </c>
      <c r="AC68" s="251">
        <f>$K68*'QTY '!Z68</f>
        <v>0</v>
      </c>
      <c r="AD68" s="251">
        <f>$K68*'QTY '!AA68</f>
        <v>0</v>
      </c>
      <c r="AE68" s="251">
        <f>$K68*'QTY '!AB68</f>
        <v>0</v>
      </c>
      <c r="AF68" s="251">
        <f>$K68*'QTY '!AC68</f>
        <v>0</v>
      </c>
      <c r="AG68" s="251">
        <f t="shared" si="13"/>
        <v>0</v>
      </c>
      <c r="AH68" s="23"/>
      <c r="AJ68" s="252"/>
      <c r="AK68" s="252"/>
      <c r="AL68" s="252"/>
      <c r="AM68" s="252"/>
      <c r="AN68" s="252"/>
      <c r="AP68" s="137"/>
      <c r="AQ68" s="137"/>
      <c r="AR68" s="137"/>
      <c r="AS68" s="137"/>
      <c r="AT68" s="137"/>
    </row>
    <row r="69" spans="1:46" s="135" customFormat="1" ht="15.75" customHeight="1">
      <c r="A69" s="221"/>
      <c r="B69" s="255"/>
      <c r="C69" s="200" t="str">
        <f>+'QTY '!E69</f>
        <v>BC111-16B41-1 A 0002</v>
      </c>
      <c r="D69" s="267"/>
      <c r="E69" s="23"/>
      <c r="F69" s="23"/>
      <c r="G69" s="23"/>
      <c r="H69" s="23"/>
      <c r="I69" s="23"/>
      <c r="J69" s="250"/>
      <c r="K69" s="250">
        <f>VLOOKUP($C69,'QTY '!E69:G144,3,0)</f>
        <v>1.2345E-2</v>
      </c>
      <c r="L69" s="251">
        <f>$K69*'QTY '!I69</f>
        <v>0</v>
      </c>
      <c r="M69" s="259">
        <f>$K69*'QTY '!J69</f>
        <v>0</v>
      </c>
      <c r="N69" s="260">
        <f>$K69*'QTY '!K69</f>
        <v>0</v>
      </c>
      <c r="O69" s="261">
        <f>$K69*'QTY '!L69</f>
        <v>0</v>
      </c>
      <c r="P69" s="262">
        <f>$K69*'QTY '!M69</f>
        <v>0</v>
      </c>
      <c r="Q69" s="260">
        <f>$K69*'QTY '!N69</f>
        <v>0</v>
      </c>
      <c r="R69" s="263">
        <f>$K69*'QTY '!O69</f>
        <v>0</v>
      </c>
      <c r="S69" s="251">
        <f>$K69*'QTY '!P69</f>
        <v>0</v>
      </c>
      <c r="T69" s="260">
        <f>$K69*'QTY '!Q69</f>
        <v>0</v>
      </c>
      <c r="U69" s="263">
        <f>$K69*'QTY '!R69</f>
        <v>0</v>
      </c>
      <c r="V69" s="251">
        <f>$K69*'QTY '!S69</f>
        <v>0</v>
      </c>
      <c r="W69" s="260">
        <f>$K69*'QTY '!T69</f>
        <v>0</v>
      </c>
      <c r="X69" s="263">
        <f>$K69*'QTY '!U69</f>
        <v>0</v>
      </c>
      <c r="Y69" s="251">
        <f>$K69*'QTY '!V69</f>
        <v>0</v>
      </c>
      <c r="Z69" s="251">
        <f>$K69*'QTY '!W69</f>
        <v>0</v>
      </c>
      <c r="AA69" s="251">
        <f>$K69*'QTY '!X69</f>
        <v>0</v>
      </c>
      <c r="AB69" s="251">
        <f>$K69*'QTY '!Y69</f>
        <v>0</v>
      </c>
      <c r="AC69" s="251">
        <f>$K69*'QTY '!Z69</f>
        <v>0</v>
      </c>
      <c r="AD69" s="251">
        <f>$K69*'QTY '!AA69</f>
        <v>0</v>
      </c>
      <c r="AE69" s="251">
        <f>$K69*'QTY '!AB69</f>
        <v>0</v>
      </c>
      <c r="AF69" s="251">
        <f>$K69*'QTY '!AC69</f>
        <v>0</v>
      </c>
      <c r="AG69" s="251">
        <f t="shared" si="13"/>
        <v>0</v>
      </c>
      <c r="AH69" s="23"/>
      <c r="AJ69" s="252"/>
      <c r="AK69" s="252"/>
      <c r="AL69" s="252"/>
      <c r="AM69" s="252"/>
      <c r="AN69" s="252"/>
      <c r="AP69" s="137"/>
      <c r="AQ69" s="137"/>
      <c r="AR69" s="137"/>
      <c r="AS69" s="137"/>
      <c r="AT69" s="137"/>
    </row>
    <row r="70" spans="1:46" s="135" customFormat="1" ht="15.75" customHeight="1">
      <c r="A70" s="221"/>
      <c r="B70" s="255"/>
      <c r="C70" s="200" t="str">
        <f>+'QTY '!E70</f>
        <v>BC111-16A40-1   1001</v>
      </c>
      <c r="D70" s="267"/>
      <c r="E70" s="23"/>
      <c r="F70" s="23"/>
      <c r="G70" s="23"/>
      <c r="H70" s="23"/>
      <c r="I70" s="23"/>
      <c r="J70" s="250"/>
      <c r="K70" s="250">
        <f>VLOOKUP($C70,'QTY '!E70:G145,3,0)</f>
        <v>1.3930000000000001E-2</v>
      </c>
      <c r="L70" s="251">
        <f>$K70*'QTY '!I70</f>
        <v>0</v>
      </c>
      <c r="M70" s="259">
        <f>$K70*'QTY '!J70</f>
        <v>0</v>
      </c>
      <c r="N70" s="260">
        <f>$K70*'QTY '!K70</f>
        <v>0</v>
      </c>
      <c r="O70" s="261">
        <f>$K70*'QTY '!L70</f>
        <v>0</v>
      </c>
      <c r="P70" s="262">
        <f>$K70*'QTY '!M70</f>
        <v>0</v>
      </c>
      <c r="Q70" s="260">
        <f>$K70*'QTY '!N70</f>
        <v>0</v>
      </c>
      <c r="R70" s="263">
        <f>$K70*'QTY '!O70</f>
        <v>0</v>
      </c>
      <c r="S70" s="251">
        <f>$K70*'QTY '!P70</f>
        <v>0</v>
      </c>
      <c r="T70" s="260">
        <f>$K70*'QTY '!Q70</f>
        <v>0</v>
      </c>
      <c r="U70" s="263">
        <f>$K70*'QTY '!R70</f>
        <v>0</v>
      </c>
      <c r="V70" s="251">
        <f>$K70*'QTY '!S70</f>
        <v>0</v>
      </c>
      <c r="W70" s="260">
        <f>$K70*'QTY '!T70</f>
        <v>0</v>
      </c>
      <c r="X70" s="263">
        <f>$K70*'QTY '!U70</f>
        <v>0</v>
      </c>
      <c r="Y70" s="251">
        <f>$K70*'QTY '!V70</f>
        <v>0</v>
      </c>
      <c r="Z70" s="251">
        <f>$K70*'QTY '!W70</f>
        <v>0</v>
      </c>
      <c r="AA70" s="251">
        <f>$K70*'QTY '!X70</f>
        <v>0</v>
      </c>
      <c r="AB70" s="251">
        <f>$K70*'QTY '!Y70</f>
        <v>0</v>
      </c>
      <c r="AC70" s="251">
        <f>$K70*'QTY '!Z70</f>
        <v>0</v>
      </c>
      <c r="AD70" s="251">
        <f>$K70*'QTY '!AA70</f>
        <v>0</v>
      </c>
      <c r="AE70" s="251">
        <f>$K70*'QTY '!AB70</f>
        <v>0</v>
      </c>
      <c r="AF70" s="251">
        <f>$K70*'QTY '!AC70</f>
        <v>0</v>
      </c>
      <c r="AG70" s="251">
        <f t="shared" si="13"/>
        <v>0</v>
      </c>
      <c r="AH70" s="23"/>
      <c r="AJ70" s="252"/>
      <c r="AK70" s="252"/>
      <c r="AL70" s="252"/>
      <c r="AM70" s="252"/>
      <c r="AN70" s="252"/>
      <c r="AP70" s="137"/>
      <c r="AQ70" s="137"/>
      <c r="AR70" s="137"/>
      <c r="AS70" s="137"/>
      <c r="AT70" s="137"/>
    </row>
    <row r="71" spans="1:46" s="135" customFormat="1" ht="15.75" customHeight="1">
      <c r="A71" s="221"/>
      <c r="B71" s="255"/>
      <c r="C71" s="200" t="str">
        <f>+'QTY '!E71</f>
        <v>BC111-16A40-2   1001</v>
      </c>
      <c r="D71" s="267"/>
      <c r="E71" s="23"/>
      <c r="F71" s="23"/>
      <c r="G71" s="23"/>
      <c r="H71" s="23"/>
      <c r="I71" s="23"/>
      <c r="J71" s="250"/>
      <c r="K71" s="250">
        <f>VLOOKUP($C71,'QTY '!E71:G146,3,0)</f>
        <v>1.3655E-2</v>
      </c>
      <c r="L71" s="251">
        <f>$K71*'QTY '!I71</f>
        <v>0</v>
      </c>
      <c r="M71" s="259">
        <f>$K71*'QTY '!J71</f>
        <v>0</v>
      </c>
      <c r="N71" s="260">
        <f>$K71*'QTY '!K71</f>
        <v>0</v>
      </c>
      <c r="O71" s="261">
        <f>$K71*'QTY '!L71</f>
        <v>0</v>
      </c>
      <c r="P71" s="262">
        <f>$K71*'QTY '!M71</f>
        <v>0</v>
      </c>
      <c r="Q71" s="260">
        <f>$K71*'QTY '!N71</f>
        <v>0</v>
      </c>
      <c r="R71" s="263">
        <f>$K71*'QTY '!O71</f>
        <v>0</v>
      </c>
      <c r="S71" s="251">
        <f>$K71*'QTY '!P71</f>
        <v>0</v>
      </c>
      <c r="T71" s="260">
        <f>$K71*'QTY '!Q71</f>
        <v>0</v>
      </c>
      <c r="U71" s="263">
        <f>$K71*'QTY '!R71</f>
        <v>0</v>
      </c>
      <c r="V71" s="251">
        <f>$K71*'QTY '!S71</f>
        <v>0</v>
      </c>
      <c r="W71" s="260">
        <f>$K71*'QTY '!T71</f>
        <v>0</v>
      </c>
      <c r="X71" s="263">
        <f>$K71*'QTY '!U71</f>
        <v>0</v>
      </c>
      <c r="Y71" s="251">
        <f>$K71*'QTY '!V71</f>
        <v>0</v>
      </c>
      <c r="Z71" s="251">
        <f>$K71*'QTY '!W71</f>
        <v>0</v>
      </c>
      <c r="AA71" s="251">
        <f>$K71*'QTY '!X71</f>
        <v>0</v>
      </c>
      <c r="AB71" s="251">
        <f>$K71*'QTY '!Y71</f>
        <v>0</v>
      </c>
      <c r="AC71" s="251">
        <f>$K71*'QTY '!Z71</f>
        <v>0</v>
      </c>
      <c r="AD71" s="251">
        <f>$K71*'QTY '!AA71</f>
        <v>0</v>
      </c>
      <c r="AE71" s="251">
        <f>$K71*'QTY '!AB71</f>
        <v>0</v>
      </c>
      <c r="AF71" s="251">
        <f>$K71*'QTY '!AC71</f>
        <v>0</v>
      </c>
      <c r="AG71" s="251">
        <f t="shared" si="13"/>
        <v>0</v>
      </c>
      <c r="AH71" s="23"/>
      <c r="AJ71" s="252"/>
      <c r="AK71" s="252"/>
      <c r="AL71" s="252"/>
      <c r="AM71" s="252"/>
      <c r="AN71" s="252"/>
      <c r="AP71" s="137"/>
      <c r="AQ71" s="137"/>
      <c r="AR71" s="137"/>
      <c r="AS71" s="137"/>
      <c r="AT71" s="137"/>
    </row>
    <row r="72" spans="1:46" s="135" customFormat="1" ht="15.75" customHeight="1">
      <c r="A72" s="221"/>
      <c r="B72" s="255"/>
      <c r="C72" s="200" t="str">
        <f>+'QTY '!E72</f>
        <v>BC111-16D11-1 A 0002</v>
      </c>
      <c r="D72" s="267"/>
      <c r="E72" s="23"/>
      <c r="F72" s="23"/>
      <c r="G72" s="23"/>
      <c r="H72" s="23"/>
      <c r="I72" s="23"/>
      <c r="J72" s="250"/>
      <c r="K72" s="250">
        <f>VLOOKUP($C72,'QTY '!E72:G147,3,0)</f>
        <v>1.2791666666666666E-2</v>
      </c>
      <c r="L72" s="251">
        <f>$K72*'QTY '!I72</f>
        <v>0</v>
      </c>
      <c r="M72" s="259">
        <f>$K72*'QTY '!J72</f>
        <v>0</v>
      </c>
      <c r="N72" s="260">
        <f>$K72*'QTY '!K72</f>
        <v>0</v>
      </c>
      <c r="O72" s="261">
        <f>$K72*'QTY '!L72</f>
        <v>0</v>
      </c>
      <c r="P72" s="262">
        <f>$K72*'QTY '!M72</f>
        <v>0</v>
      </c>
      <c r="Q72" s="260">
        <f>$K72*'QTY '!N72</f>
        <v>0</v>
      </c>
      <c r="R72" s="263">
        <f>$K72*'QTY '!O72</f>
        <v>0</v>
      </c>
      <c r="S72" s="251">
        <f>$K72*'QTY '!P72</f>
        <v>0</v>
      </c>
      <c r="T72" s="260">
        <f>$K72*'QTY '!Q72</f>
        <v>0</v>
      </c>
      <c r="U72" s="263">
        <f>$K72*'QTY '!R72</f>
        <v>0</v>
      </c>
      <c r="V72" s="251">
        <f>$K72*'QTY '!S72</f>
        <v>0</v>
      </c>
      <c r="W72" s="260">
        <f>$K72*'QTY '!T72</f>
        <v>0</v>
      </c>
      <c r="X72" s="263">
        <f>$K72*'QTY '!U72</f>
        <v>0</v>
      </c>
      <c r="Y72" s="251">
        <f>$K72*'QTY '!V72</f>
        <v>0</v>
      </c>
      <c r="Z72" s="251">
        <f>$K72*'QTY '!W72</f>
        <v>0</v>
      </c>
      <c r="AA72" s="251">
        <f>$K72*'QTY '!X72</f>
        <v>0</v>
      </c>
      <c r="AB72" s="251">
        <f>$K72*'QTY '!Y72</f>
        <v>0</v>
      </c>
      <c r="AC72" s="251">
        <f>$K72*'QTY '!Z72</f>
        <v>0</v>
      </c>
      <c r="AD72" s="251">
        <f>$K72*'QTY '!AA72</f>
        <v>0</v>
      </c>
      <c r="AE72" s="251">
        <f>$K72*'QTY '!AB72</f>
        <v>0</v>
      </c>
      <c r="AF72" s="251">
        <f>$K72*'QTY '!AC72</f>
        <v>0</v>
      </c>
      <c r="AG72" s="251">
        <f t="shared" si="13"/>
        <v>0</v>
      </c>
      <c r="AH72" s="23"/>
      <c r="AJ72" s="252"/>
      <c r="AK72" s="252"/>
      <c r="AL72" s="252"/>
      <c r="AM72" s="252"/>
      <c r="AN72" s="252"/>
      <c r="AP72" s="137"/>
      <c r="AQ72" s="137"/>
      <c r="AR72" s="137"/>
      <c r="AS72" s="137"/>
      <c r="AT72" s="137"/>
    </row>
    <row r="73" spans="1:46" s="135" customFormat="1" ht="15.75" customHeight="1">
      <c r="A73" s="221"/>
      <c r="B73" s="255"/>
      <c r="C73" s="200" t="str">
        <f>+'QTY '!E73</f>
        <v>BC111-4EW40-1 C 0002</v>
      </c>
      <c r="D73" s="267"/>
      <c r="E73" s="23"/>
      <c r="F73" s="23"/>
      <c r="G73" s="23"/>
      <c r="H73" s="23"/>
      <c r="I73" s="23"/>
      <c r="J73" s="250"/>
      <c r="K73" s="250">
        <f>VLOOKUP($C73,'QTY '!E73:G148,3,0)</f>
        <v>1.2325000000000001E-2</v>
      </c>
      <c r="L73" s="251">
        <f>$K73*'QTY '!I73</f>
        <v>0</v>
      </c>
      <c r="M73" s="259">
        <f>$K73*'QTY '!J73</f>
        <v>44.616500000000002</v>
      </c>
      <c r="N73" s="260">
        <f>$K73*'QTY '!K73</f>
        <v>44.616500000000002</v>
      </c>
      <c r="O73" s="261">
        <f>$K73*'QTY '!L73</f>
        <v>0</v>
      </c>
      <c r="P73" s="262">
        <f>$K73*'QTY '!M73</f>
        <v>29.087000000000003</v>
      </c>
      <c r="Q73" s="260">
        <f>$K73*'QTY '!N73</f>
        <v>29.087000000000003</v>
      </c>
      <c r="R73" s="263">
        <f>$K73*'QTY '!O73</f>
        <v>0</v>
      </c>
      <c r="S73" s="251">
        <f>$K73*'QTY '!P73</f>
        <v>28.840500000000002</v>
      </c>
      <c r="T73" s="260">
        <f>$K73*'QTY '!Q73</f>
        <v>28.840500000000002</v>
      </c>
      <c r="U73" s="263">
        <f>$K73*'QTY '!R73</f>
        <v>0</v>
      </c>
      <c r="V73" s="251">
        <f>$K73*'QTY '!S73</f>
        <v>41.165500000000002</v>
      </c>
      <c r="W73" s="260">
        <f>$K73*'QTY '!T73</f>
        <v>41.165500000000002</v>
      </c>
      <c r="X73" s="263">
        <f>$K73*'QTY '!U73</f>
        <v>0</v>
      </c>
      <c r="Y73" s="251">
        <f>$K73*'QTY '!V73</f>
        <v>56.202000000000005</v>
      </c>
      <c r="Z73" s="251">
        <f>$K73*'QTY '!W73</f>
        <v>56.202000000000005</v>
      </c>
      <c r="AA73" s="251">
        <f>$K73*'QTY '!X73</f>
        <v>0</v>
      </c>
      <c r="AB73" s="251">
        <f>$K73*'QTY '!Y73</f>
        <v>49.053500000000007</v>
      </c>
      <c r="AC73" s="251">
        <f>$K73*'QTY '!Z73</f>
        <v>49.053500000000007</v>
      </c>
      <c r="AD73" s="251">
        <f>$K73*'QTY '!AA73</f>
        <v>0</v>
      </c>
      <c r="AE73" s="251">
        <f>$K73*'QTY '!AB73</f>
        <v>49.053500000000007</v>
      </c>
      <c r="AF73" s="251">
        <f>$K73*'QTY '!AC73</f>
        <v>49.053500000000007</v>
      </c>
      <c r="AG73" s="251">
        <f t="shared" si="13"/>
        <v>0</v>
      </c>
      <c r="AH73" s="23"/>
      <c r="AJ73" s="252"/>
      <c r="AK73" s="252"/>
      <c r="AL73" s="252"/>
      <c r="AM73" s="252"/>
      <c r="AN73" s="252"/>
      <c r="AP73" s="137"/>
      <c r="AQ73" s="137"/>
      <c r="AR73" s="137"/>
      <c r="AS73" s="137"/>
      <c r="AT73" s="137"/>
    </row>
    <row r="74" spans="1:46" s="135" customFormat="1" ht="15.75" customHeight="1">
      <c r="A74" s="221"/>
      <c r="B74" s="255"/>
      <c r="C74" s="200" t="str">
        <f>+'QTY '!E74</f>
        <v>BC111-4EB50-1 C 0002</v>
      </c>
      <c r="D74" s="267"/>
      <c r="E74" s="23"/>
      <c r="F74" s="23"/>
      <c r="G74" s="23"/>
      <c r="H74" s="23"/>
      <c r="I74" s="23"/>
      <c r="J74" s="250"/>
      <c r="K74" s="250">
        <f>VLOOKUP($C74,'QTY '!E74:G149,3,0)</f>
        <v>1.2788333333333332E-2</v>
      </c>
      <c r="L74" s="251">
        <f>$K74*'QTY '!I74</f>
        <v>0</v>
      </c>
      <c r="M74" s="259">
        <f>$K74*'QTY '!J74</f>
        <v>3.0691999999999995</v>
      </c>
      <c r="N74" s="260">
        <f>$K74*'QTY '!K74</f>
        <v>3.0691999999999995</v>
      </c>
      <c r="O74" s="261">
        <f>$K74*'QTY '!L74</f>
        <v>0</v>
      </c>
      <c r="P74" s="262">
        <f>$K74*'QTY '!M74</f>
        <v>4.0922666666666663</v>
      </c>
      <c r="Q74" s="260">
        <f>$K74*'QTY '!N74</f>
        <v>4.0922666666666663</v>
      </c>
      <c r="R74" s="263">
        <f>$K74*'QTY '!O74</f>
        <v>0</v>
      </c>
      <c r="S74" s="251">
        <f>$K74*'QTY '!P74</f>
        <v>5.1153333333333331</v>
      </c>
      <c r="T74" s="260">
        <f>$K74*'QTY '!Q74</f>
        <v>5.1153333333333331</v>
      </c>
      <c r="U74" s="263">
        <f>$K74*'QTY '!R74</f>
        <v>0</v>
      </c>
      <c r="V74" s="251">
        <f>$K74*'QTY '!S74</f>
        <v>6.138399999999999</v>
      </c>
      <c r="W74" s="260">
        <f>$K74*'QTY '!T74</f>
        <v>6.138399999999999</v>
      </c>
      <c r="X74" s="263">
        <f>$K74*'QTY '!U74</f>
        <v>0</v>
      </c>
      <c r="Y74" s="251">
        <f>$K74*'QTY '!V74</f>
        <v>9.2075999999999993</v>
      </c>
      <c r="Z74" s="251">
        <f>$K74*'QTY '!W74</f>
        <v>9.2075999999999993</v>
      </c>
      <c r="AA74" s="251">
        <f>$K74*'QTY '!X74</f>
        <v>0</v>
      </c>
      <c r="AB74" s="251">
        <f>$K74*'QTY '!Y74</f>
        <v>8.1845333333333325</v>
      </c>
      <c r="AC74" s="251">
        <f>$K74*'QTY '!Z74</f>
        <v>8.1845333333333325</v>
      </c>
      <c r="AD74" s="251">
        <f>$K74*'QTY '!AA74</f>
        <v>0</v>
      </c>
      <c r="AE74" s="251">
        <f>$K74*'QTY '!AB74</f>
        <v>8.1845333333333325</v>
      </c>
      <c r="AF74" s="251">
        <f>$K74*'QTY '!AC74</f>
        <v>8.1845333333333325</v>
      </c>
      <c r="AG74" s="251">
        <f t="shared" si="13"/>
        <v>0</v>
      </c>
      <c r="AH74" s="23"/>
      <c r="AJ74" s="252"/>
      <c r="AK74" s="252"/>
      <c r="AL74" s="252"/>
      <c r="AM74" s="252"/>
      <c r="AN74" s="252"/>
      <c r="AP74" s="137"/>
      <c r="AQ74" s="137"/>
      <c r="AR74" s="137"/>
      <c r="AS74" s="137"/>
      <c r="AT74" s="137"/>
    </row>
    <row r="75" spans="1:46" s="135" customFormat="1" ht="15.75" customHeight="1">
      <c r="A75" s="221"/>
      <c r="B75" s="255"/>
      <c r="C75" s="200" t="str">
        <f>+'QTY '!E75</f>
        <v>BC111-4EE80-1 C 0002</v>
      </c>
      <c r="D75" s="267"/>
      <c r="E75" s="23"/>
      <c r="F75" s="23"/>
      <c r="G75" s="23"/>
      <c r="H75" s="23"/>
      <c r="I75" s="23"/>
      <c r="J75" s="250"/>
      <c r="K75" s="250">
        <f>VLOOKUP($C75,'QTY '!E75:G150,3,0)</f>
        <v>1.2326666666666666E-2</v>
      </c>
      <c r="L75" s="251">
        <f>$K75*'QTY '!I75</f>
        <v>0</v>
      </c>
      <c r="M75" s="259">
        <f>$K75*'QTY '!J75</f>
        <v>37.966133333333332</v>
      </c>
      <c r="N75" s="260">
        <f>$K75*'QTY '!K75</f>
        <v>37.966133333333332</v>
      </c>
      <c r="O75" s="261">
        <f>$K75*'QTY '!L75</f>
        <v>0</v>
      </c>
      <c r="P75" s="262">
        <f>$K75*'QTY '!M75</f>
        <v>37.226533333333329</v>
      </c>
      <c r="Q75" s="260">
        <f>$K75*'QTY '!N75</f>
        <v>37.226533333333329</v>
      </c>
      <c r="R75" s="263">
        <f>$K75*'QTY '!O75</f>
        <v>0</v>
      </c>
      <c r="S75" s="251">
        <f>$K75*'QTY '!P75</f>
        <v>30.570133333333331</v>
      </c>
      <c r="T75" s="260">
        <f>$K75*'QTY '!Q75</f>
        <v>30.570133333333331</v>
      </c>
      <c r="U75" s="263">
        <f>$K75*'QTY '!R75</f>
        <v>0</v>
      </c>
      <c r="V75" s="251">
        <f>$K75*'QTY '!S75</f>
        <v>28.8444</v>
      </c>
      <c r="W75" s="260">
        <f>$K75*'QTY '!T75</f>
        <v>28.8444</v>
      </c>
      <c r="X75" s="263">
        <f>$K75*'QTY '!U75</f>
        <v>0</v>
      </c>
      <c r="Y75" s="251">
        <f>$K75*'QTY '!V75</f>
        <v>35.254266666666666</v>
      </c>
      <c r="Z75" s="251">
        <f>$K75*'QTY '!W75</f>
        <v>35.254266666666666</v>
      </c>
      <c r="AA75" s="251">
        <f>$K75*'QTY '!X75</f>
        <v>0</v>
      </c>
      <c r="AB75" s="251">
        <f>$K75*'QTY '!Y75</f>
        <v>31.556266666666666</v>
      </c>
      <c r="AC75" s="251">
        <f>$K75*'QTY '!Z75</f>
        <v>31.556266666666666</v>
      </c>
      <c r="AD75" s="251">
        <f>$K75*'QTY '!AA75</f>
        <v>0</v>
      </c>
      <c r="AE75" s="251">
        <f>$K75*'QTY '!AB75</f>
        <v>31.556266666666666</v>
      </c>
      <c r="AF75" s="251">
        <f>$K75*'QTY '!AC75</f>
        <v>31.556266666666666</v>
      </c>
      <c r="AG75" s="251">
        <f t="shared" si="13"/>
        <v>0</v>
      </c>
      <c r="AH75" s="23"/>
      <c r="AJ75" s="252"/>
      <c r="AK75" s="252"/>
      <c r="AL75" s="252"/>
      <c r="AM75" s="252"/>
      <c r="AN75" s="252"/>
      <c r="AP75" s="137"/>
      <c r="AQ75" s="137"/>
      <c r="AR75" s="137"/>
      <c r="AS75" s="137"/>
      <c r="AT75" s="137"/>
    </row>
    <row r="76" spans="1:46" s="135" customFormat="1" ht="15.75" customHeight="1">
      <c r="A76" s="221"/>
      <c r="B76" s="255"/>
      <c r="C76" s="200" t="str">
        <f>+'QTY '!E76</f>
        <v>BC111-47V60-1 C 0002</v>
      </c>
      <c r="D76" s="267"/>
      <c r="E76" s="23"/>
      <c r="F76" s="23"/>
      <c r="G76" s="23"/>
      <c r="H76" s="23"/>
      <c r="I76" s="23"/>
      <c r="J76" s="250"/>
      <c r="K76" s="250">
        <f>VLOOKUP($C76,'QTY '!E76:G151,3,0)</f>
        <v>1.2788333333333332E-2</v>
      </c>
      <c r="L76" s="251">
        <f>$K76*'QTY '!I76</f>
        <v>0</v>
      </c>
      <c r="M76" s="259">
        <f>$K76*'QTY '!J76</f>
        <v>14.322933333333332</v>
      </c>
      <c r="N76" s="260">
        <f>$K76*'QTY '!K76</f>
        <v>14.322933333333332</v>
      </c>
      <c r="O76" s="261">
        <f>$K76*'QTY '!L76</f>
        <v>0</v>
      </c>
      <c r="P76" s="262">
        <f>$K76*'QTY '!M76</f>
        <v>14.322933333333332</v>
      </c>
      <c r="Q76" s="260">
        <f>$K76*'QTY '!N76</f>
        <v>14.322933333333332</v>
      </c>
      <c r="R76" s="263">
        <f>$K76*'QTY '!O76</f>
        <v>0</v>
      </c>
      <c r="S76" s="251">
        <f>$K76*'QTY '!P76</f>
        <v>13.299866666666665</v>
      </c>
      <c r="T76" s="260">
        <f>$K76*'QTY '!Q76</f>
        <v>13.299866666666665</v>
      </c>
      <c r="U76" s="263">
        <f>$K76*'QTY '!R76</f>
        <v>0</v>
      </c>
      <c r="V76" s="251">
        <f>$K76*'QTY '!S76</f>
        <v>11.765266666666665</v>
      </c>
      <c r="W76" s="260">
        <f>$K76*'QTY '!T76</f>
        <v>11.765266666666665</v>
      </c>
      <c r="X76" s="263">
        <f>$K76*'QTY '!U76</f>
        <v>0</v>
      </c>
      <c r="Y76" s="251">
        <f>$K76*'QTY '!V76</f>
        <v>14.322933333333332</v>
      </c>
      <c r="Z76" s="251">
        <f>$K76*'QTY '!W76</f>
        <v>14.322933333333332</v>
      </c>
      <c r="AA76" s="251">
        <f>$K76*'QTY '!X76</f>
        <v>0</v>
      </c>
      <c r="AB76" s="251">
        <f>$K76*'QTY '!Y76</f>
        <v>13.299866666666665</v>
      </c>
      <c r="AC76" s="251">
        <f>$K76*'QTY '!Z76</f>
        <v>13.299866666666665</v>
      </c>
      <c r="AD76" s="251">
        <f>$K76*'QTY '!AA76</f>
        <v>0</v>
      </c>
      <c r="AE76" s="251">
        <f>$K76*'QTY '!AB76</f>
        <v>13.299866666666665</v>
      </c>
      <c r="AF76" s="251">
        <f>$K76*'QTY '!AC76</f>
        <v>13.299866666666665</v>
      </c>
      <c r="AG76" s="251">
        <f t="shared" si="13"/>
        <v>0</v>
      </c>
      <c r="AH76" s="23"/>
      <c r="AJ76" s="252"/>
      <c r="AK76" s="252"/>
      <c r="AL76" s="252"/>
      <c r="AM76" s="252"/>
      <c r="AN76" s="252"/>
      <c r="AP76" s="137"/>
      <c r="AQ76" s="137"/>
      <c r="AR76" s="137"/>
      <c r="AS76" s="137"/>
      <c r="AT76" s="137"/>
    </row>
    <row r="77" spans="1:46" s="135" customFormat="1" ht="15.75" customHeight="1">
      <c r="A77" s="221"/>
      <c r="B77" s="255"/>
      <c r="C77" s="200" t="str">
        <f>+'QTY '!E77</f>
        <v>JN111-62064-1   0001</v>
      </c>
      <c r="D77" s="267"/>
      <c r="E77" s="23"/>
      <c r="F77" s="23"/>
      <c r="G77" s="23"/>
      <c r="H77" s="23"/>
      <c r="I77" s="23"/>
      <c r="J77" s="250"/>
      <c r="K77" s="250">
        <f>VLOOKUP($C77,'QTY '!E77:G152,3,0)</f>
        <v>2.131333333333333E-2</v>
      </c>
      <c r="L77" s="251">
        <f>$K77*'QTY '!I77</f>
        <v>0</v>
      </c>
      <c r="M77" s="259">
        <f>$K77*'QTY '!J77</f>
        <v>0</v>
      </c>
      <c r="N77" s="260">
        <f>$K77*'QTY '!K77</f>
        <v>0</v>
      </c>
      <c r="O77" s="261">
        <f>$K77*'QTY '!L77</f>
        <v>0</v>
      </c>
      <c r="P77" s="262">
        <f>$K77*'QTY '!M77</f>
        <v>0</v>
      </c>
      <c r="Q77" s="260">
        <f>$K77*'QTY '!N77</f>
        <v>0</v>
      </c>
      <c r="R77" s="263">
        <f>$K77*'QTY '!O77</f>
        <v>0</v>
      </c>
      <c r="S77" s="251">
        <f>$K77*'QTY '!P77</f>
        <v>0</v>
      </c>
      <c r="T77" s="260">
        <f>$K77*'QTY '!Q77</f>
        <v>0</v>
      </c>
      <c r="U77" s="263">
        <f>$K77*'QTY '!R77</f>
        <v>0</v>
      </c>
      <c r="V77" s="251">
        <f>$K77*'QTY '!S77</f>
        <v>0</v>
      </c>
      <c r="W77" s="260">
        <f>$K77*'QTY '!T77</f>
        <v>0</v>
      </c>
      <c r="X77" s="263">
        <f>$K77*'QTY '!U77</f>
        <v>0</v>
      </c>
      <c r="Y77" s="251">
        <f>$K77*'QTY '!V77</f>
        <v>0</v>
      </c>
      <c r="Z77" s="251">
        <f>$K77*'QTY '!W77</f>
        <v>0</v>
      </c>
      <c r="AA77" s="251">
        <f>$K77*'QTY '!X77</f>
        <v>0</v>
      </c>
      <c r="AB77" s="251">
        <f>$K77*'QTY '!Y77</f>
        <v>0</v>
      </c>
      <c r="AC77" s="251">
        <f>$K77*'QTY '!Z77</f>
        <v>0</v>
      </c>
      <c r="AD77" s="251">
        <f>$K77*'QTY '!AA77</f>
        <v>0</v>
      </c>
      <c r="AE77" s="251">
        <f>$K77*'QTY '!AB77</f>
        <v>0</v>
      </c>
      <c r="AF77" s="251">
        <f>$K77*'QTY '!AC77</f>
        <v>0</v>
      </c>
      <c r="AG77" s="251">
        <f t="shared" si="13"/>
        <v>0</v>
      </c>
      <c r="AH77" s="23"/>
      <c r="AJ77" s="252"/>
      <c r="AK77" s="252"/>
      <c r="AL77" s="252"/>
      <c r="AM77" s="252"/>
      <c r="AN77" s="252"/>
      <c r="AP77" s="137"/>
      <c r="AQ77" s="137"/>
      <c r="AR77" s="137"/>
      <c r="AS77" s="137"/>
      <c r="AT77" s="137"/>
    </row>
    <row r="78" spans="1:46" s="135" customFormat="1" ht="15.75" customHeight="1">
      <c r="A78" s="221"/>
      <c r="B78" s="255"/>
      <c r="C78" s="200" t="str">
        <f>+'QTY '!E78</f>
        <v>JN111-62064-3   0001</v>
      </c>
      <c r="D78" s="267"/>
      <c r="E78" s="23"/>
      <c r="F78" s="23"/>
      <c r="G78" s="23"/>
      <c r="H78" s="23"/>
      <c r="I78" s="23"/>
      <c r="J78" s="250"/>
      <c r="K78" s="250">
        <f>VLOOKUP($C78,'QTY '!E78:G153,3,0)</f>
        <v>1.7868333333333333E-2</v>
      </c>
      <c r="L78" s="251">
        <f>$K78*'QTY '!I78</f>
        <v>0</v>
      </c>
      <c r="M78" s="259">
        <f>$K78*'QTY '!J78</f>
        <v>0</v>
      </c>
      <c r="N78" s="260">
        <f>$K78*'QTY '!K78</f>
        <v>0</v>
      </c>
      <c r="O78" s="261">
        <f>$K78*'QTY '!L78</f>
        <v>0</v>
      </c>
      <c r="P78" s="262">
        <f>$K78*'QTY '!M78</f>
        <v>0</v>
      </c>
      <c r="Q78" s="260">
        <f>$K78*'QTY '!N78</f>
        <v>0</v>
      </c>
      <c r="R78" s="263">
        <f>$K78*'QTY '!O78</f>
        <v>0</v>
      </c>
      <c r="S78" s="251">
        <f>$K78*'QTY '!P78</f>
        <v>0</v>
      </c>
      <c r="T78" s="260">
        <f>$K78*'QTY '!Q78</f>
        <v>0</v>
      </c>
      <c r="U78" s="263">
        <f>$K78*'QTY '!R78</f>
        <v>0</v>
      </c>
      <c r="V78" s="251">
        <f>$K78*'QTY '!S78</f>
        <v>0</v>
      </c>
      <c r="W78" s="260">
        <f>$K78*'QTY '!T78</f>
        <v>0</v>
      </c>
      <c r="X78" s="263">
        <f>$K78*'QTY '!U78</f>
        <v>0</v>
      </c>
      <c r="Y78" s="251">
        <f>$K78*'QTY '!V78</f>
        <v>0</v>
      </c>
      <c r="Z78" s="251">
        <f>$K78*'QTY '!W78</f>
        <v>0</v>
      </c>
      <c r="AA78" s="251">
        <f>$K78*'QTY '!X78</f>
        <v>0</v>
      </c>
      <c r="AB78" s="251">
        <f>$K78*'QTY '!Y78</f>
        <v>0</v>
      </c>
      <c r="AC78" s="251">
        <f>$K78*'QTY '!Z78</f>
        <v>0</v>
      </c>
      <c r="AD78" s="251">
        <f>$K78*'QTY '!AA78</f>
        <v>0</v>
      </c>
      <c r="AE78" s="251">
        <f>$K78*'QTY '!AB78</f>
        <v>0</v>
      </c>
      <c r="AF78" s="251">
        <f>$K78*'QTY '!AC78</f>
        <v>0</v>
      </c>
      <c r="AG78" s="251">
        <f t="shared" si="13"/>
        <v>0</v>
      </c>
      <c r="AH78" s="23"/>
      <c r="AJ78" s="252"/>
      <c r="AK78" s="252"/>
      <c r="AL78" s="252"/>
      <c r="AM78" s="252"/>
      <c r="AN78" s="252"/>
      <c r="AP78" s="137"/>
      <c r="AQ78" s="137"/>
      <c r="AR78" s="137"/>
      <c r="AS78" s="137"/>
      <c r="AT78" s="137"/>
    </row>
    <row r="79" spans="1:46" s="135" customFormat="1" ht="15.75" customHeight="1">
      <c r="A79" s="221"/>
      <c r="B79" s="255"/>
      <c r="C79" s="200" t="str">
        <f>+'QTY '!E79</f>
        <v>JN111-62215-1   0001</v>
      </c>
      <c r="D79" s="267"/>
      <c r="E79" s="23"/>
      <c r="F79" s="23"/>
      <c r="G79" s="23"/>
      <c r="H79" s="23"/>
      <c r="I79" s="23"/>
      <c r="J79" s="250"/>
      <c r="K79" s="250">
        <f>VLOOKUP($C79,'QTY '!E79:G154,3,0)</f>
        <v>1.8790000000000001E-2</v>
      </c>
      <c r="L79" s="251">
        <f>$K79*'QTY '!I79</f>
        <v>0</v>
      </c>
      <c r="M79" s="259">
        <f>$K79*'QTY '!J79</f>
        <v>0</v>
      </c>
      <c r="N79" s="260">
        <f>$K79*'QTY '!K79</f>
        <v>0</v>
      </c>
      <c r="O79" s="261">
        <f>$K79*'QTY '!L79</f>
        <v>0</v>
      </c>
      <c r="P79" s="262">
        <f>$K79*'QTY '!M79</f>
        <v>0.9395</v>
      </c>
      <c r="Q79" s="260">
        <f>$K79*'QTY '!N79</f>
        <v>0.9395</v>
      </c>
      <c r="R79" s="263">
        <f>$K79*'QTY '!O79</f>
        <v>0</v>
      </c>
      <c r="S79" s="251">
        <f>$K79*'QTY '!P79</f>
        <v>0</v>
      </c>
      <c r="T79" s="260">
        <f>$K79*'QTY '!Q79</f>
        <v>0</v>
      </c>
      <c r="U79" s="263">
        <f>$K79*'QTY '!R79</f>
        <v>0</v>
      </c>
      <c r="V79" s="251">
        <f>$K79*'QTY '!S79</f>
        <v>0</v>
      </c>
      <c r="W79" s="260">
        <f>$K79*'QTY '!T79</f>
        <v>0</v>
      </c>
      <c r="X79" s="263">
        <f>$K79*'QTY '!U79</f>
        <v>0</v>
      </c>
      <c r="Y79" s="251">
        <f>$K79*'QTY '!V79</f>
        <v>0</v>
      </c>
      <c r="Z79" s="251">
        <f>$K79*'QTY '!W79</f>
        <v>0</v>
      </c>
      <c r="AA79" s="251">
        <f>$K79*'QTY '!X79</f>
        <v>0</v>
      </c>
      <c r="AB79" s="251">
        <f>$K79*'QTY '!Y79</f>
        <v>0.9395</v>
      </c>
      <c r="AC79" s="251">
        <f>$K79*'QTY '!Z79</f>
        <v>0.9395</v>
      </c>
      <c r="AD79" s="251">
        <f>$K79*'QTY '!AA79</f>
        <v>0</v>
      </c>
      <c r="AE79" s="251">
        <f>$K79*'QTY '!AB79</f>
        <v>0.9395</v>
      </c>
      <c r="AF79" s="251">
        <f>$K79*'QTY '!AC79</f>
        <v>0.9395</v>
      </c>
      <c r="AG79" s="251">
        <f t="shared" si="13"/>
        <v>0</v>
      </c>
      <c r="AH79" s="23"/>
      <c r="AJ79" s="252"/>
      <c r="AK79" s="252"/>
      <c r="AL79" s="252"/>
      <c r="AM79" s="252"/>
      <c r="AN79" s="252"/>
      <c r="AP79" s="137"/>
      <c r="AQ79" s="137"/>
      <c r="AR79" s="137"/>
      <c r="AS79" s="137"/>
      <c r="AT79" s="137"/>
    </row>
    <row r="80" spans="1:46" s="135" customFormat="1" ht="15.75" customHeight="1">
      <c r="A80" s="221"/>
      <c r="B80" s="255"/>
      <c r="C80" s="200" t="str">
        <f>+'QTY '!E80</f>
        <v>JN111-62215-3   0001</v>
      </c>
      <c r="D80" s="267"/>
      <c r="E80" s="23"/>
      <c r="F80" s="23"/>
      <c r="G80" s="23"/>
      <c r="H80" s="23"/>
      <c r="I80" s="23"/>
      <c r="J80" s="250"/>
      <c r="K80" s="250">
        <f>VLOOKUP($C80,'QTY '!E80:G155,3,0)</f>
        <v>1.5343333333333334E-2</v>
      </c>
      <c r="L80" s="251">
        <f>$K80*'QTY '!I80</f>
        <v>0</v>
      </c>
      <c r="M80" s="259">
        <f>$K80*'QTY '!J80</f>
        <v>0</v>
      </c>
      <c r="N80" s="260">
        <f>$K80*'QTY '!K80</f>
        <v>0</v>
      </c>
      <c r="O80" s="261">
        <f>$K80*'QTY '!L80</f>
        <v>0</v>
      </c>
      <c r="P80" s="262">
        <f>$K80*'QTY '!M80</f>
        <v>0</v>
      </c>
      <c r="Q80" s="260">
        <f>$K80*'QTY '!N80</f>
        <v>0</v>
      </c>
      <c r="R80" s="263">
        <f>$K80*'QTY '!O80</f>
        <v>0</v>
      </c>
      <c r="S80" s="251">
        <f>$K80*'QTY '!P80</f>
        <v>0.76716666666666666</v>
      </c>
      <c r="T80" s="260">
        <f>$K80*'QTY '!Q80</f>
        <v>0.76716666666666666</v>
      </c>
      <c r="U80" s="263">
        <f>$K80*'QTY '!R80</f>
        <v>0</v>
      </c>
      <c r="V80" s="251">
        <f>$K80*'QTY '!S80</f>
        <v>0</v>
      </c>
      <c r="W80" s="260">
        <f>$K80*'QTY '!T80</f>
        <v>0</v>
      </c>
      <c r="X80" s="263">
        <f>$K80*'QTY '!U80</f>
        <v>0</v>
      </c>
      <c r="Y80" s="251">
        <f>$K80*'QTY '!V80</f>
        <v>0</v>
      </c>
      <c r="Z80" s="251">
        <f>$K80*'QTY '!W80</f>
        <v>0</v>
      </c>
      <c r="AA80" s="251">
        <f>$K80*'QTY '!X80</f>
        <v>0</v>
      </c>
      <c r="AB80" s="251">
        <f>$K80*'QTY '!Y80</f>
        <v>0</v>
      </c>
      <c r="AC80" s="251">
        <f>$K80*'QTY '!Z80</f>
        <v>0</v>
      </c>
      <c r="AD80" s="251">
        <f>$K80*'QTY '!AA80</f>
        <v>0</v>
      </c>
      <c r="AE80" s="251">
        <f>$K80*'QTY '!AB80</f>
        <v>0</v>
      </c>
      <c r="AF80" s="251">
        <f>$K80*'QTY '!AC80</f>
        <v>0</v>
      </c>
      <c r="AG80" s="251">
        <f t="shared" si="13"/>
        <v>0</v>
      </c>
      <c r="AH80" s="23"/>
      <c r="AJ80" s="252"/>
      <c r="AK80" s="252"/>
      <c r="AL80" s="252"/>
      <c r="AM80" s="252"/>
      <c r="AN80" s="252"/>
      <c r="AP80" s="137"/>
      <c r="AQ80" s="137"/>
      <c r="AR80" s="137"/>
      <c r="AS80" s="137"/>
      <c r="AT80" s="137"/>
    </row>
    <row r="81" spans="1:46" s="135" customFormat="1" ht="15.75" customHeight="1">
      <c r="A81" s="221"/>
      <c r="B81" s="255"/>
      <c r="C81" s="200" t="str">
        <f>+'QTY '!E81</f>
        <v>BC111-62064-2   0001</v>
      </c>
      <c r="D81" s="267"/>
      <c r="E81" s="23"/>
      <c r="F81" s="23"/>
      <c r="G81" s="23"/>
      <c r="H81" s="23"/>
      <c r="I81" s="23"/>
      <c r="J81" s="250"/>
      <c r="K81" s="250">
        <f>VLOOKUP($C81,'QTY '!E81:G156,3,0)</f>
        <v>1.6293333333333333E-2</v>
      </c>
      <c r="L81" s="251">
        <f>$K81*'QTY '!I81</f>
        <v>0</v>
      </c>
      <c r="M81" s="259">
        <f>$K81*'QTY '!J81</f>
        <v>0.65173333333333328</v>
      </c>
      <c r="N81" s="260">
        <f>$K81*'QTY '!K81</f>
        <v>0.65173333333333328</v>
      </c>
      <c r="O81" s="261">
        <f>$K81*'QTY '!L81</f>
        <v>0</v>
      </c>
      <c r="P81" s="262">
        <f>$K81*'QTY '!M81</f>
        <v>0</v>
      </c>
      <c r="Q81" s="260">
        <f>$K81*'QTY '!N81</f>
        <v>0</v>
      </c>
      <c r="R81" s="263">
        <f>$K81*'QTY '!O81</f>
        <v>0</v>
      </c>
      <c r="S81" s="251">
        <f>$K81*'QTY '!P81</f>
        <v>0</v>
      </c>
      <c r="T81" s="260">
        <f>$K81*'QTY '!Q81</f>
        <v>0</v>
      </c>
      <c r="U81" s="263">
        <f>$K81*'QTY '!R81</f>
        <v>0</v>
      </c>
      <c r="V81" s="251">
        <f>$K81*'QTY '!S81</f>
        <v>0</v>
      </c>
      <c r="W81" s="260">
        <f>$K81*'QTY '!T81</f>
        <v>0</v>
      </c>
      <c r="X81" s="263">
        <f>$K81*'QTY '!U81</f>
        <v>0</v>
      </c>
      <c r="Y81" s="251">
        <f>$K81*'QTY '!V81</f>
        <v>0</v>
      </c>
      <c r="Z81" s="251">
        <f>$K81*'QTY '!W81</f>
        <v>0</v>
      </c>
      <c r="AA81" s="251">
        <f>$K81*'QTY '!X81</f>
        <v>0</v>
      </c>
      <c r="AB81" s="251">
        <f>$K81*'QTY '!Y81</f>
        <v>0</v>
      </c>
      <c r="AC81" s="251">
        <f>$K81*'QTY '!Z81</f>
        <v>0</v>
      </c>
      <c r="AD81" s="251">
        <f>$K81*'QTY '!AA81</f>
        <v>0</v>
      </c>
      <c r="AE81" s="251">
        <f>$K81*'QTY '!AB81</f>
        <v>0</v>
      </c>
      <c r="AF81" s="251">
        <f>$K81*'QTY '!AC81</f>
        <v>0</v>
      </c>
      <c r="AG81" s="251">
        <f t="shared" si="13"/>
        <v>0</v>
      </c>
      <c r="AH81" s="23"/>
      <c r="AJ81" s="252"/>
      <c r="AK81" s="252"/>
      <c r="AL81" s="252"/>
      <c r="AM81" s="252"/>
      <c r="AN81" s="252"/>
      <c r="AP81" s="137"/>
      <c r="AQ81" s="137"/>
      <c r="AR81" s="137"/>
      <c r="AS81" s="137"/>
      <c r="AT81" s="137"/>
    </row>
    <row r="82" spans="1:46" s="135" customFormat="1" ht="15.75" customHeight="1">
      <c r="A82" s="221"/>
      <c r="B82" s="255"/>
      <c r="C82" s="200" t="str">
        <f>+'QTY '!E82</f>
        <v>BC111-62215-2   0001</v>
      </c>
      <c r="D82" s="267"/>
      <c r="E82" s="23"/>
      <c r="F82" s="23"/>
      <c r="G82" s="23"/>
      <c r="H82" s="23"/>
      <c r="I82" s="23"/>
      <c r="J82" s="250"/>
      <c r="K82" s="250">
        <f>VLOOKUP($C82,'QTY '!E82:G157,3,0)</f>
        <v>1.6293333333333333E-2</v>
      </c>
      <c r="L82" s="251">
        <f>$K82*'QTY '!I82</f>
        <v>0</v>
      </c>
      <c r="M82" s="259">
        <f>$K82*'QTY '!J82</f>
        <v>0</v>
      </c>
      <c r="N82" s="260">
        <f>$K82*'QTY '!K82</f>
        <v>0</v>
      </c>
      <c r="O82" s="261">
        <f>$K82*'QTY '!L82</f>
        <v>0</v>
      </c>
      <c r="P82" s="262">
        <f>$K82*'QTY '!M82</f>
        <v>0.65173333333333328</v>
      </c>
      <c r="Q82" s="260">
        <f>$K82*'QTY '!N82</f>
        <v>0.65173333333333328</v>
      </c>
      <c r="R82" s="263">
        <f>$K82*'QTY '!O82</f>
        <v>0</v>
      </c>
      <c r="S82" s="251">
        <f>$K82*'QTY '!P82</f>
        <v>0.65173333333333328</v>
      </c>
      <c r="T82" s="260">
        <f>$K82*'QTY '!Q82</f>
        <v>0.65173333333333328</v>
      </c>
      <c r="U82" s="263">
        <f>$K82*'QTY '!R82</f>
        <v>0</v>
      </c>
      <c r="V82" s="251">
        <f>$K82*'QTY '!S82</f>
        <v>0.32586666666666664</v>
      </c>
      <c r="W82" s="260">
        <f>$K82*'QTY '!T82</f>
        <v>0.32586666666666664</v>
      </c>
      <c r="X82" s="263">
        <f>$K82*'QTY '!U82</f>
        <v>0</v>
      </c>
      <c r="Y82" s="251">
        <f>$K82*'QTY '!V82</f>
        <v>0.32586666666666664</v>
      </c>
      <c r="Z82" s="251">
        <f>$K82*'QTY '!W82</f>
        <v>0.32586666666666664</v>
      </c>
      <c r="AA82" s="251">
        <f>$K82*'QTY '!X82</f>
        <v>0</v>
      </c>
      <c r="AB82" s="251">
        <f>$K82*'QTY '!Y82</f>
        <v>0.32586666666666664</v>
      </c>
      <c r="AC82" s="251">
        <f>$K82*'QTY '!Z82</f>
        <v>0.32586666666666664</v>
      </c>
      <c r="AD82" s="251">
        <f>$K82*'QTY '!AA82</f>
        <v>0</v>
      </c>
      <c r="AE82" s="251">
        <f>$K82*'QTY '!AB82</f>
        <v>0.32586666666666664</v>
      </c>
      <c r="AF82" s="251">
        <f>$K82*'QTY '!AC82</f>
        <v>0.32586666666666664</v>
      </c>
      <c r="AG82" s="251">
        <f t="shared" si="13"/>
        <v>0</v>
      </c>
      <c r="AH82" s="23"/>
      <c r="AJ82" s="252"/>
      <c r="AK82" s="252"/>
      <c r="AL82" s="252"/>
      <c r="AM82" s="252"/>
      <c r="AN82" s="252"/>
      <c r="AP82" s="137"/>
      <c r="AQ82" s="137"/>
      <c r="AR82" s="137"/>
      <c r="AS82" s="137"/>
      <c r="AT82" s="137"/>
    </row>
    <row r="83" spans="1:46" s="135" customFormat="1" ht="15.75" customHeight="1">
      <c r="A83" s="221"/>
      <c r="B83" s="255"/>
      <c r="C83" s="200" t="str">
        <f>+'QTY '!E83</f>
        <v>BC115-5CC80-1   0001</v>
      </c>
      <c r="D83" s="267"/>
      <c r="E83" s="23"/>
      <c r="F83" s="23"/>
      <c r="G83" s="23"/>
      <c r="H83" s="23"/>
      <c r="I83" s="23"/>
      <c r="J83" s="250"/>
      <c r="K83" s="250">
        <f>VLOOKUP($C83,'QTY '!E83:G158,3,0)</f>
        <v>1.2855E-2</v>
      </c>
      <c r="L83" s="251">
        <f>$K83*'QTY '!I83</f>
        <v>0</v>
      </c>
      <c r="M83" s="259">
        <f>$K83*'QTY '!J83</f>
        <v>43.964100000000002</v>
      </c>
      <c r="N83" s="260">
        <f>$K83*'QTY '!K83</f>
        <v>43.964100000000002</v>
      </c>
      <c r="O83" s="261">
        <f>$K83*'QTY '!L83</f>
        <v>0</v>
      </c>
      <c r="P83" s="262">
        <f>$K83*'QTY '!M83</f>
        <v>37.022399999999998</v>
      </c>
      <c r="Q83" s="260">
        <f>$K83*'QTY '!N83</f>
        <v>37.022399999999998</v>
      </c>
      <c r="R83" s="263">
        <f>$K83*'QTY '!O83</f>
        <v>0</v>
      </c>
      <c r="S83" s="251">
        <f>$K83*'QTY '!P83</f>
        <v>40.107599999999998</v>
      </c>
      <c r="T83" s="260">
        <f>$K83*'QTY '!Q83</f>
        <v>40.107599999999998</v>
      </c>
      <c r="U83" s="263">
        <f>$K83*'QTY '!R83</f>
        <v>0</v>
      </c>
      <c r="V83" s="251">
        <f>$K83*'QTY '!S83</f>
        <v>31.6233</v>
      </c>
      <c r="W83" s="260">
        <f>$K83*'QTY '!T83</f>
        <v>31.6233</v>
      </c>
      <c r="X83" s="263">
        <f>$K83*'QTY '!U83</f>
        <v>0</v>
      </c>
      <c r="Y83" s="251">
        <f>$K83*'QTY '!V83</f>
        <v>23.910299999999999</v>
      </c>
      <c r="Z83" s="251">
        <f>$K83*'QTY '!W83</f>
        <v>23.910299999999999</v>
      </c>
      <c r="AA83" s="251">
        <f>$K83*'QTY '!X83</f>
        <v>0</v>
      </c>
      <c r="AB83" s="251">
        <f>$K83*'QTY '!Y83</f>
        <v>18.511199999999999</v>
      </c>
      <c r="AC83" s="251">
        <f>$K83*'QTY '!Z83</f>
        <v>18.511199999999999</v>
      </c>
      <c r="AD83" s="251">
        <f>$K83*'QTY '!AA83</f>
        <v>0</v>
      </c>
      <c r="AE83" s="251">
        <f>$K83*'QTY '!AB83</f>
        <v>18.511199999999999</v>
      </c>
      <c r="AF83" s="251">
        <f>$K83*'QTY '!AC83</f>
        <v>18.511199999999999</v>
      </c>
      <c r="AG83" s="251">
        <f t="shared" si="13"/>
        <v>0</v>
      </c>
      <c r="AH83" s="23"/>
      <c r="AJ83" s="252"/>
      <c r="AK83" s="252"/>
      <c r="AL83" s="252"/>
      <c r="AM83" s="252"/>
      <c r="AN83" s="252"/>
      <c r="AP83" s="137"/>
      <c r="AQ83" s="137"/>
      <c r="AR83" s="137"/>
      <c r="AS83" s="137"/>
      <c r="AT83" s="137"/>
    </row>
    <row r="84" spans="1:46" s="135" customFormat="1" ht="15.75" customHeight="1" thickBot="1">
      <c r="A84" s="221"/>
      <c r="B84" s="255"/>
      <c r="C84" s="200" t="str">
        <f>+'QTY '!E84</f>
        <v>BC115-5CC80-2   0001</v>
      </c>
      <c r="D84" s="267"/>
      <c r="E84" s="23"/>
      <c r="F84" s="23"/>
      <c r="G84" s="23"/>
      <c r="H84" s="23"/>
      <c r="I84" s="23"/>
      <c r="J84" s="250"/>
      <c r="K84" s="250">
        <f>VLOOKUP($C84,'QTY '!E84:G159,3,0)</f>
        <v>1.3455000000000002E-2</v>
      </c>
      <c r="L84" s="251">
        <f>$K84*'QTY '!I84</f>
        <v>0</v>
      </c>
      <c r="M84" s="259">
        <f>$K84*'QTY '!J84</f>
        <v>46.016100000000009</v>
      </c>
      <c r="N84" s="260">
        <f>$K84*'QTY '!K84</f>
        <v>46.016100000000009</v>
      </c>
      <c r="O84" s="261">
        <f>$K84*'QTY '!L84</f>
        <v>0</v>
      </c>
      <c r="P84" s="262">
        <f>$K84*'QTY '!M84</f>
        <v>39.557700000000004</v>
      </c>
      <c r="Q84" s="260">
        <f>$K84*'QTY '!N84</f>
        <v>39.557700000000004</v>
      </c>
      <c r="R84" s="263">
        <f>$K84*'QTY '!O84</f>
        <v>0</v>
      </c>
      <c r="S84" s="251">
        <f>$K84*'QTY '!P84</f>
        <v>41.172300000000007</v>
      </c>
      <c r="T84" s="260">
        <f>$K84*'QTY '!Q84</f>
        <v>41.172300000000007</v>
      </c>
      <c r="U84" s="263">
        <f>$K84*'QTY '!R84</f>
        <v>0</v>
      </c>
      <c r="V84" s="251">
        <f>$K84*'QTY '!S84</f>
        <v>33.099300000000007</v>
      </c>
      <c r="W84" s="260">
        <f>$K84*'QTY '!T84</f>
        <v>33.099300000000007</v>
      </c>
      <c r="X84" s="263">
        <f>$K84*'QTY '!U84</f>
        <v>0</v>
      </c>
      <c r="Y84" s="251">
        <f>$K84*'QTY '!V84</f>
        <v>25.026300000000003</v>
      </c>
      <c r="Z84" s="251">
        <f>$K84*'QTY '!W84</f>
        <v>25.026300000000003</v>
      </c>
      <c r="AA84" s="251">
        <f>$K84*'QTY '!X84</f>
        <v>0</v>
      </c>
      <c r="AB84" s="251">
        <f>$K84*'QTY '!Y84</f>
        <v>19.375200000000003</v>
      </c>
      <c r="AC84" s="251">
        <f>$K84*'QTY '!Z84</f>
        <v>19.375200000000003</v>
      </c>
      <c r="AD84" s="251">
        <f>$K84*'QTY '!AA84</f>
        <v>0</v>
      </c>
      <c r="AE84" s="251">
        <f>$K84*'QTY '!AB84</f>
        <v>19.375200000000003</v>
      </c>
      <c r="AF84" s="251">
        <f>$K84*'QTY '!AC84</f>
        <v>19.375200000000003</v>
      </c>
      <c r="AG84" s="251">
        <f t="shared" si="13"/>
        <v>0</v>
      </c>
      <c r="AH84" s="23"/>
      <c r="AJ84" s="252"/>
      <c r="AK84" s="252"/>
      <c r="AL84" s="252"/>
      <c r="AM84" s="252"/>
      <c r="AN84" s="252"/>
      <c r="AP84" s="137"/>
      <c r="AQ84" s="137"/>
      <c r="AR84" s="137"/>
      <c r="AS84" s="137"/>
      <c r="AT84" s="137"/>
    </row>
    <row r="85" spans="1:46" ht="15.75" customHeight="1" thickBot="1">
      <c r="A85" s="221"/>
      <c r="B85" s="20"/>
      <c r="C85" s="341" t="s">
        <v>130</v>
      </c>
      <c r="D85" s="342"/>
      <c r="E85" s="342"/>
      <c r="F85" s="342"/>
      <c r="G85" s="342"/>
      <c r="H85" s="342"/>
      <c r="I85" s="342"/>
      <c r="J85" s="342"/>
      <c r="K85" s="217"/>
      <c r="L85" s="218">
        <f>SUM(L9:L84)</f>
        <v>0</v>
      </c>
      <c r="M85" s="218">
        <f t="shared" ref="M85:AF85" si="14">SUM(M9:M84)</f>
        <v>1225.6039666666666</v>
      </c>
      <c r="N85" s="218">
        <f t="shared" si="14"/>
        <v>1225.6039666666666</v>
      </c>
      <c r="O85" s="218">
        <f t="shared" si="14"/>
        <v>0</v>
      </c>
      <c r="P85" s="218">
        <f t="shared" si="14"/>
        <v>1033.4423833333335</v>
      </c>
      <c r="Q85" s="218">
        <f t="shared" si="14"/>
        <v>1033.4423833333335</v>
      </c>
      <c r="R85" s="218">
        <f t="shared" si="14"/>
        <v>0</v>
      </c>
      <c r="S85" s="218">
        <f t="shared" si="14"/>
        <v>943.8574666666666</v>
      </c>
      <c r="T85" s="218">
        <f t="shared" si="14"/>
        <v>943.8574666666666</v>
      </c>
      <c r="U85" s="218">
        <f t="shared" si="14"/>
        <v>0</v>
      </c>
      <c r="V85" s="218">
        <f t="shared" si="14"/>
        <v>834.89168333333328</v>
      </c>
      <c r="W85" s="218">
        <f t="shared" si="14"/>
        <v>834.89168333333328</v>
      </c>
      <c r="X85" s="218">
        <f t="shared" si="14"/>
        <v>0</v>
      </c>
      <c r="Y85" s="218">
        <f t="shared" si="14"/>
        <v>968.97733333333349</v>
      </c>
      <c r="Z85" s="218">
        <f t="shared" si="14"/>
        <v>968.97733333333349</v>
      </c>
      <c r="AA85" s="218">
        <f t="shared" si="14"/>
        <v>0</v>
      </c>
      <c r="AB85" s="218">
        <f t="shared" si="14"/>
        <v>1104.4644333333329</v>
      </c>
      <c r="AC85" s="218">
        <f t="shared" si="14"/>
        <v>1104.4644333333329</v>
      </c>
      <c r="AD85" s="218">
        <f t="shared" si="14"/>
        <v>0</v>
      </c>
      <c r="AE85" s="218">
        <f t="shared" si="14"/>
        <v>1104.4644333333329</v>
      </c>
      <c r="AF85" s="218">
        <f t="shared" si="14"/>
        <v>1104.4644333333329</v>
      </c>
      <c r="AG85" s="218">
        <f>SUM(AG9:AG54)</f>
        <v>0</v>
      </c>
      <c r="AH85" s="87"/>
      <c r="AJ85" s="117">
        <f>SUM(AJ9:AJ38)</f>
        <v>37</v>
      </c>
      <c r="AK85" s="117">
        <f>SUM(AK9:AK38)</f>
        <v>31</v>
      </c>
      <c r="AL85" s="117">
        <f>SUM(AL9:AL38)</f>
        <v>41</v>
      </c>
      <c r="AM85" s="117">
        <f>SUM(AM9:AM38)</f>
        <v>60</v>
      </c>
      <c r="AN85" s="117">
        <f>SUM(AN9:AN38)</f>
        <v>60</v>
      </c>
    </row>
    <row r="86" spans="1:46" ht="15.75" customHeight="1">
      <c r="A86" s="221"/>
      <c r="B86" s="21"/>
      <c r="C86" s="272" t="s">
        <v>18</v>
      </c>
      <c r="D86" s="273"/>
      <c r="E86" s="273"/>
      <c r="F86" s="273"/>
      <c r="G86" s="273"/>
      <c r="H86" s="273"/>
      <c r="I86" s="273"/>
      <c r="J86" s="273"/>
      <c r="K86" s="142"/>
      <c r="L86" s="274" t="str">
        <f>L6</f>
        <v>FEB</v>
      </c>
      <c r="M86" s="275"/>
      <c r="N86" s="276"/>
      <c r="O86" s="274" t="str">
        <f>O6</f>
        <v>MAR</v>
      </c>
      <c r="P86" s="275"/>
      <c r="Q86" s="276"/>
      <c r="R86" s="274" t="str">
        <f>R6</f>
        <v>APR</v>
      </c>
      <c r="S86" s="275"/>
      <c r="T86" s="276"/>
      <c r="U86" s="274" t="str">
        <f>U6</f>
        <v>MAY</v>
      </c>
      <c r="V86" s="275"/>
      <c r="W86" s="276"/>
      <c r="X86" s="274" t="str">
        <f>X6</f>
        <v>JUN</v>
      </c>
      <c r="Y86" s="275"/>
      <c r="Z86" s="276"/>
      <c r="AA86" s="274" t="str">
        <f>AA6</f>
        <v>JUL</v>
      </c>
      <c r="AB86" s="275"/>
      <c r="AC86" s="276"/>
      <c r="AD86" s="274" t="str">
        <f>AD6</f>
        <v>AUG</v>
      </c>
      <c r="AE86" s="275"/>
      <c r="AF86" s="276"/>
      <c r="AG86" s="22"/>
      <c r="AH86" s="3"/>
      <c r="AJ86" s="120">
        <f>+AJ85*AJ7</f>
        <v>148</v>
      </c>
      <c r="AK86" s="120">
        <f>+AK85*AK7</f>
        <v>124</v>
      </c>
      <c r="AL86" s="120">
        <f>+AL85*AL7</f>
        <v>164</v>
      </c>
      <c r="AM86" s="120">
        <f>+AM85*AM7</f>
        <v>240</v>
      </c>
      <c r="AN86" s="120">
        <f>+AN85*AN7</f>
        <v>240</v>
      </c>
      <c r="AP86" s="115"/>
      <c r="AQ86" s="115"/>
      <c r="AR86" s="115"/>
      <c r="AS86" s="115"/>
      <c r="AT86" s="115"/>
    </row>
    <row r="87" spans="1:46" ht="15.75" customHeight="1">
      <c r="A87" s="221"/>
      <c r="B87" s="21"/>
      <c r="C87" s="286" t="s">
        <v>5</v>
      </c>
      <c r="D87" s="287"/>
      <c r="E87" s="287"/>
      <c r="F87" s="287"/>
      <c r="G87" s="287"/>
      <c r="H87" s="287"/>
      <c r="I87" s="287"/>
      <c r="J87" s="287"/>
      <c r="K87" s="140"/>
      <c r="L87" s="281">
        <f>VLOOKUP(L6,[11]Calender!$A$324:$I$383,2,0)</f>
        <v>19</v>
      </c>
      <c r="M87" s="282"/>
      <c r="N87" s="283"/>
      <c r="O87" s="130">
        <f>VLOOKUP(O6,[12]Calender!$A$386:$I$445,2,0)</f>
        <v>22</v>
      </c>
      <c r="P87" s="131"/>
      <c r="Q87" s="132"/>
      <c r="R87" s="130">
        <f>VLOOKUP(R6,[12]Calender!$A$386:$I$445,2,0)</f>
        <v>19</v>
      </c>
      <c r="S87" s="131"/>
      <c r="T87" s="132"/>
      <c r="U87" s="130">
        <f>VLOOKUP(U6,[13]Calender!$A$449:$I$518,2,0)</f>
        <v>21</v>
      </c>
      <c r="V87" s="131"/>
      <c r="W87" s="132"/>
      <c r="X87" s="130">
        <f>VLOOKUP(X6,[13]Calender!$A$449:$I$518,2,0)</f>
        <v>21</v>
      </c>
      <c r="Y87" s="131"/>
      <c r="Z87" s="132"/>
      <c r="AA87" s="130">
        <f>VLOOKUP(AA6,[13]Calender!$A$449:$I$518,2,0)</f>
        <v>22</v>
      </c>
      <c r="AB87" s="131"/>
      <c r="AC87" s="132"/>
      <c r="AD87" s="130">
        <f>VLOOKUP(AD6,[13]Calender!$A$449:$I$518,2,0)</f>
        <v>19</v>
      </c>
      <c r="AE87" s="131"/>
      <c r="AF87" s="132"/>
      <c r="AG87" s="22"/>
      <c r="AH87" s="3"/>
    </row>
    <row r="88" spans="1:46">
      <c r="C88" s="27" t="s">
        <v>109</v>
      </c>
      <c r="K88" s="236" t="s">
        <v>137</v>
      </c>
      <c r="L88" s="233">
        <f t="shared" ref="L88:AF88" si="15">SUM(L9:L38)</f>
        <v>0</v>
      </c>
      <c r="M88" s="234">
        <f t="shared" si="15"/>
        <v>436.88316666666657</v>
      </c>
      <c r="N88" s="235">
        <f t="shared" si="15"/>
        <v>436.88316666666657</v>
      </c>
      <c r="O88" s="233">
        <f t="shared" si="15"/>
        <v>0</v>
      </c>
      <c r="P88" s="234">
        <f t="shared" si="15"/>
        <v>369.63125000000002</v>
      </c>
      <c r="Q88" s="235">
        <f t="shared" si="15"/>
        <v>369.63125000000002</v>
      </c>
      <c r="R88" s="233">
        <f t="shared" si="15"/>
        <v>0</v>
      </c>
      <c r="S88" s="234">
        <f t="shared" si="15"/>
        <v>318.5082666666666</v>
      </c>
      <c r="T88" s="235">
        <f t="shared" si="15"/>
        <v>318.5082666666666</v>
      </c>
      <c r="U88" s="233">
        <f t="shared" si="15"/>
        <v>0</v>
      </c>
      <c r="V88" s="234">
        <f t="shared" si="15"/>
        <v>283.29745000000003</v>
      </c>
      <c r="W88" s="235">
        <f t="shared" si="15"/>
        <v>283.29745000000003</v>
      </c>
      <c r="X88" s="233">
        <f t="shared" si="15"/>
        <v>0</v>
      </c>
      <c r="Y88" s="234">
        <f t="shared" si="15"/>
        <v>340.96236666666664</v>
      </c>
      <c r="Z88" s="235">
        <f t="shared" si="15"/>
        <v>340.96236666666664</v>
      </c>
      <c r="AA88" s="233">
        <f t="shared" si="15"/>
        <v>0</v>
      </c>
      <c r="AB88" s="234">
        <f t="shared" si="15"/>
        <v>448.06093333333325</v>
      </c>
      <c r="AC88" s="235">
        <f t="shared" si="15"/>
        <v>448.06093333333325</v>
      </c>
      <c r="AD88" s="233">
        <f t="shared" si="15"/>
        <v>0</v>
      </c>
      <c r="AE88" s="234">
        <f t="shared" si="15"/>
        <v>448.06093333333325</v>
      </c>
      <c r="AF88" s="235">
        <f t="shared" si="15"/>
        <v>448.06093333333325</v>
      </c>
      <c r="AG88" s="119"/>
    </row>
    <row r="89" spans="1:46">
      <c r="K89" s="236" t="s">
        <v>136</v>
      </c>
      <c r="L89" s="233">
        <f>SUM(L39:L51)</f>
        <v>0</v>
      </c>
      <c r="M89" s="234">
        <f>SUM(M39:M54)</f>
        <v>385.52200000000005</v>
      </c>
      <c r="N89" s="235">
        <f>SUM(N39:N51)</f>
        <v>283.42260000000005</v>
      </c>
      <c r="O89" s="233">
        <f>SUM(O39:O51)</f>
        <v>0</v>
      </c>
      <c r="P89" s="234">
        <f>SUM(P39:P54)</f>
        <v>343.56026666666668</v>
      </c>
      <c r="Q89" s="235">
        <f>SUM(Q39:Q54)</f>
        <v>343.56026666666668</v>
      </c>
      <c r="R89" s="233">
        <f t="shared" ref="R89:AF89" si="16">SUM(R39:R51)</f>
        <v>0</v>
      </c>
      <c r="S89" s="234">
        <f t="shared" si="16"/>
        <v>274.19606666666664</v>
      </c>
      <c r="T89" s="235">
        <f t="shared" si="16"/>
        <v>274.19606666666664</v>
      </c>
      <c r="U89" s="233">
        <f t="shared" si="16"/>
        <v>0</v>
      </c>
      <c r="V89" s="234">
        <f t="shared" si="16"/>
        <v>236.91420000000002</v>
      </c>
      <c r="W89" s="235">
        <f t="shared" si="16"/>
        <v>236.91420000000002</v>
      </c>
      <c r="X89" s="233">
        <f t="shared" si="16"/>
        <v>0</v>
      </c>
      <c r="Y89" s="234">
        <f t="shared" si="16"/>
        <v>273.7023333333334</v>
      </c>
      <c r="Z89" s="235">
        <f t="shared" si="16"/>
        <v>273.7023333333334</v>
      </c>
      <c r="AA89" s="233">
        <f t="shared" si="16"/>
        <v>0</v>
      </c>
      <c r="AB89" s="234">
        <f t="shared" si="16"/>
        <v>298.63660000000004</v>
      </c>
      <c r="AC89" s="235">
        <f t="shared" si="16"/>
        <v>298.63660000000004</v>
      </c>
      <c r="AD89" s="233">
        <f t="shared" si="16"/>
        <v>0</v>
      </c>
      <c r="AE89" s="234">
        <f t="shared" si="16"/>
        <v>298.63660000000004</v>
      </c>
      <c r="AF89" s="235">
        <f t="shared" si="16"/>
        <v>298.63660000000004</v>
      </c>
    </row>
    <row r="90" spans="1:46">
      <c r="L90" s="233">
        <f>SUM(L88:L89)</f>
        <v>0</v>
      </c>
      <c r="M90" s="234">
        <f>SUM(M88:M89)</f>
        <v>822.40516666666667</v>
      </c>
      <c r="N90" s="235">
        <f t="shared" ref="N90:AF90" si="17">SUM(N88:N89)</f>
        <v>720.30576666666661</v>
      </c>
      <c r="O90" s="233">
        <f t="shared" si="17"/>
        <v>0</v>
      </c>
      <c r="P90" s="234">
        <f>SUM(P88:P89)</f>
        <v>713.19151666666676</v>
      </c>
      <c r="Q90" s="235">
        <f>SUM(Q88:Q89)</f>
        <v>713.19151666666676</v>
      </c>
      <c r="R90" s="233">
        <f t="shared" si="17"/>
        <v>0</v>
      </c>
      <c r="S90" s="234">
        <f t="shared" si="17"/>
        <v>592.70433333333324</v>
      </c>
      <c r="T90" s="235">
        <f t="shared" si="17"/>
        <v>592.70433333333324</v>
      </c>
      <c r="U90" s="233">
        <f t="shared" si="17"/>
        <v>0</v>
      </c>
      <c r="V90" s="234">
        <f t="shared" si="17"/>
        <v>520.21165000000008</v>
      </c>
      <c r="W90" s="235">
        <f t="shared" si="17"/>
        <v>520.21165000000008</v>
      </c>
      <c r="X90" s="233">
        <f t="shared" si="17"/>
        <v>0</v>
      </c>
      <c r="Y90" s="234">
        <f t="shared" si="17"/>
        <v>614.66470000000004</v>
      </c>
      <c r="Z90" s="235">
        <f t="shared" si="17"/>
        <v>614.66470000000004</v>
      </c>
      <c r="AA90" s="233">
        <f t="shared" si="17"/>
        <v>0</v>
      </c>
      <c r="AB90" s="234">
        <f t="shared" si="17"/>
        <v>746.69753333333324</v>
      </c>
      <c r="AC90" s="235">
        <f t="shared" si="17"/>
        <v>746.69753333333324</v>
      </c>
      <c r="AD90" s="233">
        <f t="shared" si="17"/>
        <v>0</v>
      </c>
      <c r="AE90" s="234">
        <f t="shared" si="17"/>
        <v>746.69753333333324</v>
      </c>
      <c r="AF90" s="235">
        <f t="shared" si="17"/>
        <v>746.69753333333324</v>
      </c>
    </row>
    <row r="91" spans="1:46">
      <c r="K91" s="7" t="s">
        <v>138</v>
      </c>
      <c r="L91" s="7" t="str">
        <f>+IF(L90=L85,"OK","N-OK")</f>
        <v>OK</v>
      </c>
      <c r="M91" s="7" t="str">
        <f>+IF(M90=M85,"OK","N-OK")</f>
        <v>N-OK</v>
      </c>
      <c r="N91" s="7" t="str">
        <f t="shared" ref="N91:AF91" si="18">+IF(N90=N85,"OK","N-OK")</f>
        <v>N-OK</v>
      </c>
      <c r="O91" s="7" t="str">
        <f t="shared" si="18"/>
        <v>OK</v>
      </c>
      <c r="P91" s="7" t="str">
        <f t="shared" si="18"/>
        <v>N-OK</v>
      </c>
      <c r="Q91" s="7" t="str">
        <f t="shared" si="18"/>
        <v>N-OK</v>
      </c>
      <c r="R91" s="7" t="str">
        <f t="shared" si="18"/>
        <v>OK</v>
      </c>
      <c r="S91" s="7" t="str">
        <f t="shared" si="18"/>
        <v>N-OK</v>
      </c>
      <c r="T91" s="7" t="str">
        <f t="shared" si="18"/>
        <v>N-OK</v>
      </c>
      <c r="U91" s="7" t="str">
        <f t="shared" si="18"/>
        <v>OK</v>
      </c>
      <c r="V91" s="7" t="str">
        <f t="shared" si="18"/>
        <v>N-OK</v>
      </c>
      <c r="W91" s="7" t="str">
        <f t="shared" si="18"/>
        <v>N-OK</v>
      </c>
      <c r="X91" s="7" t="str">
        <f t="shared" si="18"/>
        <v>OK</v>
      </c>
      <c r="Y91" s="7" t="str">
        <f t="shared" si="18"/>
        <v>N-OK</v>
      </c>
      <c r="Z91" s="7" t="str">
        <f t="shared" si="18"/>
        <v>N-OK</v>
      </c>
      <c r="AA91" s="7" t="str">
        <f t="shared" si="18"/>
        <v>OK</v>
      </c>
      <c r="AB91" s="7" t="str">
        <f t="shared" si="18"/>
        <v>N-OK</v>
      </c>
      <c r="AC91" s="7" t="str">
        <f t="shared" si="18"/>
        <v>N-OK</v>
      </c>
      <c r="AD91" s="7" t="str">
        <f t="shared" si="18"/>
        <v>OK</v>
      </c>
      <c r="AE91" s="7" t="str">
        <f t="shared" si="18"/>
        <v>N-OK</v>
      </c>
      <c r="AF91" s="7" t="str">
        <f t="shared" si="18"/>
        <v>N-OK</v>
      </c>
    </row>
    <row r="92" spans="1:46">
      <c r="M92" s="119"/>
      <c r="N92" s="119"/>
      <c r="O92" s="119"/>
      <c r="P92" s="119"/>
      <c r="S92" s="119"/>
    </row>
    <row r="93" spans="1:46">
      <c r="N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</row>
  </sheetData>
  <mergeCells count="46">
    <mergeCell ref="C87:J87"/>
    <mergeCell ref="C85:J85"/>
    <mergeCell ref="C86:J86"/>
    <mergeCell ref="AD86:AF86"/>
    <mergeCell ref="L87:N87"/>
    <mergeCell ref="L86:N86"/>
    <mergeCell ref="O86:Q86"/>
    <mergeCell ref="R86:T86"/>
    <mergeCell ref="U86:W86"/>
    <mergeCell ref="X86:Z86"/>
    <mergeCell ref="AA86:AC86"/>
    <mergeCell ref="A5:B5"/>
    <mergeCell ref="M5:R5"/>
    <mergeCell ref="A6:B8"/>
    <mergeCell ref="C6:C8"/>
    <mergeCell ref="D6:D8"/>
    <mergeCell ref="E6:E8"/>
    <mergeCell ref="L6:N6"/>
    <mergeCell ref="J6:J8"/>
    <mergeCell ref="R6:T6"/>
    <mergeCell ref="K6:K8"/>
    <mergeCell ref="I6:I8"/>
    <mergeCell ref="F6:F8"/>
    <mergeCell ref="G6:G8"/>
    <mergeCell ref="H6:H8"/>
    <mergeCell ref="L1:S1"/>
    <mergeCell ref="AE1:AF1"/>
    <mergeCell ref="L2:S2"/>
    <mergeCell ref="AE2:AF3"/>
    <mergeCell ref="L3:S3"/>
    <mergeCell ref="AJ3:AN4"/>
    <mergeCell ref="M4:R4"/>
    <mergeCell ref="AE4:AF4"/>
    <mergeCell ref="L7:N7"/>
    <mergeCell ref="U7:W7"/>
    <mergeCell ref="AG6:AG8"/>
    <mergeCell ref="O7:Q7"/>
    <mergeCell ref="R7:T7"/>
    <mergeCell ref="AA7:AC7"/>
    <mergeCell ref="AD7:AF7"/>
    <mergeCell ref="AA6:AC6"/>
    <mergeCell ref="O6:Q6"/>
    <mergeCell ref="AD6:AF6"/>
    <mergeCell ref="U6:W6"/>
    <mergeCell ref="X6:Z6"/>
    <mergeCell ref="X7:Z7"/>
  </mergeCells>
  <phoneticPr fontId="31"/>
  <conditionalFormatting sqref="AJ9:AN9">
    <cfRule type="cellIs" dxfId="556" priority="218" stopIfTrue="1" operator="equal">
      <formula>#REF!</formula>
    </cfRule>
  </conditionalFormatting>
  <conditionalFormatting sqref="L9:AF9">
    <cfRule type="cellIs" dxfId="555" priority="217" stopIfTrue="1" operator="lessThan">
      <formula>0</formula>
    </cfRule>
  </conditionalFormatting>
  <conditionalFormatting sqref="L9:AF9">
    <cfRule type="cellIs" dxfId="554" priority="216" stopIfTrue="1" operator="lessThan">
      <formula>0</formula>
    </cfRule>
  </conditionalFormatting>
  <conditionalFormatting sqref="AJ11:AN11">
    <cfRule type="cellIs" dxfId="553" priority="215" stopIfTrue="1" operator="equal">
      <formula>#REF!</formula>
    </cfRule>
  </conditionalFormatting>
  <conditionalFormatting sqref="L11:AF11">
    <cfRule type="cellIs" dxfId="552" priority="214" stopIfTrue="1" operator="lessThan">
      <formula>0</formula>
    </cfRule>
  </conditionalFormatting>
  <conditionalFormatting sqref="L11:AF11">
    <cfRule type="cellIs" dxfId="551" priority="213" stopIfTrue="1" operator="lessThan">
      <formula>0</formula>
    </cfRule>
  </conditionalFormatting>
  <conditionalFormatting sqref="AJ13:AN13">
    <cfRule type="cellIs" dxfId="550" priority="212" stopIfTrue="1" operator="equal">
      <formula>#REF!</formula>
    </cfRule>
  </conditionalFormatting>
  <conditionalFormatting sqref="L13:AF13">
    <cfRule type="cellIs" dxfId="549" priority="211" stopIfTrue="1" operator="lessThan">
      <formula>0</formula>
    </cfRule>
  </conditionalFormatting>
  <conditionalFormatting sqref="L13:AF13">
    <cfRule type="cellIs" dxfId="548" priority="210" stopIfTrue="1" operator="lessThan">
      <formula>0</formula>
    </cfRule>
  </conditionalFormatting>
  <conditionalFormatting sqref="AJ15:AN37">
    <cfRule type="cellIs" dxfId="547" priority="209" stopIfTrue="1" operator="equal">
      <formula>#REF!</formula>
    </cfRule>
  </conditionalFormatting>
  <conditionalFormatting sqref="L15:AF15">
    <cfRule type="cellIs" dxfId="546" priority="208" stopIfTrue="1" operator="lessThan">
      <formula>0</formula>
    </cfRule>
  </conditionalFormatting>
  <conditionalFormatting sqref="L15:AF15">
    <cfRule type="cellIs" dxfId="545" priority="207" stopIfTrue="1" operator="lessThan">
      <formula>0</formula>
    </cfRule>
  </conditionalFormatting>
  <conditionalFormatting sqref="AJ10:AN10">
    <cfRule type="cellIs" dxfId="544" priority="194" stopIfTrue="1" operator="equal">
      <formula>#REF!</formula>
    </cfRule>
  </conditionalFormatting>
  <conditionalFormatting sqref="L10:AF10">
    <cfRule type="cellIs" dxfId="543" priority="193" stopIfTrue="1" operator="lessThan">
      <formula>0</formula>
    </cfRule>
  </conditionalFormatting>
  <conditionalFormatting sqref="L10:AF10">
    <cfRule type="cellIs" dxfId="542" priority="192" stopIfTrue="1" operator="lessThan">
      <formula>0</formula>
    </cfRule>
  </conditionalFormatting>
  <conditionalFormatting sqref="AJ12:AN12">
    <cfRule type="cellIs" dxfId="541" priority="191" stopIfTrue="1" operator="equal">
      <formula>#REF!</formula>
    </cfRule>
  </conditionalFormatting>
  <conditionalFormatting sqref="L12:AF12">
    <cfRule type="cellIs" dxfId="540" priority="190" stopIfTrue="1" operator="lessThan">
      <formula>0</formula>
    </cfRule>
  </conditionalFormatting>
  <conditionalFormatting sqref="L12:AF12">
    <cfRule type="cellIs" dxfId="539" priority="189" stopIfTrue="1" operator="lessThan">
      <formula>0</formula>
    </cfRule>
  </conditionalFormatting>
  <conditionalFormatting sqref="AJ14:AN14">
    <cfRule type="cellIs" dxfId="538" priority="188" stopIfTrue="1" operator="equal">
      <formula>#REF!</formula>
    </cfRule>
  </conditionalFormatting>
  <conditionalFormatting sqref="L14:AF14">
    <cfRule type="cellIs" dxfId="537" priority="187" stopIfTrue="1" operator="lessThan">
      <formula>0</formula>
    </cfRule>
  </conditionalFormatting>
  <conditionalFormatting sqref="L14:AF14">
    <cfRule type="cellIs" dxfId="536" priority="186" stopIfTrue="1" operator="lessThan">
      <formula>0</formula>
    </cfRule>
  </conditionalFormatting>
  <conditionalFormatting sqref="AJ38:AN38">
    <cfRule type="cellIs" dxfId="535" priority="185" stopIfTrue="1" operator="equal">
      <formula>#REF!</formula>
    </cfRule>
  </conditionalFormatting>
  <conditionalFormatting sqref="AJ40:AN40">
    <cfRule type="cellIs" dxfId="534" priority="32" stopIfTrue="1" operator="equal">
      <formula>#REF!</formula>
    </cfRule>
  </conditionalFormatting>
  <conditionalFormatting sqref="AJ42:AN42">
    <cfRule type="cellIs" dxfId="533" priority="29" stopIfTrue="1" operator="equal">
      <formula>#REF!</formula>
    </cfRule>
  </conditionalFormatting>
  <conditionalFormatting sqref="AJ39:AN39">
    <cfRule type="cellIs" dxfId="532" priority="26" stopIfTrue="1" operator="equal">
      <formula>#REF!</formula>
    </cfRule>
  </conditionalFormatting>
  <conditionalFormatting sqref="AJ41:AN41">
    <cfRule type="cellIs" dxfId="531" priority="23" stopIfTrue="1" operator="equal">
      <formula>#REF!</formula>
    </cfRule>
  </conditionalFormatting>
  <conditionalFormatting sqref="AJ43:AN43">
    <cfRule type="cellIs" dxfId="530" priority="20" stopIfTrue="1" operator="equal">
      <formula>#REF!</formula>
    </cfRule>
  </conditionalFormatting>
  <conditionalFormatting sqref="AJ44:AN44">
    <cfRule type="cellIs" dxfId="529" priority="17" stopIfTrue="1" operator="equal">
      <formula>#REF!</formula>
    </cfRule>
  </conditionalFormatting>
  <conditionalFormatting sqref="AJ46:AN46">
    <cfRule type="cellIs" dxfId="528" priority="14" stopIfTrue="1" operator="equal">
      <formula>#REF!</formula>
    </cfRule>
  </conditionalFormatting>
  <conditionalFormatting sqref="AJ45:AN45">
    <cfRule type="cellIs" dxfId="527" priority="11" stopIfTrue="1" operator="equal">
      <formula>#REF!</formula>
    </cfRule>
  </conditionalFormatting>
  <conditionalFormatting sqref="L47:AF84">
    <cfRule type="cellIs" dxfId="526" priority="7" stopIfTrue="1" operator="lessThan">
      <formula>0</formula>
    </cfRule>
  </conditionalFormatting>
  <conditionalFormatting sqref="AJ47:AN84">
    <cfRule type="cellIs" dxfId="525" priority="8" stopIfTrue="1" operator="equal">
      <formula>#REF!</formula>
    </cfRule>
  </conditionalFormatting>
  <conditionalFormatting sqref="L47:AF84">
    <cfRule type="cellIs" dxfId="524" priority="6" stopIfTrue="1" operator="lessThan">
      <formula>0</formula>
    </cfRule>
  </conditionalFormatting>
  <conditionalFormatting sqref="L16:AF46">
    <cfRule type="cellIs" dxfId="523" priority="2" stopIfTrue="1" operator="lessThan">
      <formula>0</formula>
    </cfRule>
  </conditionalFormatting>
  <conditionalFormatting sqref="L16:AF46">
    <cfRule type="cellIs" dxfId="522" priority="1" stopIfTrue="1" operator="lessThan">
      <formula>0</formula>
    </cfRule>
  </conditionalFormatting>
  <printOptions horizontalCentered="1"/>
  <pageMargins left="0" right="0" top="0.51181102362204722" bottom="0.23622047244094491" header="0.31496062992125984" footer="0.23622047244094491"/>
  <pageSetup paperSize="9" scale="55" orientation="landscape" r:id="rId1"/>
  <headerFooter alignWithMargins="0">
    <oddHeader>&amp;LPT. JATIM AUTOCOMP INDONESIA</oddHeader>
    <oddFooter>&amp;LSIX MONTH PRODUCTION PLAN.xls&amp;R&amp;"Times New Roman,Regular"&amp;9&amp;P / 4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B84"/>
  <sheetViews>
    <sheetView zoomScale="85" zoomScaleNormal="85" workbookViewId="0">
      <pane xSplit="2" ySplit="8" topLeftCell="C9" activePane="bottomRight" state="frozen"/>
      <selection pane="topRight" activeCell="C1" sqref="C1"/>
      <selection pane="bottomLeft" activeCell="A10" sqref="A10"/>
      <selection pane="bottomRight" activeCell="AN9" sqref="AN9:AN10"/>
    </sheetView>
  </sheetViews>
  <sheetFormatPr defaultRowHeight="12.75"/>
  <cols>
    <col min="1" max="1" width="16.5703125" style="181" customWidth="1"/>
    <col min="2" max="2" width="19.7109375" style="181" customWidth="1"/>
    <col min="3" max="3" width="16" style="181" customWidth="1"/>
    <col min="4" max="4" width="11.5703125" style="56" customWidth="1"/>
    <col min="5" max="5" width="11.42578125" style="56" customWidth="1"/>
    <col min="6" max="6" width="12.28515625" style="56" customWidth="1"/>
    <col min="7" max="7" width="11.140625" style="56" customWidth="1"/>
    <col min="8" max="8" width="9.85546875" style="56" customWidth="1"/>
    <col min="9" max="9" width="12.140625" style="56" customWidth="1"/>
    <col min="10" max="10" width="13.140625" style="181" customWidth="1"/>
    <col min="11" max="11" width="12.140625" style="181" customWidth="1"/>
    <col min="12" max="12" width="9.85546875" style="181" customWidth="1"/>
    <col min="13" max="13" width="12.5703125" style="56" customWidth="1"/>
    <col min="14" max="14" width="10.85546875" style="56" customWidth="1"/>
    <col min="15" max="15" width="12.140625" style="56" customWidth="1"/>
    <col min="16" max="16" width="12.28515625" style="56" customWidth="1"/>
    <col min="17" max="17" width="9.85546875" style="56" customWidth="1"/>
    <col min="18" max="19" width="11.85546875" style="56" customWidth="1"/>
    <col min="20" max="20" width="11.28515625" style="56" customWidth="1"/>
    <col min="21" max="21" width="9.85546875" style="56" customWidth="1"/>
    <col min="22" max="22" width="12.140625" style="56" customWidth="1"/>
    <col min="23" max="23" width="11.28515625" style="56" customWidth="1"/>
    <col min="24" max="24" width="11.7109375" style="56" customWidth="1"/>
    <col min="25" max="25" width="12.5703125" style="56" customWidth="1"/>
    <col min="26" max="26" width="13.140625" style="56" customWidth="1"/>
    <col min="27" max="28" width="11.42578125" style="56" customWidth="1"/>
    <col min="29" max="30" width="9.85546875" style="56" customWidth="1"/>
    <col min="31" max="31" width="11.7109375" style="56" customWidth="1"/>
    <col min="32" max="32" width="10.85546875" style="56" customWidth="1"/>
    <col min="33" max="33" width="11.140625" style="56" customWidth="1"/>
    <col min="34" max="34" width="11" style="56" customWidth="1"/>
    <col min="35" max="35" width="11.28515625" style="56" customWidth="1"/>
    <col min="36" max="37" width="12.28515625" style="56" customWidth="1"/>
    <col min="38" max="39" width="9.85546875" style="56" customWidth="1"/>
    <col min="40" max="41" width="11.5703125" style="56" customWidth="1"/>
    <col min="42" max="42" width="11.140625" style="56" customWidth="1"/>
    <col min="43" max="43" width="11.140625" style="56" bestFit="1" customWidth="1"/>
    <col min="44" max="44" width="12.7109375" style="56" customWidth="1"/>
    <col min="45" max="45" width="10.7109375" style="56" customWidth="1"/>
    <col min="46" max="46" width="11.140625" style="56" customWidth="1"/>
    <col min="47" max="48" width="9.85546875" style="56" customWidth="1"/>
    <col min="49" max="16384" width="9.140625" style="56"/>
  </cols>
  <sheetData>
    <row r="1" spans="1:54" ht="17.25" customHeight="1">
      <c r="A1" s="151"/>
      <c r="B1" s="152"/>
      <c r="C1" s="152"/>
      <c r="D1" s="153"/>
      <c r="E1" s="153"/>
      <c r="F1" s="153"/>
      <c r="G1" s="153"/>
      <c r="H1" s="153"/>
      <c r="I1" s="153"/>
      <c r="J1" s="152"/>
      <c r="K1" s="152"/>
      <c r="L1" s="152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  <c r="AO1" s="153"/>
      <c r="AP1" s="153"/>
      <c r="AQ1" s="153"/>
      <c r="AR1" s="153"/>
      <c r="AS1" s="153"/>
      <c r="AT1" s="153"/>
      <c r="AU1" s="153"/>
      <c r="AV1" s="153"/>
    </row>
    <row r="2" spans="1:54" ht="18" customHeight="1">
      <c r="A2" s="154" t="str">
        <f>'[14]Qty &amp; UMH GUM'!A2</f>
        <v xml:space="preserve">S/R NO     : </v>
      </c>
      <c r="B2" s="155">
        <f>'QTY '!B2</f>
        <v>0</v>
      </c>
      <c r="C2" s="156"/>
      <c r="D2" s="157"/>
      <c r="E2" s="158"/>
      <c r="F2" s="158"/>
      <c r="G2" s="158"/>
      <c r="H2" s="158"/>
      <c r="I2" s="158"/>
      <c r="J2" s="159"/>
      <c r="K2" s="159"/>
      <c r="L2" s="159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8"/>
      <c r="AP2" s="158"/>
      <c r="AQ2" s="158"/>
      <c r="AR2" s="158"/>
      <c r="AS2" s="158"/>
      <c r="AT2" s="158"/>
      <c r="AU2" s="158"/>
      <c r="AV2" s="158"/>
    </row>
    <row r="3" spans="1:54" ht="27" customHeight="1">
      <c r="A3" s="154" t="str">
        <f>'[14]Qty &amp; UMH GUM'!A4</f>
        <v xml:space="preserve">DATE        :  </v>
      </c>
      <c r="B3" s="160">
        <f ca="1">'QTY '!B4</f>
        <v>46094.692917476852</v>
      </c>
      <c r="C3" s="156"/>
      <c r="D3" s="153"/>
      <c r="E3" s="153"/>
      <c r="F3" s="153"/>
      <c r="G3" s="153"/>
      <c r="H3" s="153"/>
      <c r="I3" s="153"/>
      <c r="J3" s="159"/>
      <c r="K3" s="159"/>
      <c r="L3" s="159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3"/>
    </row>
    <row r="4" spans="1:54" ht="12" customHeight="1">
      <c r="A4" s="161"/>
      <c r="B4" s="155"/>
      <c r="C4" s="156"/>
      <c r="D4" s="162">
        <v>4</v>
      </c>
      <c r="E4" s="162"/>
      <c r="F4" s="162"/>
      <c r="G4" s="162"/>
      <c r="H4" s="162"/>
      <c r="I4" s="162"/>
      <c r="J4" s="163"/>
      <c r="K4" s="163"/>
      <c r="L4" s="163"/>
      <c r="M4" s="162">
        <v>5</v>
      </c>
      <c r="N4" s="162"/>
      <c r="O4" s="162"/>
      <c r="P4" s="162"/>
      <c r="Q4" s="162"/>
      <c r="R4" s="162"/>
      <c r="S4" s="162"/>
      <c r="T4" s="162"/>
      <c r="U4" s="162"/>
      <c r="V4" s="162">
        <v>4</v>
      </c>
      <c r="W4" s="162"/>
      <c r="X4" s="162"/>
      <c r="Y4" s="162"/>
      <c r="Z4" s="162"/>
      <c r="AA4" s="162"/>
      <c r="AB4" s="162"/>
      <c r="AC4" s="162"/>
      <c r="AD4" s="162"/>
      <c r="AE4" s="162">
        <v>4</v>
      </c>
      <c r="AF4" s="162"/>
      <c r="AG4" s="162"/>
      <c r="AH4" s="162"/>
      <c r="AI4" s="162"/>
      <c r="AJ4" s="162"/>
      <c r="AK4" s="162"/>
      <c r="AL4" s="162"/>
      <c r="AM4" s="162"/>
      <c r="AN4" s="162">
        <v>5</v>
      </c>
      <c r="AO4" s="162"/>
      <c r="AP4" s="162"/>
      <c r="AQ4" s="162"/>
      <c r="AR4" s="162"/>
      <c r="AS4" s="162"/>
      <c r="AT4" s="162"/>
      <c r="AU4" s="162"/>
      <c r="AV4" s="162"/>
    </row>
    <row r="5" spans="1:54" ht="19.5" customHeight="1" thickBot="1">
      <c r="A5" s="159" t="s">
        <v>103</v>
      </c>
      <c r="B5" s="164">
        <f ca="1">NOW()</f>
        <v>46094.692917476852</v>
      </c>
      <c r="C5" s="164"/>
      <c r="D5" s="165" t="s">
        <v>104</v>
      </c>
      <c r="E5" s="165"/>
      <c r="F5" s="165"/>
      <c r="G5" s="165"/>
      <c r="H5" s="165"/>
      <c r="I5" s="165"/>
      <c r="J5" s="164"/>
      <c r="K5" s="164"/>
      <c r="L5" s="164"/>
      <c r="M5" s="165" t="s">
        <v>105</v>
      </c>
      <c r="N5" s="165"/>
      <c r="O5" s="165"/>
      <c r="P5" s="165"/>
      <c r="Q5" s="165"/>
      <c r="R5" s="165"/>
      <c r="S5" s="165"/>
      <c r="T5" s="165"/>
      <c r="U5" s="165"/>
      <c r="V5" s="165" t="s">
        <v>106</v>
      </c>
      <c r="W5" s="165"/>
      <c r="X5" s="165"/>
      <c r="Y5" s="165"/>
      <c r="Z5" s="165"/>
      <c r="AA5" s="165"/>
      <c r="AB5" s="165"/>
      <c r="AC5" s="165"/>
      <c r="AD5" s="165"/>
      <c r="AE5" s="165" t="s">
        <v>107</v>
      </c>
      <c r="AF5" s="165"/>
      <c r="AG5" s="165"/>
      <c r="AH5" s="165"/>
      <c r="AI5" s="165"/>
      <c r="AJ5" s="165"/>
      <c r="AK5" s="165"/>
      <c r="AL5" s="165"/>
      <c r="AM5" s="165"/>
      <c r="AN5" s="165" t="s">
        <v>108</v>
      </c>
      <c r="AO5" s="165"/>
      <c r="AP5" s="165"/>
      <c r="AQ5" s="165"/>
      <c r="AR5" s="165"/>
      <c r="AS5" s="165"/>
      <c r="AT5" s="165"/>
      <c r="AU5" s="165"/>
      <c r="AV5" s="165"/>
    </row>
    <row r="6" spans="1:54" s="167" customFormat="1" ht="12.75" customHeight="1" thickTop="1" thickBot="1">
      <c r="A6" s="349" t="s">
        <v>3</v>
      </c>
      <c r="B6" s="350" t="s">
        <v>7</v>
      </c>
      <c r="C6" s="351" t="s">
        <v>34</v>
      </c>
      <c r="D6" s="343" t="str">
        <f>+'QTY '!O6</f>
        <v>APR</v>
      </c>
      <c r="E6" s="344"/>
      <c r="F6" s="344"/>
      <c r="G6" s="344"/>
      <c r="H6" s="344"/>
      <c r="I6" s="344"/>
      <c r="J6" s="344"/>
      <c r="K6" s="344"/>
      <c r="L6" s="345"/>
      <c r="M6" s="343" t="str">
        <f>+'QTY '!R6</f>
        <v>MAY</v>
      </c>
      <c r="N6" s="344"/>
      <c r="O6" s="344"/>
      <c r="P6" s="344"/>
      <c r="Q6" s="344"/>
      <c r="R6" s="344"/>
      <c r="S6" s="344"/>
      <c r="T6" s="344"/>
      <c r="U6" s="345"/>
      <c r="V6" s="343" t="str">
        <f>+'QTY '!U6</f>
        <v>JUN</v>
      </c>
      <c r="W6" s="344"/>
      <c r="X6" s="344"/>
      <c r="Y6" s="344"/>
      <c r="Z6" s="344"/>
      <c r="AA6" s="344"/>
      <c r="AB6" s="344"/>
      <c r="AC6" s="344"/>
      <c r="AD6" s="345"/>
      <c r="AE6" s="343" t="str">
        <f>+'QTY '!X6</f>
        <v>JUL</v>
      </c>
      <c r="AF6" s="344"/>
      <c r="AG6" s="344"/>
      <c r="AH6" s="344"/>
      <c r="AI6" s="344"/>
      <c r="AJ6" s="344"/>
      <c r="AK6" s="344"/>
      <c r="AL6" s="344"/>
      <c r="AM6" s="345"/>
      <c r="AN6" s="343" t="str">
        <f>+'QTY '!AA6</f>
        <v>AUG</v>
      </c>
      <c r="AO6" s="344"/>
      <c r="AP6" s="344"/>
      <c r="AQ6" s="344"/>
      <c r="AR6" s="344"/>
      <c r="AS6" s="344"/>
      <c r="AT6" s="344"/>
      <c r="AU6" s="344"/>
      <c r="AV6" s="345"/>
      <c r="AW6" s="166"/>
    </row>
    <row r="7" spans="1:54" s="167" customFormat="1" ht="16.5" customHeight="1" thickTop="1" thickBot="1">
      <c r="A7" s="349"/>
      <c r="B7" s="350"/>
      <c r="C7" s="351"/>
      <c r="D7" s="346"/>
      <c r="E7" s="347"/>
      <c r="F7" s="347"/>
      <c r="G7" s="347"/>
      <c r="H7" s="347"/>
      <c r="I7" s="347"/>
      <c r="J7" s="347"/>
      <c r="K7" s="347"/>
      <c r="L7" s="348"/>
      <c r="M7" s="346"/>
      <c r="N7" s="347"/>
      <c r="O7" s="347"/>
      <c r="P7" s="347"/>
      <c r="Q7" s="347"/>
      <c r="R7" s="347"/>
      <c r="S7" s="347"/>
      <c r="T7" s="347"/>
      <c r="U7" s="348"/>
      <c r="V7" s="346"/>
      <c r="W7" s="347"/>
      <c r="X7" s="347"/>
      <c r="Y7" s="347"/>
      <c r="Z7" s="347"/>
      <c r="AA7" s="347"/>
      <c r="AB7" s="347"/>
      <c r="AC7" s="347"/>
      <c r="AD7" s="348"/>
      <c r="AE7" s="346"/>
      <c r="AF7" s="347"/>
      <c r="AG7" s="347"/>
      <c r="AH7" s="347"/>
      <c r="AI7" s="347"/>
      <c r="AJ7" s="347"/>
      <c r="AK7" s="347"/>
      <c r="AL7" s="347"/>
      <c r="AM7" s="348"/>
      <c r="AN7" s="346"/>
      <c r="AO7" s="347"/>
      <c r="AP7" s="347"/>
      <c r="AQ7" s="347"/>
      <c r="AR7" s="347"/>
      <c r="AS7" s="347"/>
      <c r="AT7" s="347"/>
      <c r="AU7" s="347"/>
      <c r="AV7" s="348"/>
      <c r="AW7" s="166"/>
    </row>
    <row r="8" spans="1:54" s="167" customFormat="1" ht="20.25" customHeight="1" thickTop="1" thickBot="1">
      <c r="A8" s="349"/>
      <c r="B8" s="350"/>
      <c r="C8" s="351"/>
      <c r="D8" s="168">
        <v>1</v>
      </c>
      <c r="E8" s="168">
        <v>2</v>
      </c>
      <c r="F8" s="168">
        <v>3</v>
      </c>
      <c r="G8" s="168">
        <v>4</v>
      </c>
      <c r="H8" s="168">
        <v>5</v>
      </c>
      <c r="I8" s="169" t="s">
        <v>109</v>
      </c>
      <c r="J8" s="170" t="s">
        <v>110</v>
      </c>
      <c r="K8" s="170" t="s">
        <v>0</v>
      </c>
      <c r="L8" s="171" t="s">
        <v>111</v>
      </c>
      <c r="M8" s="172">
        <v>1</v>
      </c>
      <c r="N8" s="168">
        <v>2</v>
      </c>
      <c r="O8" s="168">
        <v>3</v>
      </c>
      <c r="P8" s="168">
        <v>4</v>
      </c>
      <c r="Q8" s="168">
        <v>5</v>
      </c>
      <c r="R8" s="169" t="s">
        <v>109</v>
      </c>
      <c r="S8" s="169" t="s">
        <v>110</v>
      </c>
      <c r="T8" s="170" t="s">
        <v>0</v>
      </c>
      <c r="U8" s="171" t="s">
        <v>111</v>
      </c>
      <c r="V8" s="172">
        <v>1</v>
      </c>
      <c r="W8" s="168">
        <v>2</v>
      </c>
      <c r="X8" s="168">
        <v>3</v>
      </c>
      <c r="Y8" s="168">
        <v>4</v>
      </c>
      <c r="Z8" s="168">
        <v>5</v>
      </c>
      <c r="AA8" s="169" t="s">
        <v>109</v>
      </c>
      <c r="AB8" s="169" t="s">
        <v>110</v>
      </c>
      <c r="AC8" s="170" t="s">
        <v>0</v>
      </c>
      <c r="AD8" s="171" t="s">
        <v>111</v>
      </c>
      <c r="AE8" s="172">
        <v>1</v>
      </c>
      <c r="AF8" s="168">
        <v>2</v>
      </c>
      <c r="AG8" s="168">
        <v>3</v>
      </c>
      <c r="AH8" s="168">
        <v>4</v>
      </c>
      <c r="AI8" s="168">
        <f>+AH8+1</f>
        <v>5</v>
      </c>
      <c r="AJ8" s="169" t="s">
        <v>109</v>
      </c>
      <c r="AK8" s="169" t="s">
        <v>110</v>
      </c>
      <c r="AL8" s="170" t="s">
        <v>0</v>
      </c>
      <c r="AM8" s="171" t="s">
        <v>111</v>
      </c>
      <c r="AN8" s="172">
        <v>1</v>
      </c>
      <c r="AO8" s="168">
        <v>2</v>
      </c>
      <c r="AP8" s="168">
        <v>3</v>
      </c>
      <c r="AQ8" s="168">
        <v>4</v>
      </c>
      <c r="AR8" s="168">
        <v>5</v>
      </c>
      <c r="AS8" s="169" t="s">
        <v>109</v>
      </c>
      <c r="AT8" s="169" t="s">
        <v>110</v>
      </c>
      <c r="AU8" s="170" t="s">
        <v>0</v>
      </c>
      <c r="AV8" s="171" t="s">
        <v>111</v>
      </c>
      <c r="AW8" s="173">
        <f>+J6</f>
        <v>0</v>
      </c>
      <c r="AX8" s="174">
        <f>+S6</f>
        <v>0</v>
      </c>
      <c r="AY8" s="174">
        <f>+AB6</f>
        <v>0</v>
      </c>
      <c r="AZ8" s="174">
        <f>+AK6</f>
        <v>0</v>
      </c>
      <c r="BA8" s="174">
        <f>+AT6</f>
        <v>0</v>
      </c>
    </row>
    <row r="9" spans="1:54" ht="18" customHeight="1" thickTop="1">
      <c r="A9" s="237" t="str">
        <f>+'QTY '!B9</f>
        <v>BC121-6B370-1</v>
      </c>
      <c r="B9" s="237" t="str">
        <f>+'QTY '!E9</f>
        <v>BC121-6B370-1 B 0001</v>
      </c>
      <c r="C9" s="209" t="str">
        <f>'QTY '!F9</f>
        <v>120D</v>
      </c>
      <c r="D9" s="175">
        <f>VLOOKUP($B9,[3]Sheet1!$B$8:$CF$451,14,0)</f>
        <v>660</v>
      </c>
      <c r="E9" s="175">
        <f>VLOOKUP($B9,[3]Sheet1!$B$8:$CF$451,15,0)</f>
        <v>690</v>
      </c>
      <c r="F9" s="175">
        <f>VLOOKUP($B9,[3]Sheet1!$B$8:$CF$451,16,0)</f>
        <v>600</v>
      </c>
      <c r="G9" s="175">
        <f>VLOOKUP($B9,[3]Sheet1!$B$8:$CF$451,17,0)</f>
        <v>570</v>
      </c>
      <c r="H9" s="175">
        <f>VLOOKUP($B9,[3]Sheet1!$B$8:$CF$451,18,0)</f>
        <v>0</v>
      </c>
      <c r="I9" s="175">
        <f>SUM(D9:H9)</f>
        <v>2520</v>
      </c>
      <c r="J9" s="176">
        <f>'QTY '!Q9</f>
        <v>2520</v>
      </c>
      <c r="K9" s="176">
        <f t="shared" ref="K9" si="0">ROUNDUP((J9-I9)/$D$4,0)</f>
        <v>0</v>
      </c>
      <c r="L9" s="177"/>
      <c r="M9" s="175">
        <f>VLOOKUP($B9,[3]Sheet1!$B$8:$CF$451,20,0)</f>
        <v>690</v>
      </c>
      <c r="N9" s="175">
        <f>VLOOKUP($B9,[3]Sheet1!$B$8:$CF$451,21,0)</f>
        <v>480</v>
      </c>
      <c r="O9" s="175">
        <f>VLOOKUP($B9,[3]Sheet1!$B$8:$CF$451,22,0)</f>
        <v>0</v>
      </c>
      <c r="P9" s="175">
        <f>VLOOKUP($B9,[3]Sheet1!$B$8:$CF$451,23,0)</f>
        <v>780</v>
      </c>
      <c r="Q9" s="175">
        <f>VLOOKUP($B9,[3]Sheet1!$B$8:$CF$451,24,0)</f>
        <v>0</v>
      </c>
      <c r="R9" s="175">
        <f t="shared" ref="R9" si="1">SUM(M9:Q9)</f>
        <v>1950</v>
      </c>
      <c r="S9" s="175">
        <f>'QTY '!T9</f>
        <v>1950</v>
      </c>
      <c r="T9" s="176">
        <f t="shared" ref="T9" si="2">ROUNDUP((S9-R9)/$M$4,0)</f>
        <v>0</v>
      </c>
      <c r="U9" s="178"/>
      <c r="V9" s="175">
        <f>+VLOOKUP($B9,[3]Sheet1!$B$8:$CF$406,26,0)</f>
        <v>660</v>
      </c>
      <c r="W9" s="175">
        <f>+VLOOKUP($B9,[3]Sheet1!$B$8:$CF$406,27,0)</f>
        <v>510</v>
      </c>
      <c r="X9" s="175">
        <f>+VLOOKUP($B9,[3]Sheet1!$B$8:$CF$406,28,0)</f>
        <v>660</v>
      </c>
      <c r="Y9" s="175">
        <f>+VLOOKUP($B9,[3]Sheet1!$B$8:$CF$406,29,0)</f>
        <v>720</v>
      </c>
      <c r="Z9" s="175">
        <f>+VLOOKUP($B9,[3]Sheet1!$B$8:$CF$406,30,0)</f>
        <v>0</v>
      </c>
      <c r="AA9" s="175">
        <f t="shared" ref="AA9" si="3">SUM(V9:Z9)</f>
        <v>2550</v>
      </c>
      <c r="AB9" s="175">
        <f>'QTY '!W9</f>
        <v>2550</v>
      </c>
      <c r="AC9" s="175">
        <f t="shared" ref="AC9" si="4">ROUNDUP((AB9-AA9)/$V$4,0)</f>
        <v>0</v>
      </c>
      <c r="AD9" s="178"/>
      <c r="AE9" s="175">
        <f>+VLOOKUP($B9,[3]Sheet1!$B$8:$CF$406,32,0)</f>
        <v>735</v>
      </c>
      <c r="AF9" s="175">
        <f>+VLOOKUP($B9,[3]Sheet1!$B$8:$CF$406,33,0)</f>
        <v>735</v>
      </c>
      <c r="AG9" s="175">
        <f>+VLOOKUP($B9,[3]Sheet1!$B$8:$CF$406,34,0)</f>
        <v>735</v>
      </c>
      <c r="AH9" s="175">
        <f>+VLOOKUP($B9,[3]Sheet1!$B$8:$CF$406,35,0)</f>
        <v>735</v>
      </c>
      <c r="AI9" s="175">
        <f>+VLOOKUP($B9,[3]Sheet1!$B$8:$CF$406,36,0)</f>
        <v>0</v>
      </c>
      <c r="AJ9" s="175">
        <f t="shared" ref="AJ9" si="5">SUM(AE9:AI9)</f>
        <v>2940</v>
      </c>
      <c r="AK9" s="175">
        <f>'QTY '!Z9</f>
        <v>2940</v>
      </c>
      <c r="AL9" s="175">
        <f t="shared" ref="AL9" si="6">ROUNDUP((AK9-AJ9)/$AE$4,0)</f>
        <v>0</v>
      </c>
      <c r="AM9" s="178"/>
      <c r="AN9" s="175">
        <f>+AE9</f>
        <v>735</v>
      </c>
      <c r="AO9" s="175">
        <f t="shared" ref="AO9:AQ9" si="7">+AF9</f>
        <v>735</v>
      </c>
      <c r="AP9" s="175">
        <f t="shared" si="7"/>
        <v>735</v>
      </c>
      <c r="AQ9" s="175">
        <f t="shared" si="7"/>
        <v>735</v>
      </c>
      <c r="AR9" s="175"/>
      <c r="AS9" s="175">
        <f t="shared" ref="AS9" si="8">SUM(AN9:AR9)</f>
        <v>2940</v>
      </c>
      <c r="AT9" s="175">
        <f>'QTY '!AC9</f>
        <v>2940</v>
      </c>
      <c r="AU9" s="175">
        <f t="shared" ref="AU9" si="9">ROUNDUP((AT9-AS9)/$AN$4,0)</f>
        <v>0</v>
      </c>
      <c r="AV9" s="178"/>
      <c r="AW9" s="180">
        <f>+D9*D$8</f>
        <v>660</v>
      </c>
      <c r="AX9" s="180">
        <f>+M9*M$8</f>
        <v>690</v>
      </c>
      <c r="AY9" s="180">
        <f>+V9*V$8</f>
        <v>660</v>
      </c>
      <c r="AZ9" s="180">
        <f>+AE9*AE$8</f>
        <v>735</v>
      </c>
      <c r="BA9" s="180">
        <f>+AN9*AN$8</f>
        <v>735</v>
      </c>
      <c r="BB9" s="56" t="e">
        <f>#REF!+1</f>
        <v>#REF!</v>
      </c>
    </row>
    <row r="10" spans="1:54" ht="18" customHeight="1">
      <c r="A10" s="237" t="str">
        <f>+'QTY '!B10</f>
        <v>BC121-6B370-2</v>
      </c>
      <c r="B10" s="237" t="str">
        <f>+'QTY '!E10</f>
        <v>BC121-6B370-2 B 0001</v>
      </c>
      <c r="C10" s="209" t="str">
        <f>'QTY '!F10</f>
        <v>120D</v>
      </c>
      <c r="D10" s="175">
        <f>VLOOKUP($B10,[3]Sheet1!$B$8:$CF$451,14,0)</f>
        <v>660</v>
      </c>
      <c r="E10" s="175">
        <f>VLOOKUP($B10,[3]Sheet1!$B$8:$CF$451,15,0)</f>
        <v>690</v>
      </c>
      <c r="F10" s="175">
        <f>VLOOKUP($B10,[3]Sheet1!$B$8:$CF$451,16,0)</f>
        <v>600</v>
      </c>
      <c r="G10" s="175">
        <f>VLOOKUP($B10,[3]Sheet1!$B$8:$CF$451,17,0)</f>
        <v>570</v>
      </c>
      <c r="H10" s="175">
        <f>VLOOKUP($B10,[3]Sheet1!$B$8:$CF$451,18,0)</f>
        <v>0</v>
      </c>
      <c r="I10" s="175">
        <f t="shared" ref="I10:I54" si="10">SUM(D10:H10)</f>
        <v>2520</v>
      </c>
      <c r="J10" s="176">
        <f>'QTY '!Q10</f>
        <v>2520</v>
      </c>
      <c r="K10" s="176">
        <f t="shared" ref="K10:K54" si="11">ROUNDUP((J10-I10)/$D$4,0)</f>
        <v>0</v>
      </c>
      <c r="L10" s="177"/>
      <c r="M10" s="175">
        <f>VLOOKUP($B10,[3]Sheet1!$B$8:$CF$451,20,0)</f>
        <v>690</v>
      </c>
      <c r="N10" s="175">
        <f>VLOOKUP($B10,[3]Sheet1!$B$8:$CF$451,21,0)</f>
        <v>480</v>
      </c>
      <c r="O10" s="175">
        <f>VLOOKUP($B10,[3]Sheet1!$B$8:$CF$451,22,0)</f>
        <v>0</v>
      </c>
      <c r="P10" s="175">
        <f>VLOOKUP($B10,[3]Sheet1!$B$8:$CF$451,23,0)</f>
        <v>780</v>
      </c>
      <c r="Q10" s="175">
        <f>VLOOKUP($B10,[3]Sheet1!$B$8:$CF$451,24,0)</f>
        <v>0</v>
      </c>
      <c r="R10" s="175">
        <f t="shared" ref="R10:R54" si="12">SUM(M10:Q10)</f>
        <v>1950</v>
      </c>
      <c r="S10" s="175">
        <f>'QTY '!T10</f>
        <v>1950</v>
      </c>
      <c r="T10" s="176">
        <f t="shared" ref="T10:T54" si="13">ROUNDUP((S10-R10)/$M$4,0)</f>
        <v>0</v>
      </c>
      <c r="U10" s="178"/>
      <c r="V10" s="175">
        <f>+VLOOKUP($B10,[3]Sheet1!$B$8:$CF$406,26,0)</f>
        <v>660</v>
      </c>
      <c r="W10" s="175">
        <f>+VLOOKUP($B10,[3]Sheet1!$B$8:$CF$406,27,0)</f>
        <v>510</v>
      </c>
      <c r="X10" s="175">
        <f>+VLOOKUP($B10,[3]Sheet1!$B$8:$CF$406,28,0)</f>
        <v>660</v>
      </c>
      <c r="Y10" s="175">
        <f>+VLOOKUP($B10,[3]Sheet1!$B$8:$CF$406,29,0)</f>
        <v>720</v>
      </c>
      <c r="Z10" s="175">
        <f>+VLOOKUP($B10,[3]Sheet1!$B$8:$CF$406,30,0)</f>
        <v>0</v>
      </c>
      <c r="AA10" s="175">
        <f t="shared" ref="AA10:AA54" si="14">SUM(V10:Z10)</f>
        <v>2550</v>
      </c>
      <c r="AB10" s="175">
        <f>'QTY '!W10</f>
        <v>2550</v>
      </c>
      <c r="AC10" s="175">
        <f t="shared" ref="AC10:AC54" si="15">ROUNDUP((AB10-AA10)/$V$4,0)</f>
        <v>0</v>
      </c>
      <c r="AD10" s="178"/>
      <c r="AE10" s="175">
        <f>+VLOOKUP($B10,[3]Sheet1!$B$8:$CF$406,32,0)</f>
        <v>735</v>
      </c>
      <c r="AF10" s="175">
        <f>+VLOOKUP($B10,[3]Sheet1!$B$8:$CF$406,33,0)</f>
        <v>735</v>
      </c>
      <c r="AG10" s="175">
        <f>+VLOOKUP($B10,[3]Sheet1!$B$8:$CF$406,34,0)</f>
        <v>735</v>
      </c>
      <c r="AH10" s="175">
        <f>+VLOOKUP($B10,[3]Sheet1!$B$8:$CF$406,35,0)</f>
        <v>735</v>
      </c>
      <c r="AI10" s="175">
        <f>+VLOOKUP($B10,[3]Sheet1!$B$8:$CF$406,36,0)</f>
        <v>0</v>
      </c>
      <c r="AJ10" s="175">
        <f t="shared" ref="AJ10:AJ54" si="16">SUM(AE10:AI10)</f>
        <v>2940</v>
      </c>
      <c r="AK10" s="175">
        <f>'QTY '!Z10</f>
        <v>2940</v>
      </c>
      <c r="AL10" s="175">
        <f t="shared" ref="AL10:AL54" si="17">ROUNDUP((AK10-AJ10)/$AE$4,0)</f>
        <v>0</v>
      </c>
      <c r="AM10" s="178"/>
      <c r="AN10" s="175">
        <f t="shared" ref="AN10:AN54" si="18">+AE10</f>
        <v>735</v>
      </c>
      <c r="AO10" s="175">
        <f t="shared" ref="AO10:AO54" si="19">+AF10</f>
        <v>735</v>
      </c>
      <c r="AP10" s="175">
        <f t="shared" ref="AP10:AP54" si="20">+AG10</f>
        <v>735</v>
      </c>
      <c r="AQ10" s="175">
        <f t="shared" ref="AQ10:AQ54" si="21">+AH10</f>
        <v>735</v>
      </c>
      <c r="AR10" s="175"/>
      <c r="AS10" s="175">
        <f t="shared" ref="AS10:AS54" si="22">SUM(AN10:AR10)</f>
        <v>2940</v>
      </c>
      <c r="AT10" s="175">
        <f>'QTY '!AC10</f>
        <v>2940</v>
      </c>
      <c r="AU10" s="175">
        <f t="shared" ref="AU10:AU54" si="23">ROUNDUP((AT10-AS10)/$AN$4,0)</f>
        <v>0</v>
      </c>
      <c r="AV10" s="178"/>
      <c r="AW10" s="180">
        <f t="shared" ref="AW10:AW15" si="24">+D10*D$8</f>
        <v>660</v>
      </c>
      <c r="AX10" s="180">
        <f t="shared" ref="AX10:AX15" si="25">+M10*M$8</f>
        <v>690</v>
      </c>
      <c r="AY10" s="180">
        <f t="shared" ref="AY10:AY15" si="26">+V10*V$8</f>
        <v>660</v>
      </c>
      <c r="AZ10" s="180">
        <f t="shared" ref="AZ10:AZ15" si="27">+AE10*AE$8</f>
        <v>735</v>
      </c>
      <c r="BA10" s="180">
        <f t="shared" ref="BA10:BA15" si="28">+AN10*AN$8</f>
        <v>735</v>
      </c>
      <c r="BB10" s="56" t="e">
        <f>#REF!+1</f>
        <v>#REF!</v>
      </c>
    </row>
    <row r="11" spans="1:54" ht="18" customHeight="1">
      <c r="A11" s="237" t="str">
        <f>+'QTY '!B11</f>
        <v>BC121-6B220-1</v>
      </c>
      <c r="B11" s="237" t="str">
        <f>+'QTY '!E11</f>
        <v>BC121-6B220-1 B 0001</v>
      </c>
      <c r="C11" s="209" t="str">
        <f>'QTY '!F11</f>
        <v>120D</v>
      </c>
      <c r="D11" s="175">
        <f>VLOOKUP($B11,[3]Sheet1!$B$8:$CF$451,14,0)</f>
        <v>560</v>
      </c>
      <c r="E11" s="175">
        <f>VLOOKUP($B11,[3]Sheet1!$B$8:$CF$451,15,0)</f>
        <v>640</v>
      </c>
      <c r="F11" s="175">
        <f>VLOOKUP($B11,[3]Sheet1!$B$8:$CF$451,16,0)</f>
        <v>720</v>
      </c>
      <c r="G11" s="175">
        <f>VLOOKUP($B11,[3]Sheet1!$B$8:$CF$451,17,0)</f>
        <v>720</v>
      </c>
      <c r="H11" s="175">
        <f>VLOOKUP($B11,[3]Sheet1!$B$8:$CF$451,18,0)</f>
        <v>0</v>
      </c>
      <c r="I11" s="175">
        <f t="shared" si="10"/>
        <v>2640</v>
      </c>
      <c r="J11" s="176">
        <f>'QTY '!Q11</f>
        <v>2640</v>
      </c>
      <c r="K11" s="176">
        <f t="shared" si="11"/>
        <v>0</v>
      </c>
      <c r="L11" s="177"/>
      <c r="M11" s="175">
        <f>VLOOKUP($B11,[3]Sheet1!$B$8:$CF$451,20,0)</f>
        <v>800</v>
      </c>
      <c r="N11" s="175">
        <f>VLOOKUP($B11,[3]Sheet1!$B$8:$CF$451,21,0)</f>
        <v>640</v>
      </c>
      <c r="O11" s="175">
        <f>VLOOKUP($B11,[3]Sheet1!$B$8:$CF$451,22,0)</f>
        <v>0</v>
      </c>
      <c r="P11" s="175">
        <f>VLOOKUP($B11,[3]Sheet1!$B$8:$CF$451,23,0)</f>
        <v>880</v>
      </c>
      <c r="Q11" s="175">
        <f>VLOOKUP($B11,[3]Sheet1!$B$8:$CF$451,24,0)</f>
        <v>0</v>
      </c>
      <c r="R11" s="175">
        <f t="shared" si="12"/>
        <v>2320</v>
      </c>
      <c r="S11" s="175">
        <f>'QTY '!T11</f>
        <v>2320</v>
      </c>
      <c r="T11" s="176">
        <f t="shared" si="13"/>
        <v>0</v>
      </c>
      <c r="U11" s="178"/>
      <c r="V11" s="175">
        <f>+VLOOKUP($B11,[3]Sheet1!$B$8:$CF$406,26,0)</f>
        <v>800</v>
      </c>
      <c r="W11" s="175">
        <f>+VLOOKUP($B11,[3]Sheet1!$B$8:$CF$406,27,0)</f>
        <v>560</v>
      </c>
      <c r="X11" s="175">
        <f>+VLOOKUP($B11,[3]Sheet1!$B$8:$CF$406,28,0)</f>
        <v>800</v>
      </c>
      <c r="Y11" s="175">
        <f>+VLOOKUP($B11,[3]Sheet1!$B$8:$CF$406,29,0)</f>
        <v>800</v>
      </c>
      <c r="Z11" s="175">
        <f>+VLOOKUP($B11,[3]Sheet1!$B$8:$CF$406,30,0)</f>
        <v>0</v>
      </c>
      <c r="AA11" s="175">
        <f t="shared" si="14"/>
        <v>2960</v>
      </c>
      <c r="AB11" s="175">
        <f>'QTY '!W11</f>
        <v>2960</v>
      </c>
      <c r="AC11" s="175">
        <f t="shared" si="15"/>
        <v>0</v>
      </c>
      <c r="AD11" s="178"/>
      <c r="AE11" s="175">
        <f>+VLOOKUP($B11,[3]Sheet1!$B$8:$CF$406,32,0)</f>
        <v>980</v>
      </c>
      <c r="AF11" s="175">
        <f>+VLOOKUP($B11,[3]Sheet1!$B$8:$CF$406,33,0)</f>
        <v>980</v>
      </c>
      <c r="AG11" s="175">
        <f>+VLOOKUP($B11,[3]Sheet1!$B$8:$CF$406,34,0)</f>
        <v>980</v>
      </c>
      <c r="AH11" s="175">
        <f>+VLOOKUP($B11,[3]Sheet1!$B$8:$CF$406,35,0)</f>
        <v>980</v>
      </c>
      <c r="AI11" s="175">
        <f>+VLOOKUP($B11,[3]Sheet1!$B$8:$CF$406,36,0)</f>
        <v>0</v>
      </c>
      <c r="AJ11" s="175">
        <f t="shared" si="16"/>
        <v>3920</v>
      </c>
      <c r="AK11" s="175">
        <f>'QTY '!Z11</f>
        <v>3920</v>
      </c>
      <c r="AL11" s="175">
        <f t="shared" si="17"/>
        <v>0</v>
      </c>
      <c r="AM11" s="178"/>
      <c r="AN11" s="175">
        <f t="shared" si="18"/>
        <v>980</v>
      </c>
      <c r="AO11" s="175">
        <f t="shared" si="19"/>
        <v>980</v>
      </c>
      <c r="AP11" s="175">
        <f t="shared" si="20"/>
        <v>980</v>
      </c>
      <c r="AQ11" s="175">
        <f t="shared" si="21"/>
        <v>980</v>
      </c>
      <c r="AR11" s="175"/>
      <c r="AS11" s="175">
        <f t="shared" si="22"/>
        <v>3920</v>
      </c>
      <c r="AT11" s="175">
        <f>'QTY '!AC11</f>
        <v>3920</v>
      </c>
      <c r="AU11" s="175">
        <f t="shared" si="23"/>
        <v>0</v>
      </c>
      <c r="AV11" s="178"/>
      <c r="AW11" s="180">
        <f t="shared" si="24"/>
        <v>560</v>
      </c>
      <c r="AX11" s="180">
        <f t="shared" si="25"/>
        <v>800</v>
      </c>
      <c r="AY11" s="180">
        <f t="shared" si="26"/>
        <v>800</v>
      </c>
      <c r="AZ11" s="180">
        <f t="shared" si="27"/>
        <v>980</v>
      </c>
      <c r="BA11" s="180">
        <f t="shared" si="28"/>
        <v>980</v>
      </c>
      <c r="BB11" s="56" t="e">
        <f>#REF!+1</f>
        <v>#REF!</v>
      </c>
    </row>
    <row r="12" spans="1:54" ht="18" customHeight="1">
      <c r="A12" s="237" t="str">
        <f>+'QTY '!B12</f>
        <v>BC121-6B250-1</v>
      </c>
      <c r="B12" s="237" t="str">
        <f>+'QTY '!E12</f>
        <v>BC121-6B250-1 B 0001</v>
      </c>
      <c r="C12" s="209" t="str">
        <f>'QTY '!F12</f>
        <v>120D</v>
      </c>
      <c r="D12" s="175">
        <f>VLOOKUP($B12,[3]Sheet1!$B$8:$CF$451,14,0)</f>
        <v>30</v>
      </c>
      <c r="E12" s="175">
        <f>VLOOKUP($B12,[3]Sheet1!$B$8:$CF$451,15,0)</f>
        <v>0</v>
      </c>
      <c r="F12" s="175">
        <f>VLOOKUP($B12,[3]Sheet1!$B$8:$CF$451,16,0)</f>
        <v>30</v>
      </c>
      <c r="G12" s="175">
        <f>VLOOKUP($B12,[3]Sheet1!$B$8:$CF$451,17,0)</f>
        <v>30</v>
      </c>
      <c r="H12" s="175">
        <f>VLOOKUP($B12,[3]Sheet1!$B$8:$CF$451,18,0)</f>
        <v>0</v>
      </c>
      <c r="I12" s="175">
        <f t="shared" si="10"/>
        <v>90</v>
      </c>
      <c r="J12" s="176">
        <f>'QTY '!Q12</f>
        <v>90</v>
      </c>
      <c r="K12" s="176">
        <f t="shared" si="11"/>
        <v>0</v>
      </c>
      <c r="L12" s="177"/>
      <c r="M12" s="175">
        <f>VLOOKUP($B12,[3]Sheet1!$B$8:$CF$451,20,0)</f>
        <v>30</v>
      </c>
      <c r="N12" s="175">
        <f>VLOOKUP($B12,[3]Sheet1!$B$8:$CF$451,21,0)</f>
        <v>0</v>
      </c>
      <c r="O12" s="175">
        <f>VLOOKUP($B12,[3]Sheet1!$B$8:$CF$451,22,0)</f>
        <v>0</v>
      </c>
      <c r="P12" s="175">
        <f>VLOOKUP($B12,[3]Sheet1!$B$8:$CF$451,23,0)</f>
        <v>30</v>
      </c>
      <c r="Q12" s="175">
        <f>VLOOKUP($B12,[3]Sheet1!$B$8:$CF$451,24,0)</f>
        <v>0</v>
      </c>
      <c r="R12" s="175">
        <f t="shared" si="12"/>
        <v>60</v>
      </c>
      <c r="S12" s="175">
        <f>'QTY '!T12</f>
        <v>60</v>
      </c>
      <c r="T12" s="176">
        <f t="shared" si="13"/>
        <v>0</v>
      </c>
      <c r="U12" s="178"/>
      <c r="V12" s="175">
        <f>+VLOOKUP($B12,[3]Sheet1!$B$8:$CF$406,26,0)</f>
        <v>30</v>
      </c>
      <c r="W12" s="175">
        <f>+VLOOKUP($B12,[3]Sheet1!$B$8:$CF$406,27,0)</f>
        <v>30</v>
      </c>
      <c r="X12" s="175">
        <f>+VLOOKUP($B12,[3]Sheet1!$B$8:$CF$406,28,0)</f>
        <v>30</v>
      </c>
      <c r="Y12" s="175">
        <f>+VLOOKUP($B12,[3]Sheet1!$B$8:$CF$406,29,0)</f>
        <v>30</v>
      </c>
      <c r="Z12" s="175">
        <f>+VLOOKUP($B12,[3]Sheet1!$B$8:$CF$406,30,0)</f>
        <v>0</v>
      </c>
      <c r="AA12" s="175">
        <f t="shared" si="14"/>
        <v>120</v>
      </c>
      <c r="AB12" s="175">
        <f>'QTY '!W12</f>
        <v>120</v>
      </c>
      <c r="AC12" s="175">
        <f t="shared" si="15"/>
        <v>0</v>
      </c>
      <c r="AD12" s="178"/>
      <c r="AE12" s="175">
        <f>+VLOOKUP($B12,[3]Sheet1!$B$8:$CF$406,32,0)</f>
        <v>37.5</v>
      </c>
      <c r="AF12" s="175">
        <f>+VLOOKUP($B12,[3]Sheet1!$B$8:$CF$406,33,0)</f>
        <v>37.5</v>
      </c>
      <c r="AG12" s="175">
        <f>+VLOOKUP($B12,[3]Sheet1!$B$8:$CF$406,34,0)</f>
        <v>37.5</v>
      </c>
      <c r="AH12" s="175">
        <f>+VLOOKUP($B12,[3]Sheet1!$B$8:$CF$406,35,0)</f>
        <v>37.5</v>
      </c>
      <c r="AI12" s="175">
        <f>+VLOOKUP($B12,[3]Sheet1!$B$8:$CF$406,36,0)</f>
        <v>0</v>
      </c>
      <c r="AJ12" s="175">
        <f t="shared" si="16"/>
        <v>150</v>
      </c>
      <c r="AK12" s="175">
        <f>'QTY '!Z12</f>
        <v>150</v>
      </c>
      <c r="AL12" s="175">
        <f t="shared" si="17"/>
        <v>0</v>
      </c>
      <c r="AM12" s="178"/>
      <c r="AN12" s="175">
        <f t="shared" si="18"/>
        <v>37.5</v>
      </c>
      <c r="AO12" s="175">
        <f t="shared" si="19"/>
        <v>37.5</v>
      </c>
      <c r="AP12" s="175">
        <f t="shared" si="20"/>
        <v>37.5</v>
      </c>
      <c r="AQ12" s="175">
        <f t="shared" si="21"/>
        <v>37.5</v>
      </c>
      <c r="AR12" s="175"/>
      <c r="AS12" s="175">
        <f t="shared" si="22"/>
        <v>150</v>
      </c>
      <c r="AT12" s="175">
        <f>'QTY '!AC12</f>
        <v>150</v>
      </c>
      <c r="AU12" s="175">
        <f t="shared" si="23"/>
        <v>0</v>
      </c>
      <c r="AV12" s="178"/>
      <c r="AW12" s="180">
        <f t="shared" si="24"/>
        <v>30</v>
      </c>
      <c r="AX12" s="180">
        <f t="shared" si="25"/>
        <v>30</v>
      </c>
      <c r="AY12" s="180">
        <f t="shared" si="26"/>
        <v>30</v>
      </c>
      <c r="AZ12" s="180">
        <f t="shared" si="27"/>
        <v>37.5</v>
      </c>
      <c r="BA12" s="180">
        <f t="shared" si="28"/>
        <v>37.5</v>
      </c>
      <c r="BB12" s="56" t="e">
        <f>#REF!+1</f>
        <v>#REF!</v>
      </c>
    </row>
    <row r="13" spans="1:54" ht="18" customHeight="1">
      <c r="A13" s="237" t="str">
        <f>+'QTY '!B13</f>
        <v>BC121-6B260-1</v>
      </c>
      <c r="B13" s="237" t="str">
        <f>+'QTY '!E13</f>
        <v>BC121-6B260-1 B 0001</v>
      </c>
      <c r="C13" s="209" t="str">
        <f>'QTY '!F13</f>
        <v>120D</v>
      </c>
      <c r="D13" s="175">
        <f>VLOOKUP($B13,[3]Sheet1!$B$8:$CF$451,14,0)</f>
        <v>260</v>
      </c>
      <c r="E13" s="175">
        <f>VLOOKUP($B13,[3]Sheet1!$B$8:$CF$451,15,0)</f>
        <v>440</v>
      </c>
      <c r="F13" s="175">
        <f>VLOOKUP($B13,[3]Sheet1!$B$8:$CF$451,16,0)</f>
        <v>440</v>
      </c>
      <c r="G13" s="175">
        <f>VLOOKUP($B13,[3]Sheet1!$B$8:$CF$451,17,0)</f>
        <v>440</v>
      </c>
      <c r="H13" s="175">
        <f>VLOOKUP($B13,[3]Sheet1!$B$8:$CF$451,18,0)</f>
        <v>0</v>
      </c>
      <c r="I13" s="175">
        <f t="shared" si="10"/>
        <v>1580</v>
      </c>
      <c r="J13" s="176">
        <f>'QTY '!Q13</f>
        <v>1580</v>
      </c>
      <c r="K13" s="176">
        <f t="shared" si="11"/>
        <v>0</v>
      </c>
      <c r="L13" s="177"/>
      <c r="M13" s="175">
        <f>VLOOKUP($B13,[3]Sheet1!$B$8:$CF$451,20,0)</f>
        <v>520</v>
      </c>
      <c r="N13" s="175">
        <f>VLOOKUP($B13,[3]Sheet1!$B$8:$CF$451,21,0)</f>
        <v>360</v>
      </c>
      <c r="O13" s="175">
        <f>VLOOKUP($B13,[3]Sheet1!$B$8:$CF$451,22,0)</f>
        <v>0</v>
      </c>
      <c r="P13" s="175">
        <f>VLOOKUP($B13,[3]Sheet1!$B$8:$CF$451,23,0)</f>
        <v>600</v>
      </c>
      <c r="Q13" s="175">
        <f>VLOOKUP($B13,[3]Sheet1!$B$8:$CF$451,24,0)</f>
        <v>0</v>
      </c>
      <c r="R13" s="175">
        <f t="shared" si="12"/>
        <v>1480</v>
      </c>
      <c r="S13" s="175">
        <f>'QTY '!T13</f>
        <v>1480</v>
      </c>
      <c r="T13" s="176">
        <f t="shared" si="13"/>
        <v>0</v>
      </c>
      <c r="U13" s="178"/>
      <c r="V13" s="175">
        <f>+VLOOKUP($B13,[3]Sheet1!$B$8:$CF$406,26,0)</f>
        <v>480</v>
      </c>
      <c r="W13" s="175">
        <f>+VLOOKUP($B13,[3]Sheet1!$B$8:$CF$406,27,0)</f>
        <v>400</v>
      </c>
      <c r="X13" s="175">
        <f>+VLOOKUP($B13,[3]Sheet1!$B$8:$CF$406,28,0)</f>
        <v>500</v>
      </c>
      <c r="Y13" s="175">
        <f>+VLOOKUP($B13,[3]Sheet1!$B$8:$CF$406,29,0)</f>
        <v>600</v>
      </c>
      <c r="Z13" s="175">
        <f>+VLOOKUP($B13,[3]Sheet1!$B$8:$CF$406,30,0)</f>
        <v>0</v>
      </c>
      <c r="AA13" s="175">
        <f t="shared" si="14"/>
        <v>1980</v>
      </c>
      <c r="AB13" s="175">
        <f>'QTY '!W13</f>
        <v>1980</v>
      </c>
      <c r="AC13" s="175">
        <f t="shared" si="15"/>
        <v>0</v>
      </c>
      <c r="AD13" s="178"/>
      <c r="AE13" s="175">
        <f>+VLOOKUP($B13,[3]Sheet1!$B$8:$CF$406,32,0)</f>
        <v>780</v>
      </c>
      <c r="AF13" s="175">
        <f>+VLOOKUP($B13,[3]Sheet1!$B$8:$CF$406,33,0)</f>
        <v>780</v>
      </c>
      <c r="AG13" s="175">
        <f>+VLOOKUP($B13,[3]Sheet1!$B$8:$CF$406,34,0)</f>
        <v>780</v>
      </c>
      <c r="AH13" s="175">
        <f>+VLOOKUP($B13,[3]Sheet1!$B$8:$CF$406,35,0)</f>
        <v>780</v>
      </c>
      <c r="AI13" s="175">
        <f>+VLOOKUP($B13,[3]Sheet1!$B$8:$CF$406,36,0)</f>
        <v>0</v>
      </c>
      <c r="AJ13" s="175">
        <f t="shared" si="16"/>
        <v>3120</v>
      </c>
      <c r="AK13" s="175">
        <f>'QTY '!Z13</f>
        <v>3120</v>
      </c>
      <c r="AL13" s="175">
        <f t="shared" si="17"/>
        <v>0</v>
      </c>
      <c r="AM13" s="178"/>
      <c r="AN13" s="175">
        <f t="shared" si="18"/>
        <v>780</v>
      </c>
      <c r="AO13" s="175">
        <f t="shared" si="19"/>
        <v>780</v>
      </c>
      <c r="AP13" s="175">
        <f t="shared" si="20"/>
        <v>780</v>
      </c>
      <c r="AQ13" s="175">
        <f t="shared" si="21"/>
        <v>780</v>
      </c>
      <c r="AR13" s="175"/>
      <c r="AS13" s="175">
        <f t="shared" si="22"/>
        <v>3120</v>
      </c>
      <c r="AT13" s="175">
        <f>'QTY '!AC13</f>
        <v>3120</v>
      </c>
      <c r="AU13" s="175">
        <f t="shared" si="23"/>
        <v>0</v>
      </c>
      <c r="AV13" s="178"/>
      <c r="AW13" s="180">
        <f t="shared" si="24"/>
        <v>260</v>
      </c>
      <c r="AX13" s="180">
        <f t="shared" si="25"/>
        <v>520</v>
      </c>
      <c r="AY13" s="180">
        <f t="shared" si="26"/>
        <v>480</v>
      </c>
      <c r="AZ13" s="180">
        <f t="shared" si="27"/>
        <v>780</v>
      </c>
      <c r="BA13" s="180">
        <f t="shared" si="28"/>
        <v>780</v>
      </c>
      <c r="BB13" s="56" t="e">
        <f>#REF!+1</f>
        <v>#REF!</v>
      </c>
    </row>
    <row r="14" spans="1:54" ht="18" customHeight="1">
      <c r="A14" s="237" t="str">
        <f>+'QTY '!B14</f>
        <v>BC121-6B230-1</v>
      </c>
      <c r="B14" s="237" t="str">
        <f>+'QTY '!E14</f>
        <v>BC121-6B230-1 B 0001</v>
      </c>
      <c r="C14" s="209" t="str">
        <f>'QTY '!F14</f>
        <v>120D</v>
      </c>
      <c r="D14" s="175">
        <f>VLOOKUP($B14,[3]Sheet1!$B$8:$CF$451,14,0)</f>
        <v>0</v>
      </c>
      <c r="E14" s="175">
        <f>VLOOKUP($B14,[3]Sheet1!$B$8:$CF$451,15,0)</f>
        <v>0</v>
      </c>
      <c r="F14" s="175">
        <f>VLOOKUP($B14,[3]Sheet1!$B$8:$CF$451,16,0)</f>
        <v>0</v>
      </c>
      <c r="G14" s="175">
        <f>VLOOKUP($B14,[3]Sheet1!$B$8:$CF$451,17,0)</f>
        <v>0</v>
      </c>
      <c r="H14" s="175">
        <f>VLOOKUP($B14,[3]Sheet1!$B$8:$CF$451,18,0)</f>
        <v>0</v>
      </c>
      <c r="I14" s="175">
        <f t="shared" si="10"/>
        <v>0</v>
      </c>
      <c r="J14" s="176">
        <f>'QTY '!Q14</f>
        <v>0</v>
      </c>
      <c r="K14" s="176">
        <f t="shared" si="11"/>
        <v>0</v>
      </c>
      <c r="L14" s="177"/>
      <c r="M14" s="175">
        <f>VLOOKUP($B14,[3]Sheet1!$B$8:$CF$451,20,0)</f>
        <v>0</v>
      </c>
      <c r="N14" s="175">
        <f>VLOOKUP($B14,[3]Sheet1!$B$8:$CF$451,21,0)</f>
        <v>0</v>
      </c>
      <c r="O14" s="175">
        <f>VLOOKUP($B14,[3]Sheet1!$B$8:$CF$451,22,0)</f>
        <v>0</v>
      </c>
      <c r="P14" s="175">
        <f>VLOOKUP($B14,[3]Sheet1!$B$8:$CF$451,23,0)</f>
        <v>0</v>
      </c>
      <c r="Q14" s="175">
        <f>VLOOKUP($B14,[3]Sheet1!$B$8:$CF$451,24,0)</f>
        <v>0</v>
      </c>
      <c r="R14" s="175">
        <f t="shared" si="12"/>
        <v>0</v>
      </c>
      <c r="S14" s="175">
        <f>'QTY '!T14</f>
        <v>0</v>
      </c>
      <c r="T14" s="176">
        <f t="shared" si="13"/>
        <v>0</v>
      </c>
      <c r="U14" s="178"/>
      <c r="V14" s="175">
        <f>+VLOOKUP($B14,[3]Sheet1!$B$8:$CF$406,26,0)</f>
        <v>0</v>
      </c>
      <c r="W14" s="175">
        <f>+VLOOKUP($B14,[3]Sheet1!$B$8:$CF$406,27,0)</f>
        <v>0</v>
      </c>
      <c r="X14" s="175">
        <f>+VLOOKUP($B14,[3]Sheet1!$B$8:$CF$406,28,0)</f>
        <v>0</v>
      </c>
      <c r="Y14" s="175">
        <f>+VLOOKUP($B14,[3]Sheet1!$B$8:$CF$406,29,0)</f>
        <v>0</v>
      </c>
      <c r="Z14" s="175">
        <f>+VLOOKUP($B14,[3]Sheet1!$B$8:$CF$406,30,0)</f>
        <v>0</v>
      </c>
      <c r="AA14" s="175">
        <f t="shared" si="14"/>
        <v>0</v>
      </c>
      <c r="AB14" s="175">
        <f>'QTY '!W14</f>
        <v>0</v>
      </c>
      <c r="AC14" s="175">
        <f t="shared" si="15"/>
        <v>0</v>
      </c>
      <c r="AD14" s="178"/>
      <c r="AE14" s="175">
        <f>+VLOOKUP($B14,[3]Sheet1!$B$8:$CF$406,32,0)</f>
        <v>0</v>
      </c>
      <c r="AF14" s="175">
        <f>+VLOOKUP($B14,[3]Sheet1!$B$8:$CF$406,33,0)</f>
        <v>0</v>
      </c>
      <c r="AG14" s="175">
        <f>+VLOOKUP($B14,[3]Sheet1!$B$8:$CF$406,34,0)</f>
        <v>0</v>
      </c>
      <c r="AH14" s="175">
        <f>+VLOOKUP($B14,[3]Sheet1!$B$8:$CF$406,35,0)</f>
        <v>0</v>
      </c>
      <c r="AI14" s="175">
        <f>+VLOOKUP($B14,[3]Sheet1!$B$8:$CF$406,36,0)</f>
        <v>0</v>
      </c>
      <c r="AJ14" s="175">
        <f t="shared" si="16"/>
        <v>0</v>
      </c>
      <c r="AK14" s="175">
        <f>'QTY '!Z14</f>
        <v>0</v>
      </c>
      <c r="AL14" s="175">
        <f t="shared" si="17"/>
        <v>0</v>
      </c>
      <c r="AM14" s="178"/>
      <c r="AN14" s="175">
        <f t="shared" si="18"/>
        <v>0</v>
      </c>
      <c r="AO14" s="175">
        <f t="shared" si="19"/>
        <v>0</v>
      </c>
      <c r="AP14" s="175">
        <f t="shared" si="20"/>
        <v>0</v>
      </c>
      <c r="AQ14" s="175">
        <f t="shared" si="21"/>
        <v>0</v>
      </c>
      <c r="AR14" s="175"/>
      <c r="AS14" s="175">
        <f t="shared" si="22"/>
        <v>0</v>
      </c>
      <c r="AT14" s="175">
        <f>'QTY '!AC14</f>
        <v>0</v>
      </c>
      <c r="AU14" s="175">
        <f t="shared" si="23"/>
        <v>0</v>
      </c>
      <c r="AV14" s="178"/>
      <c r="AW14" s="180">
        <f t="shared" si="24"/>
        <v>0</v>
      </c>
      <c r="AX14" s="180">
        <f t="shared" si="25"/>
        <v>0</v>
      </c>
      <c r="AY14" s="180">
        <f t="shared" si="26"/>
        <v>0</v>
      </c>
      <c r="AZ14" s="180">
        <f t="shared" si="27"/>
        <v>0</v>
      </c>
      <c r="BA14" s="180">
        <f t="shared" si="28"/>
        <v>0</v>
      </c>
      <c r="BB14" s="56" t="e">
        <f>#REF!+1</f>
        <v>#REF!</v>
      </c>
    </row>
    <row r="15" spans="1:54" ht="18" customHeight="1">
      <c r="A15" s="237" t="str">
        <f>+'QTY '!B15</f>
        <v>BC121-6AM60-1</v>
      </c>
      <c r="B15" s="237" t="str">
        <f>+'QTY '!E15</f>
        <v>BC121-6AM60-1 C 0001</v>
      </c>
      <c r="C15" s="209" t="str">
        <f>'QTY '!F15</f>
        <v>120D</v>
      </c>
      <c r="D15" s="175">
        <f>VLOOKUP($B15,[3]Sheet1!$B$8:$CF$451,14,0)</f>
        <v>0</v>
      </c>
      <c r="E15" s="175">
        <f>VLOOKUP($B15,[3]Sheet1!$B$8:$CF$451,15,0)</f>
        <v>0</v>
      </c>
      <c r="F15" s="175">
        <f>VLOOKUP($B15,[3]Sheet1!$B$8:$CF$451,16,0)</f>
        <v>0</v>
      </c>
      <c r="G15" s="175">
        <f>VLOOKUP($B15,[3]Sheet1!$B$8:$CF$451,17,0)</f>
        <v>0</v>
      </c>
      <c r="H15" s="175">
        <f>VLOOKUP($B15,[3]Sheet1!$B$8:$CF$451,18,0)</f>
        <v>0</v>
      </c>
      <c r="I15" s="175">
        <f t="shared" si="10"/>
        <v>0</v>
      </c>
      <c r="J15" s="176">
        <f>'QTY '!Q15</f>
        <v>0</v>
      </c>
      <c r="K15" s="176">
        <f t="shared" si="11"/>
        <v>0</v>
      </c>
      <c r="L15" s="177"/>
      <c r="M15" s="175">
        <f>VLOOKUP($B15,[3]Sheet1!$B$8:$CF$451,20,0)</f>
        <v>0</v>
      </c>
      <c r="N15" s="175">
        <f>VLOOKUP($B15,[3]Sheet1!$B$8:$CF$451,21,0)</f>
        <v>0</v>
      </c>
      <c r="O15" s="175">
        <f>VLOOKUP($B15,[3]Sheet1!$B$8:$CF$451,22,0)</f>
        <v>0</v>
      </c>
      <c r="P15" s="175">
        <f>VLOOKUP($B15,[3]Sheet1!$B$8:$CF$451,23,0)</f>
        <v>0</v>
      </c>
      <c r="Q15" s="175">
        <f>VLOOKUP($B15,[3]Sheet1!$B$8:$CF$451,24,0)</f>
        <v>0</v>
      </c>
      <c r="R15" s="175">
        <f t="shared" si="12"/>
        <v>0</v>
      </c>
      <c r="S15" s="175">
        <f>'QTY '!T15</f>
        <v>0</v>
      </c>
      <c r="T15" s="176">
        <f t="shared" si="13"/>
        <v>0</v>
      </c>
      <c r="U15" s="178"/>
      <c r="V15" s="175">
        <f>+VLOOKUP($B15,[3]Sheet1!$B$8:$CF$406,26,0)</f>
        <v>0</v>
      </c>
      <c r="W15" s="175">
        <f>+VLOOKUP($B15,[3]Sheet1!$B$8:$CF$406,27,0)</f>
        <v>0</v>
      </c>
      <c r="X15" s="175">
        <f>+VLOOKUP($B15,[3]Sheet1!$B$8:$CF$406,28,0)</f>
        <v>0</v>
      </c>
      <c r="Y15" s="175">
        <f>+VLOOKUP($B15,[3]Sheet1!$B$8:$CF$406,29,0)</f>
        <v>0</v>
      </c>
      <c r="Z15" s="175">
        <f>+VLOOKUP($B15,[3]Sheet1!$B$8:$CF$406,30,0)</f>
        <v>0</v>
      </c>
      <c r="AA15" s="175">
        <f t="shared" si="14"/>
        <v>0</v>
      </c>
      <c r="AB15" s="175">
        <f>'QTY '!W15</f>
        <v>0</v>
      </c>
      <c r="AC15" s="175">
        <f t="shared" si="15"/>
        <v>0</v>
      </c>
      <c r="AD15" s="178"/>
      <c r="AE15" s="175">
        <f>+VLOOKUP($B15,[3]Sheet1!$B$8:$CF$406,32,0)</f>
        <v>610</v>
      </c>
      <c r="AF15" s="175">
        <f>+VLOOKUP($B15,[3]Sheet1!$B$8:$CF$406,33,0)</f>
        <v>610</v>
      </c>
      <c r="AG15" s="175">
        <f>+VLOOKUP($B15,[3]Sheet1!$B$8:$CF$406,34,0)</f>
        <v>610</v>
      </c>
      <c r="AH15" s="175">
        <f>+VLOOKUP($B15,[3]Sheet1!$B$8:$CF$406,35,0)</f>
        <v>610</v>
      </c>
      <c r="AI15" s="175">
        <f>+VLOOKUP($B15,[3]Sheet1!$B$8:$CF$406,36,0)</f>
        <v>0</v>
      </c>
      <c r="AJ15" s="175">
        <f t="shared" si="16"/>
        <v>2440</v>
      </c>
      <c r="AK15" s="175">
        <f>'QTY '!Z15</f>
        <v>2440</v>
      </c>
      <c r="AL15" s="175">
        <f t="shared" si="17"/>
        <v>0</v>
      </c>
      <c r="AM15" s="178"/>
      <c r="AN15" s="175">
        <f t="shared" si="18"/>
        <v>610</v>
      </c>
      <c r="AO15" s="175">
        <f t="shared" si="19"/>
        <v>610</v>
      </c>
      <c r="AP15" s="175">
        <f t="shared" si="20"/>
        <v>610</v>
      </c>
      <c r="AQ15" s="175">
        <f t="shared" si="21"/>
        <v>610</v>
      </c>
      <c r="AR15" s="175"/>
      <c r="AS15" s="175">
        <f t="shared" si="22"/>
        <v>2440</v>
      </c>
      <c r="AT15" s="175">
        <f>'QTY '!AC15</f>
        <v>2440</v>
      </c>
      <c r="AU15" s="175">
        <f t="shared" si="23"/>
        <v>0</v>
      </c>
      <c r="AV15" s="178"/>
      <c r="AW15" s="180">
        <f t="shared" si="24"/>
        <v>0</v>
      </c>
      <c r="AX15" s="180">
        <f t="shared" si="25"/>
        <v>0</v>
      </c>
      <c r="AY15" s="180">
        <f t="shared" si="26"/>
        <v>0</v>
      </c>
      <c r="AZ15" s="180">
        <f t="shared" si="27"/>
        <v>610</v>
      </c>
      <c r="BA15" s="180">
        <f t="shared" si="28"/>
        <v>610</v>
      </c>
      <c r="BB15" s="56" t="e">
        <f>#REF!+1</f>
        <v>#REF!</v>
      </c>
    </row>
    <row r="16" spans="1:54" ht="18" customHeight="1">
      <c r="A16" s="237" t="str">
        <f>+'QTY '!B16</f>
        <v>BC121-35G90-1</v>
      </c>
      <c r="B16" s="237" t="str">
        <f>+'QTY '!E16</f>
        <v>BC121-35G70-1 D 0001</v>
      </c>
      <c r="C16" s="209" t="str">
        <f>'QTY '!F16</f>
        <v>930B</v>
      </c>
      <c r="D16" s="175">
        <f>VLOOKUP($B16,[3]Sheet1!$B$8:$CF$451,14,0)</f>
        <v>840</v>
      </c>
      <c r="E16" s="175">
        <f>VLOOKUP($B16,[3]Sheet1!$B$8:$CF$451,15,0)</f>
        <v>900</v>
      </c>
      <c r="F16" s="175">
        <f>VLOOKUP($B16,[3]Sheet1!$B$8:$CF$451,16,0)</f>
        <v>960</v>
      </c>
      <c r="G16" s="175">
        <f>VLOOKUP($B16,[3]Sheet1!$B$8:$CF$451,17,0)</f>
        <v>990</v>
      </c>
      <c r="H16" s="175">
        <f>VLOOKUP($B16,[3]Sheet1!$B$8:$CF$451,18,0)</f>
        <v>0</v>
      </c>
      <c r="I16" s="175">
        <f t="shared" si="10"/>
        <v>3690</v>
      </c>
      <c r="J16" s="176">
        <f>'QTY '!Q16</f>
        <v>3690</v>
      </c>
      <c r="K16" s="176">
        <f t="shared" si="11"/>
        <v>0</v>
      </c>
      <c r="L16" s="177"/>
      <c r="M16" s="175">
        <f>VLOOKUP($B16,[3]Sheet1!$B$8:$CF$451,20,0)</f>
        <v>1140</v>
      </c>
      <c r="N16" s="175">
        <f>VLOOKUP($B16,[3]Sheet1!$B$8:$CF$451,21,0)</f>
        <v>810</v>
      </c>
      <c r="O16" s="175">
        <f>VLOOKUP($B16,[3]Sheet1!$B$8:$CF$451,22,0)</f>
        <v>0</v>
      </c>
      <c r="P16" s="175">
        <f>VLOOKUP($B16,[3]Sheet1!$B$8:$CF$451,23,0)</f>
        <v>1230</v>
      </c>
      <c r="Q16" s="175">
        <f>VLOOKUP($B16,[3]Sheet1!$B$8:$CF$451,24,0)</f>
        <v>0</v>
      </c>
      <c r="R16" s="175">
        <f t="shared" si="12"/>
        <v>3180</v>
      </c>
      <c r="S16" s="175">
        <f>'QTY '!T16</f>
        <v>3180</v>
      </c>
      <c r="T16" s="176">
        <f t="shared" si="13"/>
        <v>0</v>
      </c>
      <c r="U16" s="178"/>
      <c r="V16" s="175">
        <f>+VLOOKUP($B16,[3]Sheet1!$B$8:$CF$406,26,0)</f>
        <v>1050</v>
      </c>
      <c r="W16" s="175">
        <f>+VLOOKUP($B16,[3]Sheet1!$B$8:$CF$406,27,0)</f>
        <v>810</v>
      </c>
      <c r="X16" s="175">
        <f>+VLOOKUP($B16,[3]Sheet1!$B$8:$CF$406,28,0)</f>
        <v>960</v>
      </c>
      <c r="Y16" s="175">
        <f>+VLOOKUP($B16,[3]Sheet1!$B$8:$CF$406,29,0)</f>
        <v>870</v>
      </c>
      <c r="Z16" s="175">
        <f>+VLOOKUP($B16,[3]Sheet1!$B$8:$CF$406,30,0)</f>
        <v>0</v>
      </c>
      <c r="AA16" s="175">
        <f t="shared" si="14"/>
        <v>3690</v>
      </c>
      <c r="AB16" s="175">
        <f>'QTY '!W16</f>
        <v>3690</v>
      </c>
      <c r="AC16" s="175">
        <f t="shared" si="15"/>
        <v>0</v>
      </c>
      <c r="AD16" s="178"/>
      <c r="AE16" s="175">
        <f>+VLOOKUP($B16,[3]Sheet1!$B$8:$CF$406,32,0)</f>
        <v>1072.5</v>
      </c>
      <c r="AF16" s="175">
        <f>+VLOOKUP($B16,[3]Sheet1!$B$8:$CF$406,33,0)</f>
        <v>1072.5</v>
      </c>
      <c r="AG16" s="175">
        <f>+VLOOKUP($B16,[3]Sheet1!$B$8:$CF$406,34,0)</f>
        <v>1072.5</v>
      </c>
      <c r="AH16" s="175">
        <f>+VLOOKUP($B16,[3]Sheet1!$B$8:$CF$406,35,0)</f>
        <v>1072.5</v>
      </c>
      <c r="AI16" s="175">
        <f>+VLOOKUP($B16,[3]Sheet1!$B$8:$CF$406,36,0)</f>
        <v>0</v>
      </c>
      <c r="AJ16" s="175">
        <f t="shared" si="16"/>
        <v>4290</v>
      </c>
      <c r="AK16" s="175">
        <f>'QTY '!Z16</f>
        <v>4290</v>
      </c>
      <c r="AL16" s="175">
        <f t="shared" si="17"/>
        <v>0</v>
      </c>
      <c r="AM16" s="178"/>
      <c r="AN16" s="175">
        <f t="shared" si="18"/>
        <v>1072.5</v>
      </c>
      <c r="AO16" s="175">
        <f t="shared" si="19"/>
        <v>1072.5</v>
      </c>
      <c r="AP16" s="175">
        <f t="shared" si="20"/>
        <v>1072.5</v>
      </c>
      <c r="AQ16" s="175">
        <f t="shared" si="21"/>
        <v>1072.5</v>
      </c>
      <c r="AR16" s="175"/>
      <c r="AS16" s="175">
        <f t="shared" si="22"/>
        <v>4290</v>
      </c>
      <c r="AT16" s="175">
        <f>'QTY '!AC16</f>
        <v>4290</v>
      </c>
      <c r="AU16" s="175">
        <f t="shared" si="23"/>
        <v>0</v>
      </c>
      <c r="AV16" s="178"/>
      <c r="AW16" s="180"/>
      <c r="AX16" s="180"/>
      <c r="AY16" s="180"/>
      <c r="AZ16" s="180"/>
      <c r="BA16" s="180"/>
    </row>
    <row r="17" spans="1:53" ht="18" customHeight="1">
      <c r="A17" s="237" t="str">
        <f>+'QTY '!B17</f>
        <v>BC121-35J20-1</v>
      </c>
      <c r="B17" s="237" t="str">
        <f>+'QTY '!E17</f>
        <v>BC121-35G90-1 D 0001</v>
      </c>
      <c r="C17" s="209" t="str">
        <f>'QTY '!F17</f>
        <v>930B</v>
      </c>
      <c r="D17" s="175">
        <f>VLOOKUP($B17,[3]Sheet1!$B$8:$CF$451,14,0)</f>
        <v>280</v>
      </c>
      <c r="E17" s="175">
        <f>VLOOKUP($B17,[3]Sheet1!$B$8:$CF$451,15,0)</f>
        <v>300</v>
      </c>
      <c r="F17" s="175">
        <f>VLOOKUP($B17,[3]Sheet1!$B$8:$CF$451,16,0)</f>
        <v>380</v>
      </c>
      <c r="G17" s="175">
        <f>VLOOKUP($B17,[3]Sheet1!$B$8:$CF$451,17,0)</f>
        <v>380</v>
      </c>
      <c r="H17" s="175">
        <f>VLOOKUP($B17,[3]Sheet1!$B$8:$CF$451,18,0)</f>
        <v>0</v>
      </c>
      <c r="I17" s="175">
        <f t="shared" si="10"/>
        <v>1340</v>
      </c>
      <c r="J17" s="176">
        <f>'QTY '!Q17</f>
        <v>1340</v>
      </c>
      <c r="K17" s="176">
        <f t="shared" si="11"/>
        <v>0</v>
      </c>
      <c r="L17" s="177"/>
      <c r="M17" s="175">
        <f>VLOOKUP($B17,[3]Sheet1!$B$8:$CF$451,20,0)</f>
        <v>440</v>
      </c>
      <c r="N17" s="175">
        <f>VLOOKUP($B17,[3]Sheet1!$B$8:$CF$451,21,0)</f>
        <v>280</v>
      </c>
      <c r="O17" s="175">
        <f>VLOOKUP($B17,[3]Sheet1!$B$8:$CF$451,22,0)</f>
        <v>0</v>
      </c>
      <c r="P17" s="175">
        <f>VLOOKUP($B17,[3]Sheet1!$B$8:$CF$451,23,0)</f>
        <v>460</v>
      </c>
      <c r="Q17" s="175">
        <f>VLOOKUP($B17,[3]Sheet1!$B$8:$CF$451,24,0)</f>
        <v>0</v>
      </c>
      <c r="R17" s="175">
        <f t="shared" si="12"/>
        <v>1180</v>
      </c>
      <c r="S17" s="175">
        <f>'QTY '!T17</f>
        <v>1180</v>
      </c>
      <c r="T17" s="176">
        <f t="shared" si="13"/>
        <v>0</v>
      </c>
      <c r="U17" s="178"/>
      <c r="V17" s="175">
        <f>+VLOOKUP($B17,[3]Sheet1!$B$8:$CF$406,26,0)</f>
        <v>360</v>
      </c>
      <c r="W17" s="175">
        <f>+VLOOKUP($B17,[3]Sheet1!$B$8:$CF$406,27,0)</f>
        <v>300</v>
      </c>
      <c r="X17" s="175">
        <f>+VLOOKUP($B17,[3]Sheet1!$B$8:$CF$406,28,0)</f>
        <v>360</v>
      </c>
      <c r="Y17" s="175">
        <f>+VLOOKUP($B17,[3]Sheet1!$B$8:$CF$406,29,0)</f>
        <v>380</v>
      </c>
      <c r="Z17" s="175">
        <f>+VLOOKUP($B17,[3]Sheet1!$B$8:$CF$406,30,0)</f>
        <v>0</v>
      </c>
      <c r="AA17" s="175">
        <f t="shared" si="14"/>
        <v>1400</v>
      </c>
      <c r="AB17" s="175">
        <f>'QTY '!W17</f>
        <v>1400</v>
      </c>
      <c r="AC17" s="175">
        <f t="shared" si="15"/>
        <v>0</v>
      </c>
      <c r="AD17" s="178"/>
      <c r="AE17" s="175">
        <f>+VLOOKUP($B17,[3]Sheet1!$B$8:$CF$406,32,0)</f>
        <v>405</v>
      </c>
      <c r="AF17" s="175">
        <f>+VLOOKUP($B17,[3]Sheet1!$B$8:$CF$406,33,0)</f>
        <v>405</v>
      </c>
      <c r="AG17" s="175">
        <f>+VLOOKUP($B17,[3]Sheet1!$B$8:$CF$406,34,0)</f>
        <v>405</v>
      </c>
      <c r="AH17" s="175">
        <f>+VLOOKUP($B17,[3]Sheet1!$B$8:$CF$406,35,0)</f>
        <v>405</v>
      </c>
      <c r="AI17" s="175">
        <f>+VLOOKUP($B17,[3]Sheet1!$B$8:$CF$406,36,0)</f>
        <v>0</v>
      </c>
      <c r="AJ17" s="175">
        <f t="shared" si="16"/>
        <v>1620</v>
      </c>
      <c r="AK17" s="175">
        <f>'QTY '!Z17</f>
        <v>1620</v>
      </c>
      <c r="AL17" s="175">
        <f t="shared" si="17"/>
        <v>0</v>
      </c>
      <c r="AM17" s="178"/>
      <c r="AN17" s="175">
        <f t="shared" si="18"/>
        <v>405</v>
      </c>
      <c r="AO17" s="175">
        <f t="shared" si="19"/>
        <v>405</v>
      </c>
      <c r="AP17" s="175">
        <f t="shared" si="20"/>
        <v>405</v>
      </c>
      <c r="AQ17" s="175">
        <f t="shared" si="21"/>
        <v>405</v>
      </c>
      <c r="AR17" s="175"/>
      <c r="AS17" s="175">
        <f t="shared" si="22"/>
        <v>1620</v>
      </c>
      <c r="AT17" s="175">
        <f>'QTY '!AC17</f>
        <v>1620</v>
      </c>
      <c r="AU17" s="175">
        <f t="shared" si="23"/>
        <v>0</v>
      </c>
      <c r="AV17" s="178"/>
      <c r="AW17" s="180"/>
      <c r="AX17" s="180"/>
      <c r="AY17" s="180"/>
      <c r="AZ17" s="180"/>
      <c r="BA17" s="180"/>
    </row>
    <row r="18" spans="1:53" ht="18" customHeight="1">
      <c r="A18" s="237" t="str">
        <f>+'QTY '!B18</f>
        <v>BC139-930B2-1</v>
      </c>
      <c r="B18" s="237" t="str">
        <f>+'QTY '!E18</f>
        <v>BC121-35K80-1 C 0001</v>
      </c>
      <c r="C18" s="209" t="str">
        <f>'QTY '!F18</f>
        <v>930B</v>
      </c>
      <c r="D18" s="175">
        <f>VLOOKUP($B18,[3]Sheet1!$B$8:$CF$451,14,0)</f>
        <v>0</v>
      </c>
      <c r="E18" s="175">
        <f>VLOOKUP($B18,[3]Sheet1!$B$8:$CF$451,15,0)</f>
        <v>0</v>
      </c>
      <c r="F18" s="175">
        <f>VLOOKUP($B18,[3]Sheet1!$B$8:$CF$451,16,0)</f>
        <v>240</v>
      </c>
      <c r="G18" s="175">
        <f>VLOOKUP($B18,[3]Sheet1!$B$8:$CF$451,17,0)</f>
        <v>510</v>
      </c>
      <c r="H18" s="175">
        <f>VLOOKUP($B18,[3]Sheet1!$B$8:$CF$451,18,0)</f>
        <v>0</v>
      </c>
      <c r="I18" s="175">
        <f t="shared" si="10"/>
        <v>750</v>
      </c>
      <c r="J18" s="176">
        <f>'QTY '!Q18</f>
        <v>750</v>
      </c>
      <c r="K18" s="176">
        <f t="shared" si="11"/>
        <v>0</v>
      </c>
      <c r="L18" s="177"/>
      <c r="M18" s="175">
        <f>VLOOKUP($B18,[3]Sheet1!$B$8:$CF$451,20,0)</f>
        <v>570</v>
      </c>
      <c r="N18" s="175">
        <f>VLOOKUP($B18,[3]Sheet1!$B$8:$CF$451,21,0)</f>
        <v>450</v>
      </c>
      <c r="O18" s="175">
        <f>VLOOKUP($B18,[3]Sheet1!$B$8:$CF$451,22,0)</f>
        <v>0</v>
      </c>
      <c r="P18" s="175">
        <f>VLOOKUP($B18,[3]Sheet1!$B$8:$CF$451,23,0)</f>
        <v>660</v>
      </c>
      <c r="Q18" s="175">
        <f>VLOOKUP($B18,[3]Sheet1!$B$8:$CF$451,24,0)</f>
        <v>0</v>
      </c>
      <c r="R18" s="175">
        <f t="shared" si="12"/>
        <v>1680</v>
      </c>
      <c r="S18" s="175">
        <f>'QTY '!T18</f>
        <v>1680</v>
      </c>
      <c r="T18" s="176">
        <f t="shared" si="13"/>
        <v>0</v>
      </c>
      <c r="U18" s="178"/>
      <c r="V18" s="175">
        <f>+VLOOKUP($B18,[3]Sheet1!$B$8:$CF$406,26,0)</f>
        <v>570</v>
      </c>
      <c r="W18" s="175">
        <f>+VLOOKUP($B18,[3]Sheet1!$B$8:$CF$406,27,0)</f>
        <v>450</v>
      </c>
      <c r="X18" s="175">
        <f>+VLOOKUP($B18,[3]Sheet1!$B$8:$CF$406,28,0)</f>
        <v>570</v>
      </c>
      <c r="Y18" s="175">
        <f>+VLOOKUP($B18,[3]Sheet1!$B$8:$CF$406,29,0)</f>
        <v>510</v>
      </c>
      <c r="Z18" s="175">
        <f>+VLOOKUP($B18,[3]Sheet1!$B$8:$CF$406,30,0)</f>
        <v>0</v>
      </c>
      <c r="AA18" s="175">
        <f t="shared" si="14"/>
        <v>2100</v>
      </c>
      <c r="AB18" s="175">
        <f>'QTY '!W18</f>
        <v>2100</v>
      </c>
      <c r="AC18" s="175">
        <f t="shared" si="15"/>
        <v>0</v>
      </c>
      <c r="AD18" s="178"/>
      <c r="AE18" s="175">
        <f>+VLOOKUP($B18,[3]Sheet1!$B$8:$CF$406,32,0)</f>
        <v>517.5</v>
      </c>
      <c r="AF18" s="175">
        <f>+VLOOKUP($B18,[3]Sheet1!$B$8:$CF$406,33,0)</f>
        <v>517.5</v>
      </c>
      <c r="AG18" s="175">
        <f>+VLOOKUP($B18,[3]Sheet1!$B$8:$CF$406,34,0)</f>
        <v>517.5</v>
      </c>
      <c r="AH18" s="175">
        <f>+VLOOKUP($B18,[3]Sheet1!$B$8:$CF$406,35,0)</f>
        <v>517.5</v>
      </c>
      <c r="AI18" s="175">
        <f>+VLOOKUP($B18,[3]Sheet1!$B$8:$CF$406,36,0)</f>
        <v>0</v>
      </c>
      <c r="AJ18" s="175">
        <f t="shared" si="16"/>
        <v>2070</v>
      </c>
      <c r="AK18" s="175">
        <f>'QTY '!Z18</f>
        <v>2070</v>
      </c>
      <c r="AL18" s="175">
        <f t="shared" si="17"/>
        <v>0</v>
      </c>
      <c r="AM18" s="178"/>
      <c r="AN18" s="175">
        <f t="shared" si="18"/>
        <v>517.5</v>
      </c>
      <c r="AO18" s="175">
        <f t="shared" si="19"/>
        <v>517.5</v>
      </c>
      <c r="AP18" s="175">
        <f t="shared" si="20"/>
        <v>517.5</v>
      </c>
      <c r="AQ18" s="175">
        <f t="shared" si="21"/>
        <v>517.5</v>
      </c>
      <c r="AR18" s="175"/>
      <c r="AS18" s="175">
        <f t="shared" si="22"/>
        <v>2070</v>
      </c>
      <c r="AT18" s="175">
        <f>'QTY '!AC18</f>
        <v>2070</v>
      </c>
      <c r="AU18" s="175">
        <f t="shared" si="23"/>
        <v>0</v>
      </c>
      <c r="AV18" s="178"/>
      <c r="AW18" s="180"/>
      <c r="AX18" s="180"/>
      <c r="AY18" s="180"/>
      <c r="AZ18" s="180"/>
      <c r="BA18" s="180"/>
    </row>
    <row r="19" spans="1:53" ht="18" customHeight="1">
      <c r="A19" s="237" t="str">
        <f>+'QTY '!B19</f>
        <v>BC111-2FE72-1</v>
      </c>
      <c r="B19" s="237" t="str">
        <f>+'QTY '!E19</f>
        <v>BC111-2FE72-1 F 0201</v>
      </c>
      <c r="C19" s="209" t="str">
        <f>'QTY '!F19</f>
        <v>BC 602W</v>
      </c>
      <c r="D19" s="175">
        <f>VLOOKUP($B19,[3]Sheet1!$B$8:$CF$451,14,0)</f>
        <v>360</v>
      </c>
      <c r="E19" s="175">
        <f>VLOOKUP($B19,[3]Sheet1!$B$8:$CF$451,15,0)</f>
        <v>360</v>
      </c>
      <c r="F19" s="175">
        <f>VLOOKUP($B19,[3]Sheet1!$B$8:$CF$451,16,0)</f>
        <v>420</v>
      </c>
      <c r="G19" s="175">
        <f>VLOOKUP($B19,[3]Sheet1!$B$8:$CF$451,17,0)</f>
        <v>420</v>
      </c>
      <c r="H19" s="175">
        <f>VLOOKUP($B19,[3]Sheet1!$B$8:$CF$451,18,0)</f>
        <v>0</v>
      </c>
      <c r="I19" s="175">
        <f t="shared" si="10"/>
        <v>1560</v>
      </c>
      <c r="J19" s="176">
        <f>'QTY '!Q19</f>
        <v>1560</v>
      </c>
      <c r="K19" s="176">
        <f t="shared" si="11"/>
        <v>0</v>
      </c>
      <c r="L19" s="177"/>
      <c r="M19" s="175">
        <f>VLOOKUP($B19,[3]Sheet1!$B$8:$CF$451,20,0)</f>
        <v>540</v>
      </c>
      <c r="N19" s="175">
        <f>VLOOKUP($B19,[3]Sheet1!$B$8:$CF$451,21,0)</f>
        <v>300</v>
      </c>
      <c r="O19" s="175">
        <f>VLOOKUP($B19,[3]Sheet1!$B$8:$CF$451,22,0)</f>
        <v>0</v>
      </c>
      <c r="P19" s="175">
        <f>VLOOKUP($B19,[3]Sheet1!$B$8:$CF$451,23,0)</f>
        <v>480</v>
      </c>
      <c r="Q19" s="175">
        <f>VLOOKUP($B19,[3]Sheet1!$B$8:$CF$451,24,0)</f>
        <v>0</v>
      </c>
      <c r="R19" s="175">
        <f t="shared" si="12"/>
        <v>1320</v>
      </c>
      <c r="S19" s="175">
        <f>'QTY '!T19</f>
        <v>1320</v>
      </c>
      <c r="T19" s="176">
        <f t="shared" si="13"/>
        <v>0</v>
      </c>
      <c r="U19" s="178"/>
      <c r="V19" s="175">
        <f>+VLOOKUP($B19,[3]Sheet1!$B$8:$CF$406,26,0)</f>
        <v>420</v>
      </c>
      <c r="W19" s="175">
        <f>+VLOOKUP($B19,[3]Sheet1!$B$8:$CF$406,27,0)</f>
        <v>300</v>
      </c>
      <c r="X19" s="175">
        <f>+VLOOKUP($B19,[3]Sheet1!$B$8:$CF$406,28,0)</f>
        <v>420</v>
      </c>
      <c r="Y19" s="175">
        <f>+VLOOKUP($B19,[3]Sheet1!$B$8:$CF$406,29,0)</f>
        <v>300</v>
      </c>
      <c r="Z19" s="175">
        <f>+VLOOKUP($B19,[3]Sheet1!$B$8:$CF$406,30,0)</f>
        <v>0</v>
      </c>
      <c r="AA19" s="175">
        <f t="shared" si="14"/>
        <v>1440</v>
      </c>
      <c r="AB19" s="175">
        <f>'QTY '!W19</f>
        <v>1440</v>
      </c>
      <c r="AC19" s="175">
        <f t="shared" si="15"/>
        <v>0</v>
      </c>
      <c r="AD19" s="178"/>
      <c r="AE19" s="175">
        <f>+VLOOKUP($B19,[3]Sheet1!$B$8:$CF$406,32,0)</f>
        <v>420</v>
      </c>
      <c r="AF19" s="175">
        <f>+VLOOKUP($B19,[3]Sheet1!$B$8:$CF$406,33,0)</f>
        <v>420</v>
      </c>
      <c r="AG19" s="175">
        <f>+VLOOKUP($B19,[3]Sheet1!$B$8:$CF$406,34,0)</f>
        <v>420</v>
      </c>
      <c r="AH19" s="175">
        <f>+VLOOKUP($B19,[3]Sheet1!$B$8:$CF$406,35,0)</f>
        <v>420</v>
      </c>
      <c r="AI19" s="175">
        <f>+VLOOKUP($B19,[3]Sheet1!$B$8:$CF$406,36,0)</f>
        <v>0</v>
      </c>
      <c r="AJ19" s="175">
        <f t="shared" si="16"/>
        <v>1680</v>
      </c>
      <c r="AK19" s="175">
        <f>'QTY '!Z19</f>
        <v>1680</v>
      </c>
      <c r="AL19" s="175">
        <f t="shared" si="17"/>
        <v>0</v>
      </c>
      <c r="AM19" s="178"/>
      <c r="AN19" s="175">
        <f t="shared" si="18"/>
        <v>420</v>
      </c>
      <c r="AO19" s="175">
        <f t="shared" si="19"/>
        <v>420</v>
      </c>
      <c r="AP19" s="175">
        <f t="shared" si="20"/>
        <v>420</v>
      </c>
      <c r="AQ19" s="175">
        <f t="shared" si="21"/>
        <v>420</v>
      </c>
      <c r="AR19" s="175"/>
      <c r="AS19" s="175">
        <f t="shared" si="22"/>
        <v>1680</v>
      </c>
      <c r="AT19" s="175">
        <f>'QTY '!AC19</f>
        <v>1680</v>
      </c>
      <c r="AU19" s="175">
        <f t="shared" si="23"/>
        <v>0</v>
      </c>
      <c r="AV19" s="178"/>
      <c r="AW19" s="180"/>
      <c r="AX19" s="180"/>
      <c r="AY19" s="180"/>
      <c r="AZ19" s="180"/>
      <c r="BA19" s="180"/>
    </row>
    <row r="20" spans="1:53" ht="18" customHeight="1">
      <c r="A20" s="237" t="str">
        <f>+'QTY '!B20</f>
        <v>BC111-2FE72-2</v>
      </c>
      <c r="B20" s="237" t="str">
        <f>+'QTY '!E20</f>
        <v>BC111-2FE72-2 F 0201</v>
      </c>
      <c r="C20" s="209" t="str">
        <f>'QTY '!F20</f>
        <v>BC 602W</v>
      </c>
      <c r="D20" s="175">
        <f>VLOOKUP($B20,[3]Sheet1!$B$8:$CF$451,14,0)</f>
        <v>320</v>
      </c>
      <c r="E20" s="175">
        <f>VLOOKUP($B20,[3]Sheet1!$B$8:$CF$451,15,0)</f>
        <v>320</v>
      </c>
      <c r="F20" s="175">
        <f>VLOOKUP($B20,[3]Sheet1!$B$8:$CF$451,16,0)</f>
        <v>360</v>
      </c>
      <c r="G20" s="175">
        <f>VLOOKUP($B20,[3]Sheet1!$B$8:$CF$451,17,0)</f>
        <v>360</v>
      </c>
      <c r="H20" s="175">
        <f>VLOOKUP($B20,[3]Sheet1!$B$8:$CF$451,18,0)</f>
        <v>0</v>
      </c>
      <c r="I20" s="175">
        <f t="shared" si="10"/>
        <v>1360</v>
      </c>
      <c r="J20" s="176">
        <f>'QTY '!Q20</f>
        <v>1360</v>
      </c>
      <c r="K20" s="176">
        <f t="shared" si="11"/>
        <v>0</v>
      </c>
      <c r="L20" s="177"/>
      <c r="M20" s="175">
        <f>VLOOKUP($B20,[3]Sheet1!$B$8:$CF$451,20,0)</f>
        <v>420</v>
      </c>
      <c r="N20" s="175">
        <f>VLOOKUP($B20,[3]Sheet1!$B$8:$CF$451,21,0)</f>
        <v>260</v>
      </c>
      <c r="O20" s="175">
        <f>VLOOKUP($B20,[3]Sheet1!$B$8:$CF$451,22,0)</f>
        <v>0</v>
      </c>
      <c r="P20" s="175">
        <f>VLOOKUP($B20,[3]Sheet1!$B$8:$CF$451,23,0)</f>
        <v>400</v>
      </c>
      <c r="Q20" s="175">
        <f>VLOOKUP($B20,[3]Sheet1!$B$8:$CF$451,24,0)</f>
        <v>0</v>
      </c>
      <c r="R20" s="175">
        <f t="shared" si="12"/>
        <v>1080</v>
      </c>
      <c r="S20" s="175">
        <f>'QTY '!T20</f>
        <v>1080</v>
      </c>
      <c r="T20" s="176">
        <f t="shared" si="13"/>
        <v>0</v>
      </c>
      <c r="U20" s="178"/>
      <c r="V20" s="175">
        <f>+VLOOKUP($B20,[3]Sheet1!$B$8:$CF$406,26,0)</f>
        <v>340</v>
      </c>
      <c r="W20" s="175">
        <f>+VLOOKUP($B20,[3]Sheet1!$B$8:$CF$406,27,0)</f>
        <v>260</v>
      </c>
      <c r="X20" s="175">
        <f>+VLOOKUP($B20,[3]Sheet1!$B$8:$CF$406,28,0)</f>
        <v>300</v>
      </c>
      <c r="Y20" s="175">
        <f>+VLOOKUP($B20,[3]Sheet1!$B$8:$CF$406,29,0)</f>
        <v>280</v>
      </c>
      <c r="Z20" s="175">
        <f>+VLOOKUP($B20,[3]Sheet1!$B$8:$CF$406,30,0)</f>
        <v>0</v>
      </c>
      <c r="AA20" s="175">
        <f t="shared" si="14"/>
        <v>1180</v>
      </c>
      <c r="AB20" s="175">
        <f>'QTY '!W20</f>
        <v>1180</v>
      </c>
      <c r="AC20" s="175">
        <f t="shared" si="15"/>
        <v>0</v>
      </c>
      <c r="AD20" s="178"/>
      <c r="AE20" s="175">
        <f>+VLOOKUP($B20,[3]Sheet1!$B$8:$CF$406,32,0)</f>
        <v>335</v>
      </c>
      <c r="AF20" s="175">
        <f>+VLOOKUP($B20,[3]Sheet1!$B$8:$CF$406,33,0)</f>
        <v>335</v>
      </c>
      <c r="AG20" s="175">
        <f>+VLOOKUP($B20,[3]Sheet1!$B$8:$CF$406,34,0)</f>
        <v>335</v>
      </c>
      <c r="AH20" s="175">
        <f>+VLOOKUP($B20,[3]Sheet1!$B$8:$CF$406,35,0)</f>
        <v>335</v>
      </c>
      <c r="AI20" s="175">
        <f>+VLOOKUP($B20,[3]Sheet1!$B$8:$CF$406,36,0)</f>
        <v>0</v>
      </c>
      <c r="AJ20" s="175">
        <f t="shared" si="16"/>
        <v>1340</v>
      </c>
      <c r="AK20" s="175">
        <f>'QTY '!Z20</f>
        <v>1340</v>
      </c>
      <c r="AL20" s="175">
        <f t="shared" si="17"/>
        <v>0</v>
      </c>
      <c r="AM20" s="178"/>
      <c r="AN20" s="175">
        <f t="shared" si="18"/>
        <v>335</v>
      </c>
      <c r="AO20" s="175">
        <f t="shared" si="19"/>
        <v>335</v>
      </c>
      <c r="AP20" s="175">
        <f t="shared" si="20"/>
        <v>335</v>
      </c>
      <c r="AQ20" s="175">
        <f t="shared" si="21"/>
        <v>335</v>
      </c>
      <c r="AR20" s="175"/>
      <c r="AS20" s="175">
        <f t="shared" si="22"/>
        <v>1340</v>
      </c>
      <c r="AT20" s="175">
        <f>'QTY '!AC20</f>
        <v>1340</v>
      </c>
      <c r="AU20" s="175">
        <f t="shared" si="23"/>
        <v>0</v>
      </c>
      <c r="AV20" s="178"/>
      <c r="AW20" s="180"/>
      <c r="AX20" s="180"/>
      <c r="AY20" s="180"/>
      <c r="AZ20" s="180"/>
      <c r="BA20" s="180"/>
    </row>
    <row r="21" spans="1:53" ht="18" customHeight="1">
      <c r="A21" s="237" t="str">
        <f>+'QTY '!B21</f>
        <v>BC111-V3881-1</v>
      </c>
      <c r="B21" s="237" t="str">
        <f>+'QTY '!E21</f>
        <v>BC111-V3881-1 B 0201</v>
      </c>
      <c r="C21" s="209" t="str">
        <f>'QTY '!F21</f>
        <v>BC 602W</v>
      </c>
      <c r="D21" s="175">
        <f>VLOOKUP($B21,[3]Sheet1!$B$8:$CF$451,14,0)</f>
        <v>960</v>
      </c>
      <c r="E21" s="175">
        <f>VLOOKUP($B21,[3]Sheet1!$B$8:$CF$451,15,0)</f>
        <v>960</v>
      </c>
      <c r="F21" s="175">
        <f>VLOOKUP($B21,[3]Sheet1!$B$8:$CF$451,16,0)</f>
        <v>1280</v>
      </c>
      <c r="G21" s="175">
        <f>VLOOKUP($B21,[3]Sheet1!$B$8:$CF$451,17,0)</f>
        <v>1280</v>
      </c>
      <c r="H21" s="175">
        <f>VLOOKUP($B21,[3]Sheet1!$B$8:$CF$451,18,0)</f>
        <v>0</v>
      </c>
      <c r="I21" s="175">
        <f t="shared" si="10"/>
        <v>4480</v>
      </c>
      <c r="J21" s="176">
        <f>'QTY '!Q21</f>
        <v>4480</v>
      </c>
      <c r="K21" s="176">
        <f t="shared" si="11"/>
        <v>0</v>
      </c>
      <c r="L21" s="177"/>
      <c r="M21" s="175">
        <f>VLOOKUP($B21,[3]Sheet1!$B$8:$CF$451,20,0)</f>
        <v>1520</v>
      </c>
      <c r="N21" s="175">
        <f>VLOOKUP($B21,[3]Sheet1!$B$8:$CF$451,21,0)</f>
        <v>960</v>
      </c>
      <c r="O21" s="175">
        <f>VLOOKUP($B21,[3]Sheet1!$B$8:$CF$451,22,0)</f>
        <v>0</v>
      </c>
      <c r="P21" s="175">
        <f>VLOOKUP($B21,[3]Sheet1!$B$8:$CF$451,23,0)</f>
        <v>1440</v>
      </c>
      <c r="Q21" s="175">
        <f>VLOOKUP($B21,[3]Sheet1!$B$8:$CF$451,24,0)</f>
        <v>0</v>
      </c>
      <c r="R21" s="175">
        <f t="shared" si="12"/>
        <v>3920</v>
      </c>
      <c r="S21" s="175">
        <f>'QTY '!T21</f>
        <v>3920</v>
      </c>
      <c r="T21" s="176">
        <f t="shared" si="13"/>
        <v>0</v>
      </c>
      <c r="U21" s="178"/>
      <c r="V21" s="175">
        <f>+VLOOKUP($B21,[3]Sheet1!$B$8:$CF$406,26,0)</f>
        <v>1120</v>
      </c>
      <c r="W21" s="175">
        <f>+VLOOKUP($B21,[3]Sheet1!$B$8:$CF$406,27,0)</f>
        <v>960</v>
      </c>
      <c r="X21" s="175">
        <f>+VLOOKUP($B21,[3]Sheet1!$B$8:$CF$406,28,0)</f>
        <v>1120</v>
      </c>
      <c r="Y21" s="175">
        <f>+VLOOKUP($B21,[3]Sheet1!$B$8:$CF$406,29,0)</f>
        <v>1040</v>
      </c>
      <c r="Z21" s="175">
        <f>+VLOOKUP($B21,[3]Sheet1!$B$8:$CF$406,30,0)</f>
        <v>0</v>
      </c>
      <c r="AA21" s="175">
        <f t="shared" si="14"/>
        <v>4240</v>
      </c>
      <c r="AB21" s="175">
        <f>'QTY '!W21</f>
        <v>4240</v>
      </c>
      <c r="AC21" s="175">
        <f t="shared" si="15"/>
        <v>0</v>
      </c>
      <c r="AD21" s="178"/>
      <c r="AE21" s="175">
        <f>+VLOOKUP($B21,[3]Sheet1!$B$8:$CF$406,32,0)</f>
        <v>1240</v>
      </c>
      <c r="AF21" s="175">
        <f>+VLOOKUP($B21,[3]Sheet1!$B$8:$CF$406,33,0)</f>
        <v>1240</v>
      </c>
      <c r="AG21" s="175">
        <f>+VLOOKUP($B21,[3]Sheet1!$B$8:$CF$406,34,0)</f>
        <v>1240</v>
      </c>
      <c r="AH21" s="175">
        <f>+VLOOKUP($B21,[3]Sheet1!$B$8:$CF$406,35,0)</f>
        <v>1240</v>
      </c>
      <c r="AI21" s="175">
        <f>+VLOOKUP($B21,[3]Sheet1!$B$8:$CF$406,36,0)</f>
        <v>0</v>
      </c>
      <c r="AJ21" s="175">
        <f t="shared" si="16"/>
        <v>4960</v>
      </c>
      <c r="AK21" s="175">
        <f>'QTY '!Z21</f>
        <v>4960</v>
      </c>
      <c r="AL21" s="175">
        <f t="shared" si="17"/>
        <v>0</v>
      </c>
      <c r="AM21" s="178"/>
      <c r="AN21" s="175">
        <f t="shared" si="18"/>
        <v>1240</v>
      </c>
      <c r="AO21" s="175">
        <f t="shared" si="19"/>
        <v>1240</v>
      </c>
      <c r="AP21" s="175">
        <f t="shared" si="20"/>
        <v>1240</v>
      </c>
      <c r="AQ21" s="175">
        <f t="shared" si="21"/>
        <v>1240</v>
      </c>
      <c r="AR21" s="175"/>
      <c r="AS21" s="175">
        <f t="shared" si="22"/>
        <v>4960</v>
      </c>
      <c r="AT21" s="175">
        <f>'QTY '!AC21</f>
        <v>4960</v>
      </c>
      <c r="AU21" s="175">
        <f t="shared" si="23"/>
        <v>0</v>
      </c>
      <c r="AV21" s="178"/>
      <c r="AW21" s="180"/>
      <c r="AX21" s="180"/>
      <c r="AY21" s="180"/>
      <c r="AZ21" s="180"/>
      <c r="BA21" s="180"/>
    </row>
    <row r="22" spans="1:53" ht="18" customHeight="1">
      <c r="A22" s="237" t="str">
        <f>+'QTY '!B22</f>
        <v>BC111-V3650-2</v>
      </c>
      <c r="B22" s="237" t="str">
        <f>+'QTY '!E22</f>
        <v>BC111-V3650-2 C 0201</v>
      </c>
      <c r="C22" s="209" t="str">
        <f>'QTY '!F22</f>
        <v>BC 602W</v>
      </c>
      <c r="D22" s="175">
        <f>VLOOKUP($B22,[3]Sheet1!$B$8:$CF$451,14,0)</f>
        <v>0</v>
      </c>
      <c r="E22" s="175">
        <f>VLOOKUP($B22,[3]Sheet1!$B$8:$CF$451,15,0)</f>
        <v>0</v>
      </c>
      <c r="F22" s="175">
        <f>VLOOKUP($B22,[3]Sheet1!$B$8:$CF$451,16,0)</f>
        <v>0</v>
      </c>
      <c r="G22" s="175">
        <f>VLOOKUP($B22,[3]Sheet1!$B$8:$CF$451,17,0)</f>
        <v>0</v>
      </c>
      <c r="H22" s="175">
        <f>VLOOKUP($B22,[3]Sheet1!$B$8:$CF$451,18,0)</f>
        <v>0</v>
      </c>
      <c r="I22" s="175">
        <f t="shared" si="10"/>
        <v>0</v>
      </c>
      <c r="J22" s="176">
        <f>'QTY '!Q22</f>
        <v>0</v>
      </c>
      <c r="K22" s="176">
        <f t="shared" si="11"/>
        <v>0</v>
      </c>
      <c r="L22" s="177"/>
      <c r="M22" s="175">
        <f>VLOOKUP($B22,[3]Sheet1!$B$8:$CF$451,20,0)</f>
        <v>0</v>
      </c>
      <c r="N22" s="175">
        <f>VLOOKUP($B22,[3]Sheet1!$B$8:$CF$451,21,0)</f>
        <v>0</v>
      </c>
      <c r="O22" s="175">
        <f>VLOOKUP($B22,[3]Sheet1!$B$8:$CF$451,22,0)</f>
        <v>0</v>
      </c>
      <c r="P22" s="175">
        <f>VLOOKUP($B22,[3]Sheet1!$B$8:$CF$451,23,0)</f>
        <v>0</v>
      </c>
      <c r="Q22" s="175">
        <f>VLOOKUP($B22,[3]Sheet1!$B$8:$CF$451,24,0)</f>
        <v>0</v>
      </c>
      <c r="R22" s="175">
        <f t="shared" si="12"/>
        <v>0</v>
      </c>
      <c r="S22" s="175">
        <f>'QTY '!T22</f>
        <v>0</v>
      </c>
      <c r="T22" s="176">
        <f t="shared" si="13"/>
        <v>0</v>
      </c>
      <c r="U22" s="178"/>
      <c r="V22" s="175">
        <f>+VLOOKUP($B22,[3]Sheet1!$B$8:$CF$406,26,0)</f>
        <v>0</v>
      </c>
      <c r="W22" s="175">
        <f>+VLOOKUP($B22,[3]Sheet1!$B$8:$CF$406,27,0)</f>
        <v>0</v>
      </c>
      <c r="X22" s="175">
        <f>+VLOOKUP($B22,[3]Sheet1!$B$8:$CF$406,28,0)</f>
        <v>0</v>
      </c>
      <c r="Y22" s="175">
        <f>+VLOOKUP($B22,[3]Sheet1!$B$8:$CF$406,29,0)</f>
        <v>0</v>
      </c>
      <c r="Z22" s="175">
        <f>+VLOOKUP($B22,[3]Sheet1!$B$8:$CF$406,30,0)</f>
        <v>0</v>
      </c>
      <c r="AA22" s="175">
        <f t="shared" si="14"/>
        <v>0</v>
      </c>
      <c r="AB22" s="175">
        <f>'QTY '!W22</f>
        <v>0</v>
      </c>
      <c r="AC22" s="175">
        <f t="shared" si="15"/>
        <v>0</v>
      </c>
      <c r="AD22" s="178"/>
      <c r="AE22" s="175">
        <f>+VLOOKUP($B22,[3]Sheet1!$B$8:$CF$406,32,0)</f>
        <v>30</v>
      </c>
      <c r="AF22" s="175">
        <f>+VLOOKUP($B22,[3]Sheet1!$B$8:$CF$406,33,0)</f>
        <v>30</v>
      </c>
      <c r="AG22" s="175">
        <f>+VLOOKUP($B22,[3]Sheet1!$B$8:$CF$406,34,0)</f>
        <v>30</v>
      </c>
      <c r="AH22" s="175">
        <f>+VLOOKUP($B22,[3]Sheet1!$B$8:$CF$406,35,0)</f>
        <v>30</v>
      </c>
      <c r="AI22" s="175">
        <f>+VLOOKUP($B22,[3]Sheet1!$B$8:$CF$406,36,0)</f>
        <v>0</v>
      </c>
      <c r="AJ22" s="175">
        <f t="shared" si="16"/>
        <v>120</v>
      </c>
      <c r="AK22" s="175">
        <f>'QTY '!Z22</f>
        <v>120</v>
      </c>
      <c r="AL22" s="175">
        <f t="shared" si="17"/>
        <v>0</v>
      </c>
      <c r="AM22" s="178"/>
      <c r="AN22" s="175">
        <f t="shared" si="18"/>
        <v>30</v>
      </c>
      <c r="AO22" s="175">
        <f t="shared" si="19"/>
        <v>30</v>
      </c>
      <c r="AP22" s="175">
        <f t="shared" si="20"/>
        <v>30</v>
      </c>
      <c r="AQ22" s="175">
        <f t="shared" si="21"/>
        <v>30</v>
      </c>
      <c r="AR22" s="175"/>
      <c r="AS22" s="175">
        <f t="shared" si="22"/>
        <v>120</v>
      </c>
      <c r="AT22" s="175">
        <f>'QTY '!AC22</f>
        <v>120</v>
      </c>
      <c r="AU22" s="175">
        <f t="shared" si="23"/>
        <v>0</v>
      </c>
      <c r="AV22" s="178"/>
      <c r="AW22" s="180"/>
      <c r="AX22" s="180"/>
      <c r="AY22" s="180"/>
      <c r="AZ22" s="180"/>
      <c r="BA22" s="180"/>
    </row>
    <row r="23" spans="1:53" ht="18" customHeight="1">
      <c r="A23" s="237" t="str">
        <f>+'QTY '!B23</f>
        <v>BC111-V3891-6</v>
      </c>
      <c r="B23" s="237" t="str">
        <f>+'QTY '!E23</f>
        <v>BC111-V3891-6 B 0201</v>
      </c>
      <c r="C23" s="209" t="str">
        <f>'QTY '!F23</f>
        <v>BC 602W</v>
      </c>
      <c r="D23" s="175">
        <f>VLOOKUP($B23,[3]Sheet1!$B$8:$CF$451,14,0)</f>
        <v>20</v>
      </c>
      <c r="E23" s="175">
        <f>VLOOKUP($B23,[3]Sheet1!$B$8:$CF$451,15,0)</f>
        <v>0</v>
      </c>
      <c r="F23" s="175">
        <f>VLOOKUP($B23,[3]Sheet1!$B$8:$CF$451,16,0)</f>
        <v>0</v>
      </c>
      <c r="G23" s="175">
        <f>VLOOKUP($B23,[3]Sheet1!$B$8:$CF$451,17,0)</f>
        <v>0</v>
      </c>
      <c r="H23" s="175">
        <f>VLOOKUP($B23,[3]Sheet1!$B$8:$CF$451,18,0)</f>
        <v>0</v>
      </c>
      <c r="I23" s="175">
        <f t="shared" si="10"/>
        <v>20</v>
      </c>
      <c r="J23" s="176">
        <f>'QTY '!Q23</f>
        <v>20</v>
      </c>
      <c r="K23" s="176">
        <f t="shared" si="11"/>
        <v>0</v>
      </c>
      <c r="L23" s="177"/>
      <c r="M23" s="175">
        <f>VLOOKUP($B23,[3]Sheet1!$B$8:$CF$451,20,0)</f>
        <v>0</v>
      </c>
      <c r="N23" s="175">
        <f>VLOOKUP($B23,[3]Sheet1!$B$8:$CF$451,21,0)</f>
        <v>0</v>
      </c>
      <c r="O23" s="175">
        <f>VLOOKUP($B23,[3]Sheet1!$B$8:$CF$451,22,0)</f>
        <v>0</v>
      </c>
      <c r="P23" s="175">
        <f>VLOOKUP($B23,[3]Sheet1!$B$8:$CF$451,23,0)</f>
        <v>0</v>
      </c>
      <c r="Q23" s="175">
        <f>VLOOKUP($B23,[3]Sheet1!$B$8:$CF$451,24,0)</f>
        <v>0</v>
      </c>
      <c r="R23" s="175">
        <f t="shared" si="12"/>
        <v>0</v>
      </c>
      <c r="S23" s="175">
        <f>'QTY '!T23</f>
        <v>0</v>
      </c>
      <c r="T23" s="176">
        <f t="shared" si="13"/>
        <v>0</v>
      </c>
      <c r="U23" s="178"/>
      <c r="V23" s="175">
        <f>+VLOOKUP($B23,[3]Sheet1!$B$8:$CF$406,26,0)</f>
        <v>0</v>
      </c>
      <c r="W23" s="175">
        <f>+VLOOKUP($B23,[3]Sheet1!$B$8:$CF$406,27,0)</f>
        <v>0</v>
      </c>
      <c r="X23" s="175">
        <f>+VLOOKUP($B23,[3]Sheet1!$B$8:$CF$406,28,0)</f>
        <v>0</v>
      </c>
      <c r="Y23" s="175">
        <f>+VLOOKUP($B23,[3]Sheet1!$B$8:$CF$406,29,0)</f>
        <v>0</v>
      </c>
      <c r="Z23" s="175">
        <f>+VLOOKUP($B23,[3]Sheet1!$B$8:$CF$406,30,0)</f>
        <v>0</v>
      </c>
      <c r="AA23" s="175">
        <f t="shared" si="14"/>
        <v>0</v>
      </c>
      <c r="AB23" s="175">
        <f>'QTY '!W23</f>
        <v>0</v>
      </c>
      <c r="AC23" s="175">
        <f t="shared" si="15"/>
        <v>0</v>
      </c>
      <c r="AD23" s="178"/>
      <c r="AE23" s="175">
        <f>+VLOOKUP($B23,[3]Sheet1!$B$8:$CF$406,32,0)</f>
        <v>0</v>
      </c>
      <c r="AF23" s="175">
        <f>+VLOOKUP($B23,[3]Sheet1!$B$8:$CF$406,33,0)</f>
        <v>0</v>
      </c>
      <c r="AG23" s="175">
        <f>+VLOOKUP($B23,[3]Sheet1!$B$8:$CF$406,34,0)</f>
        <v>0</v>
      </c>
      <c r="AH23" s="175">
        <f>+VLOOKUP($B23,[3]Sheet1!$B$8:$CF$406,35,0)</f>
        <v>0</v>
      </c>
      <c r="AI23" s="175">
        <f>+VLOOKUP($B23,[3]Sheet1!$B$8:$CF$406,36,0)</f>
        <v>0</v>
      </c>
      <c r="AJ23" s="175">
        <f t="shared" si="16"/>
        <v>0</v>
      </c>
      <c r="AK23" s="175">
        <f>'QTY '!Z23</f>
        <v>0</v>
      </c>
      <c r="AL23" s="175">
        <f t="shared" si="17"/>
        <v>0</v>
      </c>
      <c r="AM23" s="178"/>
      <c r="AN23" s="175">
        <f t="shared" si="18"/>
        <v>0</v>
      </c>
      <c r="AO23" s="175">
        <f t="shared" si="19"/>
        <v>0</v>
      </c>
      <c r="AP23" s="175">
        <f t="shared" si="20"/>
        <v>0</v>
      </c>
      <c r="AQ23" s="175">
        <f t="shared" si="21"/>
        <v>0</v>
      </c>
      <c r="AR23" s="175"/>
      <c r="AS23" s="175">
        <f t="shared" si="22"/>
        <v>0</v>
      </c>
      <c r="AT23" s="175">
        <f>'QTY '!AC23</f>
        <v>0</v>
      </c>
      <c r="AU23" s="175">
        <f t="shared" si="23"/>
        <v>0</v>
      </c>
      <c r="AV23" s="178"/>
      <c r="AW23" s="180"/>
      <c r="AX23" s="180"/>
      <c r="AY23" s="180"/>
      <c r="AZ23" s="180"/>
      <c r="BA23" s="180"/>
    </row>
    <row r="24" spans="1:53" ht="18" customHeight="1">
      <c r="A24" s="237" t="str">
        <f>+'QTY '!B24</f>
        <v>BC111-V3891-1</v>
      </c>
      <c r="B24" s="237" t="str">
        <f>+'QTY '!E24</f>
        <v>BC111-V3891-1 F 0001</v>
      </c>
      <c r="C24" s="209" t="str">
        <f>'QTY '!F24</f>
        <v>BC 602W</v>
      </c>
      <c r="D24" s="175">
        <f>VLOOKUP($B24,[3]Sheet1!$B$8:$CF$451,14,0)</f>
        <v>0</v>
      </c>
      <c r="E24" s="175">
        <f>VLOOKUP($B24,[3]Sheet1!$B$8:$CF$451,15,0)</f>
        <v>0</v>
      </c>
      <c r="F24" s="175">
        <f>VLOOKUP($B24,[3]Sheet1!$B$8:$CF$451,16,0)</f>
        <v>0</v>
      </c>
      <c r="G24" s="175">
        <f>VLOOKUP($B24,[3]Sheet1!$B$8:$CF$451,17,0)</f>
        <v>0</v>
      </c>
      <c r="H24" s="175">
        <f>VLOOKUP($B24,[3]Sheet1!$B$8:$CF$451,18,0)</f>
        <v>0</v>
      </c>
      <c r="I24" s="175">
        <f t="shared" si="10"/>
        <v>0</v>
      </c>
      <c r="J24" s="176">
        <f>'QTY '!Q24</f>
        <v>0</v>
      </c>
      <c r="K24" s="176">
        <f t="shared" si="11"/>
        <v>0</v>
      </c>
      <c r="L24" s="177"/>
      <c r="M24" s="175">
        <f>VLOOKUP($B24,[3]Sheet1!$B$8:$CF$451,20,0)</f>
        <v>0</v>
      </c>
      <c r="N24" s="175">
        <f>VLOOKUP($B24,[3]Sheet1!$B$8:$CF$451,21,0)</f>
        <v>0</v>
      </c>
      <c r="O24" s="175">
        <f>VLOOKUP($B24,[3]Sheet1!$B$8:$CF$451,22,0)</f>
        <v>0</v>
      </c>
      <c r="P24" s="175">
        <f>VLOOKUP($B24,[3]Sheet1!$B$8:$CF$451,23,0)</f>
        <v>0</v>
      </c>
      <c r="Q24" s="175">
        <f>VLOOKUP($B24,[3]Sheet1!$B$8:$CF$451,24,0)</f>
        <v>0</v>
      </c>
      <c r="R24" s="175">
        <f t="shared" si="12"/>
        <v>0</v>
      </c>
      <c r="S24" s="175">
        <f>'QTY '!T24</f>
        <v>0</v>
      </c>
      <c r="T24" s="176">
        <f t="shared" si="13"/>
        <v>0</v>
      </c>
      <c r="U24" s="178"/>
      <c r="V24" s="175">
        <f>+VLOOKUP($B24,[3]Sheet1!$B$8:$CF$406,26,0)</f>
        <v>0</v>
      </c>
      <c r="W24" s="175">
        <f>+VLOOKUP($B24,[3]Sheet1!$B$8:$CF$406,27,0)</f>
        <v>0</v>
      </c>
      <c r="X24" s="175">
        <f>+VLOOKUP($B24,[3]Sheet1!$B$8:$CF$406,28,0)</f>
        <v>0</v>
      </c>
      <c r="Y24" s="175">
        <f>+VLOOKUP($B24,[3]Sheet1!$B$8:$CF$406,29,0)</f>
        <v>0</v>
      </c>
      <c r="Z24" s="175">
        <f>+VLOOKUP($B24,[3]Sheet1!$B$8:$CF$406,30,0)</f>
        <v>0</v>
      </c>
      <c r="AA24" s="175">
        <f t="shared" si="14"/>
        <v>0</v>
      </c>
      <c r="AB24" s="175">
        <f>'QTY '!W24</f>
        <v>0</v>
      </c>
      <c r="AC24" s="175">
        <f t="shared" si="15"/>
        <v>0</v>
      </c>
      <c r="AD24" s="178"/>
      <c r="AE24" s="175">
        <f>+VLOOKUP($B24,[3]Sheet1!$B$8:$CF$406,32,0)</f>
        <v>0</v>
      </c>
      <c r="AF24" s="175">
        <f>+VLOOKUP($B24,[3]Sheet1!$B$8:$CF$406,33,0)</f>
        <v>0</v>
      </c>
      <c r="AG24" s="175">
        <f>+VLOOKUP($B24,[3]Sheet1!$B$8:$CF$406,34,0)</f>
        <v>0</v>
      </c>
      <c r="AH24" s="175">
        <f>+VLOOKUP($B24,[3]Sheet1!$B$8:$CF$406,35,0)</f>
        <v>0</v>
      </c>
      <c r="AI24" s="175">
        <f>+VLOOKUP($B24,[3]Sheet1!$B$8:$CF$406,36,0)</f>
        <v>0</v>
      </c>
      <c r="AJ24" s="175">
        <f t="shared" si="16"/>
        <v>0</v>
      </c>
      <c r="AK24" s="175">
        <f>'QTY '!Z24</f>
        <v>0</v>
      </c>
      <c r="AL24" s="175">
        <f t="shared" si="17"/>
        <v>0</v>
      </c>
      <c r="AM24" s="178"/>
      <c r="AN24" s="175">
        <f t="shared" si="18"/>
        <v>0</v>
      </c>
      <c r="AO24" s="175">
        <f t="shared" si="19"/>
        <v>0</v>
      </c>
      <c r="AP24" s="175">
        <f t="shared" si="20"/>
        <v>0</v>
      </c>
      <c r="AQ24" s="175">
        <f t="shared" si="21"/>
        <v>0</v>
      </c>
      <c r="AR24" s="175"/>
      <c r="AS24" s="175">
        <f t="shared" si="22"/>
        <v>0</v>
      </c>
      <c r="AT24" s="175">
        <f>'QTY '!AC24</f>
        <v>0</v>
      </c>
      <c r="AU24" s="175">
        <f t="shared" si="23"/>
        <v>0</v>
      </c>
      <c r="AV24" s="178"/>
      <c r="AW24" s="180"/>
      <c r="AX24" s="180"/>
      <c r="AY24" s="180"/>
      <c r="AZ24" s="180"/>
      <c r="BA24" s="180"/>
    </row>
    <row r="25" spans="1:53" ht="18" customHeight="1">
      <c r="A25" s="237" t="str">
        <f>+'QTY '!B25</f>
        <v>BC111-V3891-2</v>
      </c>
      <c r="B25" s="237" t="str">
        <f>+'QTY '!E25</f>
        <v>BC111-V3891-2 F 0001</v>
      </c>
      <c r="C25" s="209" t="str">
        <f>'QTY '!F25</f>
        <v>BC 602W</v>
      </c>
      <c r="D25" s="175">
        <f>VLOOKUP($B25,[3]Sheet1!$B$8:$CF$451,14,0)</f>
        <v>0</v>
      </c>
      <c r="E25" s="175">
        <f>VLOOKUP($B25,[3]Sheet1!$B$8:$CF$451,15,0)</f>
        <v>0</v>
      </c>
      <c r="F25" s="175">
        <f>VLOOKUP($B25,[3]Sheet1!$B$8:$CF$451,16,0)</f>
        <v>0</v>
      </c>
      <c r="G25" s="175">
        <f>VLOOKUP($B25,[3]Sheet1!$B$8:$CF$451,17,0)</f>
        <v>0</v>
      </c>
      <c r="H25" s="175">
        <f>VLOOKUP($B25,[3]Sheet1!$B$8:$CF$451,18,0)</f>
        <v>0</v>
      </c>
      <c r="I25" s="175">
        <f t="shared" si="10"/>
        <v>0</v>
      </c>
      <c r="J25" s="176">
        <f>'QTY '!Q25</f>
        <v>0</v>
      </c>
      <c r="K25" s="176">
        <f t="shared" si="11"/>
        <v>0</v>
      </c>
      <c r="L25" s="177"/>
      <c r="M25" s="175">
        <f>VLOOKUP($B25,[3]Sheet1!$B$8:$CF$451,20,0)</f>
        <v>0</v>
      </c>
      <c r="N25" s="175">
        <f>VLOOKUP($B25,[3]Sheet1!$B$8:$CF$451,21,0)</f>
        <v>0</v>
      </c>
      <c r="O25" s="175">
        <f>VLOOKUP($B25,[3]Sheet1!$B$8:$CF$451,22,0)</f>
        <v>0</v>
      </c>
      <c r="P25" s="175">
        <f>VLOOKUP($B25,[3]Sheet1!$B$8:$CF$451,23,0)</f>
        <v>0</v>
      </c>
      <c r="Q25" s="175">
        <f>VLOOKUP($B25,[3]Sheet1!$B$8:$CF$451,24,0)</f>
        <v>0</v>
      </c>
      <c r="R25" s="175">
        <f t="shared" si="12"/>
        <v>0</v>
      </c>
      <c r="S25" s="175">
        <f>'QTY '!T25</f>
        <v>0</v>
      </c>
      <c r="T25" s="176">
        <f t="shared" si="13"/>
        <v>0</v>
      </c>
      <c r="U25" s="178"/>
      <c r="V25" s="175">
        <f>+VLOOKUP($B25,[3]Sheet1!$B$8:$CF$406,26,0)</f>
        <v>0</v>
      </c>
      <c r="W25" s="175">
        <f>+VLOOKUP($B25,[3]Sheet1!$B$8:$CF$406,27,0)</f>
        <v>0</v>
      </c>
      <c r="X25" s="175">
        <f>+VLOOKUP($B25,[3]Sheet1!$B$8:$CF$406,28,0)</f>
        <v>0</v>
      </c>
      <c r="Y25" s="175">
        <f>+VLOOKUP($B25,[3]Sheet1!$B$8:$CF$406,29,0)</f>
        <v>0</v>
      </c>
      <c r="Z25" s="175">
        <f>+VLOOKUP($B25,[3]Sheet1!$B$8:$CF$406,30,0)</f>
        <v>0</v>
      </c>
      <c r="AA25" s="175">
        <f t="shared" si="14"/>
        <v>0</v>
      </c>
      <c r="AB25" s="175">
        <f>'QTY '!W25</f>
        <v>0</v>
      </c>
      <c r="AC25" s="175">
        <f t="shared" si="15"/>
        <v>0</v>
      </c>
      <c r="AD25" s="178"/>
      <c r="AE25" s="175">
        <f>+VLOOKUP($B25,[3]Sheet1!$B$8:$CF$406,32,0)</f>
        <v>0</v>
      </c>
      <c r="AF25" s="175">
        <f>+VLOOKUP($B25,[3]Sheet1!$B$8:$CF$406,33,0)</f>
        <v>0</v>
      </c>
      <c r="AG25" s="175">
        <f>+VLOOKUP($B25,[3]Sheet1!$B$8:$CF$406,34,0)</f>
        <v>0</v>
      </c>
      <c r="AH25" s="175">
        <f>+VLOOKUP($B25,[3]Sheet1!$B$8:$CF$406,35,0)</f>
        <v>0</v>
      </c>
      <c r="AI25" s="175">
        <f>+VLOOKUP($B25,[3]Sheet1!$B$8:$CF$406,36,0)</f>
        <v>0</v>
      </c>
      <c r="AJ25" s="175">
        <f t="shared" si="16"/>
        <v>0</v>
      </c>
      <c r="AK25" s="175">
        <f>'QTY '!Z25</f>
        <v>0</v>
      </c>
      <c r="AL25" s="175">
        <f t="shared" si="17"/>
        <v>0</v>
      </c>
      <c r="AM25" s="178"/>
      <c r="AN25" s="175">
        <f t="shared" si="18"/>
        <v>0</v>
      </c>
      <c r="AO25" s="175">
        <f t="shared" si="19"/>
        <v>0</v>
      </c>
      <c r="AP25" s="175">
        <f t="shared" si="20"/>
        <v>0</v>
      </c>
      <c r="AQ25" s="175">
        <f t="shared" si="21"/>
        <v>0</v>
      </c>
      <c r="AR25" s="175"/>
      <c r="AS25" s="175">
        <f t="shared" si="22"/>
        <v>0</v>
      </c>
      <c r="AT25" s="175">
        <f>'QTY '!AC25</f>
        <v>0</v>
      </c>
      <c r="AU25" s="175">
        <f t="shared" si="23"/>
        <v>0</v>
      </c>
      <c r="AV25" s="178"/>
      <c r="AW25" s="180"/>
      <c r="AX25" s="180"/>
      <c r="AY25" s="180"/>
      <c r="AZ25" s="180"/>
      <c r="BA25" s="180"/>
    </row>
    <row r="26" spans="1:53" ht="18" customHeight="1">
      <c r="A26" s="237" t="str">
        <f>+'QTY '!B26</f>
        <v>DC111-2FE72</v>
      </c>
      <c r="B26" s="237" t="str">
        <f>+'QTY '!E26</f>
        <v>DC111-2FE72 F 0201</v>
      </c>
      <c r="C26" s="209" t="str">
        <f>'QTY '!F26</f>
        <v>BC 602W</v>
      </c>
      <c r="D26" s="175">
        <f>VLOOKUP($B26,[3]Sheet1!$B$8:$CF$451,14,0)</f>
        <v>40</v>
      </c>
      <c r="E26" s="175">
        <f>VLOOKUP($B26,[3]Sheet1!$B$8:$CF$451,15,0)</f>
        <v>0</v>
      </c>
      <c r="F26" s="175">
        <f>VLOOKUP($B26,[3]Sheet1!$B$8:$CF$451,16,0)</f>
        <v>40</v>
      </c>
      <c r="G26" s="175">
        <f>VLOOKUP($B26,[3]Sheet1!$B$8:$CF$451,17,0)</f>
        <v>0</v>
      </c>
      <c r="H26" s="175">
        <f>VLOOKUP($B26,[3]Sheet1!$B$8:$CF$451,18,0)</f>
        <v>0</v>
      </c>
      <c r="I26" s="175">
        <f t="shared" si="10"/>
        <v>80</v>
      </c>
      <c r="J26" s="176">
        <f>'QTY '!Q26</f>
        <v>80</v>
      </c>
      <c r="K26" s="176">
        <f t="shared" si="11"/>
        <v>0</v>
      </c>
      <c r="L26" s="177"/>
      <c r="M26" s="175">
        <f>VLOOKUP($B26,[3]Sheet1!$B$8:$CF$451,20,0)</f>
        <v>40</v>
      </c>
      <c r="N26" s="175">
        <f>VLOOKUP($B26,[3]Sheet1!$B$8:$CF$451,21,0)</f>
        <v>0</v>
      </c>
      <c r="O26" s="175">
        <f>VLOOKUP($B26,[3]Sheet1!$B$8:$CF$451,22,0)</f>
        <v>0</v>
      </c>
      <c r="P26" s="175">
        <f>VLOOKUP($B26,[3]Sheet1!$B$8:$CF$451,23,0)</f>
        <v>40</v>
      </c>
      <c r="Q26" s="175">
        <f>VLOOKUP($B26,[3]Sheet1!$B$8:$CF$451,24,0)</f>
        <v>0</v>
      </c>
      <c r="R26" s="175">
        <f t="shared" si="12"/>
        <v>80</v>
      </c>
      <c r="S26" s="175">
        <f>'QTY '!T26</f>
        <v>80</v>
      </c>
      <c r="T26" s="176">
        <f t="shared" si="13"/>
        <v>0</v>
      </c>
      <c r="U26" s="178"/>
      <c r="V26" s="175">
        <f>+VLOOKUP($B26,[3]Sheet1!$B$8:$CF$406,26,0)</f>
        <v>40</v>
      </c>
      <c r="W26" s="175">
        <f>+VLOOKUP($B26,[3]Sheet1!$B$8:$CF$406,27,0)</f>
        <v>0</v>
      </c>
      <c r="X26" s="175">
        <f>+VLOOKUP($B26,[3]Sheet1!$B$8:$CF$406,28,0)</f>
        <v>40</v>
      </c>
      <c r="Y26" s="175">
        <f>+VLOOKUP($B26,[3]Sheet1!$B$8:$CF$406,29,0)</f>
        <v>0</v>
      </c>
      <c r="Z26" s="175">
        <f>+VLOOKUP($B26,[3]Sheet1!$B$8:$CF$406,30,0)</f>
        <v>0</v>
      </c>
      <c r="AA26" s="175">
        <f t="shared" si="14"/>
        <v>80</v>
      </c>
      <c r="AB26" s="175">
        <f>'QTY '!W26</f>
        <v>80</v>
      </c>
      <c r="AC26" s="175">
        <f t="shared" si="15"/>
        <v>0</v>
      </c>
      <c r="AD26" s="178"/>
      <c r="AE26" s="175">
        <f>+VLOOKUP($B26,[3]Sheet1!$B$8:$CF$406,32,0)</f>
        <v>30</v>
      </c>
      <c r="AF26" s="175">
        <f>+VLOOKUP($B26,[3]Sheet1!$B$8:$CF$406,33,0)</f>
        <v>30</v>
      </c>
      <c r="AG26" s="175">
        <f>+VLOOKUP($B26,[3]Sheet1!$B$8:$CF$406,34,0)</f>
        <v>30</v>
      </c>
      <c r="AH26" s="175">
        <f>+VLOOKUP($B26,[3]Sheet1!$B$8:$CF$406,35,0)</f>
        <v>30</v>
      </c>
      <c r="AI26" s="175">
        <f>+VLOOKUP($B26,[3]Sheet1!$B$8:$CF$406,36,0)</f>
        <v>0</v>
      </c>
      <c r="AJ26" s="175">
        <f t="shared" si="16"/>
        <v>120</v>
      </c>
      <c r="AK26" s="175">
        <f>'QTY '!Z26</f>
        <v>120</v>
      </c>
      <c r="AL26" s="175">
        <f t="shared" si="17"/>
        <v>0</v>
      </c>
      <c r="AM26" s="178"/>
      <c r="AN26" s="175">
        <f t="shared" si="18"/>
        <v>30</v>
      </c>
      <c r="AO26" s="175">
        <f t="shared" si="19"/>
        <v>30</v>
      </c>
      <c r="AP26" s="175">
        <f t="shared" si="20"/>
        <v>30</v>
      </c>
      <c r="AQ26" s="175">
        <f t="shared" si="21"/>
        <v>30</v>
      </c>
      <c r="AR26" s="175"/>
      <c r="AS26" s="175">
        <f t="shared" si="22"/>
        <v>120</v>
      </c>
      <c r="AT26" s="175">
        <f>'QTY '!AC26</f>
        <v>120</v>
      </c>
      <c r="AU26" s="175">
        <f t="shared" si="23"/>
        <v>0</v>
      </c>
      <c r="AV26" s="178"/>
      <c r="AW26" s="180"/>
      <c r="AX26" s="180"/>
      <c r="AY26" s="180"/>
      <c r="AZ26" s="180"/>
      <c r="BA26" s="180"/>
    </row>
    <row r="27" spans="1:53" ht="18" customHeight="1">
      <c r="A27" s="237" t="str">
        <f>+'QTY '!B27</f>
        <v>DC111-2FK53</v>
      </c>
      <c r="B27" s="237" t="str">
        <f>+'QTY '!E27</f>
        <v>DC111-2FK53 F 0201</v>
      </c>
      <c r="C27" s="209" t="str">
        <f>'QTY '!F27</f>
        <v>BC 602W</v>
      </c>
      <c r="D27" s="175">
        <f>VLOOKUP($B27,[3]Sheet1!$B$8:$CF$451,14,0)</f>
        <v>280</v>
      </c>
      <c r="E27" s="175">
        <f>VLOOKUP($B27,[3]Sheet1!$B$8:$CF$451,15,0)</f>
        <v>280</v>
      </c>
      <c r="F27" s="175">
        <f>VLOOKUP($B27,[3]Sheet1!$B$8:$CF$451,16,0)</f>
        <v>360</v>
      </c>
      <c r="G27" s="175">
        <f>VLOOKUP($B27,[3]Sheet1!$B$8:$CF$451,17,0)</f>
        <v>320</v>
      </c>
      <c r="H27" s="175">
        <f>VLOOKUP($B27,[3]Sheet1!$B$8:$CF$451,18,0)</f>
        <v>0</v>
      </c>
      <c r="I27" s="175">
        <f t="shared" si="10"/>
        <v>1240</v>
      </c>
      <c r="J27" s="176">
        <f>'QTY '!Q27</f>
        <v>1240</v>
      </c>
      <c r="K27" s="176">
        <f t="shared" si="11"/>
        <v>0</v>
      </c>
      <c r="L27" s="177"/>
      <c r="M27" s="175">
        <f>VLOOKUP($B27,[3]Sheet1!$B$8:$CF$451,20,0)</f>
        <v>400</v>
      </c>
      <c r="N27" s="175">
        <f>VLOOKUP($B27,[3]Sheet1!$B$8:$CF$451,21,0)</f>
        <v>240</v>
      </c>
      <c r="O27" s="175">
        <f>VLOOKUP($B27,[3]Sheet1!$B$8:$CF$451,22,0)</f>
        <v>0</v>
      </c>
      <c r="P27" s="175">
        <f>VLOOKUP($B27,[3]Sheet1!$B$8:$CF$451,23,0)</f>
        <v>400</v>
      </c>
      <c r="Q27" s="175">
        <f>VLOOKUP($B27,[3]Sheet1!$B$8:$CF$451,24,0)</f>
        <v>0</v>
      </c>
      <c r="R27" s="175">
        <f t="shared" si="12"/>
        <v>1040</v>
      </c>
      <c r="S27" s="175">
        <f>'QTY '!T27</f>
        <v>1040</v>
      </c>
      <c r="T27" s="176">
        <f t="shared" si="13"/>
        <v>0</v>
      </c>
      <c r="U27" s="178"/>
      <c r="V27" s="175">
        <f>+VLOOKUP($B27,[3]Sheet1!$B$8:$CF$406,26,0)</f>
        <v>280</v>
      </c>
      <c r="W27" s="175">
        <f>+VLOOKUP($B27,[3]Sheet1!$B$8:$CF$406,27,0)</f>
        <v>280</v>
      </c>
      <c r="X27" s="175">
        <f>+VLOOKUP($B27,[3]Sheet1!$B$8:$CF$406,28,0)</f>
        <v>280</v>
      </c>
      <c r="Y27" s="175">
        <f>+VLOOKUP($B27,[3]Sheet1!$B$8:$CF$406,29,0)</f>
        <v>240</v>
      </c>
      <c r="Z27" s="175">
        <f>+VLOOKUP($B27,[3]Sheet1!$B$8:$CF$406,30,0)</f>
        <v>0</v>
      </c>
      <c r="AA27" s="175">
        <f t="shared" si="14"/>
        <v>1080</v>
      </c>
      <c r="AB27" s="175">
        <f>'QTY '!W27</f>
        <v>1080</v>
      </c>
      <c r="AC27" s="175">
        <f t="shared" si="15"/>
        <v>0</v>
      </c>
      <c r="AD27" s="178"/>
      <c r="AE27" s="175">
        <f>+VLOOKUP($B27,[3]Sheet1!$B$8:$CF$406,32,0)</f>
        <v>310</v>
      </c>
      <c r="AF27" s="175">
        <f>+VLOOKUP($B27,[3]Sheet1!$B$8:$CF$406,33,0)</f>
        <v>310</v>
      </c>
      <c r="AG27" s="175">
        <f>+VLOOKUP($B27,[3]Sheet1!$B$8:$CF$406,34,0)</f>
        <v>310</v>
      </c>
      <c r="AH27" s="175">
        <f>+VLOOKUP($B27,[3]Sheet1!$B$8:$CF$406,35,0)</f>
        <v>310</v>
      </c>
      <c r="AI27" s="175">
        <f>+VLOOKUP($B27,[3]Sheet1!$B$8:$CF$406,36,0)</f>
        <v>0</v>
      </c>
      <c r="AJ27" s="175">
        <f t="shared" si="16"/>
        <v>1240</v>
      </c>
      <c r="AK27" s="175">
        <f>'QTY '!Z27</f>
        <v>1240</v>
      </c>
      <c r="AL27" s="175">
        <f t="shared" si="17"/>
        <v>0</v>
      </c>
      <c r="AM27" s="178"/>
      <c r="AN27" s="175">
        <f t="shared" si="18"/>
        <v>310</v>
      </c>
      <c r="AO27" s="175">
        <f t="shared" si="19"/>
        <v>310</v>
      </c>
      <c r="AP27" s="175">
        <f t="shared" si="20"/>
        <v>310</v>
      </c>
      <c r="AQ27" s="175">
        <f t="shared" si="21"/>
        <v>310</v>
      </c>
      <c r="AR27" s="175"/>
      <c r="AS27" s="175">
        <f t="shared" si="22"/>
        <v>1240</v>
      </c>
      <c r="AT27" s="175">
        <f>'QTY '!AC27</f>
        <v>1240</v>
      </c>
      <c r="AU27" s="175">
        <f t="shared" si="23"/>
        <v>0</v>
      </c>
      <c r="AV27" s="178"/>
      <c r="AW27" s="180"/>
      <c r="AX27" s="180"/>
      <c r="AY27" s="180"/>
      <c r="AZ27" s="180"/>
      <c r="BA27" s="180"/>
    </row>
    <row r="28" spans="1:53" ht="18" customHeight="1">
      <c r="A28" s="237" t="str">
        <f>+'QTY '!B28</f>
        <v>DC111-V3A41</v>
      </c>
      <c r="B28" s="237" t="str">
        <f>+'QTY '!E28</f>
        <v>DC111-V3A41 B 0201</v>
      </c>
      <c r="C28" s="209" t="str">
        <f>'QTY '!F28</f>
        <v>BC 602W</v>
      </c>
      <c r="D28" s="175">
        <f>VLOOKUP($B28,[3]Sheet1!$B$8:$CF$451,14,0)</f>
        <v>0</v>
      </c>
      <c r="E28" s="175">
        <f>VLOOKUP($B28,[3]Sheet1!$B$8:$CF$451,15,0)</f>
        <v>0</v>
      </c>
      <c r="F28" s="175">
        <f>VLOOKUP($B28,[3]Sheet1!$B$8:$CF$451,16,0)</f>
        <v>0</v>
      </c>
      <c r="G28" s="175">
        <f>VLOOKUP($B28,[3]Sheet1!$B$8:$CF$451,17,0)</f>
        <v>0</v>
      </c>
      <c r="H28" s="175">
        <f>VLOOKUP($B28,[3]Sheet1!$B$8:$CF$451,18,0)</f>
        <v>0</v>
      </c>
      <c r="I28" s="175">
        <f t="shared" si="10"/>
        <v>0</v>
      </c>
      <c r="J28" s="176">
        <f>'QTY '!Q28</f>
        <v>0</v>
      </c>
      <c r="K28" s="176">
        <f t="shared" si="11"/>
        <v>0</v>
      </c>
      <c r="L28" s="177"/>
      <c r="M28" s="175">
        <f>VLOOKUP($B28,[3]Sheet1!$B$8:$CF$451,20,0)</f>
        <v>0</v>
      </c>
      <c r="N28" s="175">
        <f>VLOOKUP($B28,[3]Sheet1!$B$8:$CF$451,21,0)</f>
        <v>0</v>
      </c>
      <c r="O28" s="175">
        <f>VLOOKUP($B28,[3]Sheet1!$B$8:$CF$451,22,0)</f>
        <v>0</v>
      </c>
      <c r="P28" s="175">
        <f>VLOOKUP($B28,[3]Sheet1!$B$8:$CF$451,23,0)</f>
        <v>0</v>
      </c>
      <c r="Q28" s="175">
        <f>VLOOKUP($B28,[3]Sheet1!$B$8:$CF$451,24,0)</f>
        <v>0</v>
      </c>
      <c r="R28" s="175">
        <f t="shared" si="12"/>
        <v>0</v>
      </c>
      <c r="S28" s="175">
        <f>'QTY '!T28</f>
        <v>0</v>
      </c>
      <c r="T28" s="176">
        <f t="shared" si="13"/>
        <v>0</v>
      </c>
      <c r="U28" s="178"/>
      <c r="V28" s="175">
        <f>+VLOOKUP($B28,[3]Sheet1!$B$8:$CF$406,26,0)</f>
        <v>0</v>
      </c>
      <c r="W28" s="175">
        <f>+VLOOKUP($B28,[3]Sheet1!$B$8:$CF$406,27,0)</f>
        <v>0</v>
      </c>
      <c r="X28" s="175">
        <f>+VLOOKUP($B28,[3]Sheet1!$B$8:$CF$406,28,0)</f>
        <v>0</v>
      </c>
      <c r="Y28" s="175">
        <f>+VLOOKUP($B28,[3]Sheet1!$B$8:$CF$406,29,0)</f>
        <v>0</v>
      </c>
      <c r="Z28" s="175">
        <f>+VLOOKUP($B28,[3]Sheet1!$B$8:$CF$406,30,0)</f>
        <v>0</v>
      </c>
      <c r="AA28" s="175">
        <f t="shared" si="14"/>
        <v>0</v>
      </c>
      <c r="AB28" s="175">
        <f>'QTY '!W28</f>
        <v>0</v>
      </c>
      <c r="AC28" s="175">
        <f t="shared" si="15"/>
        <v>0</v>
      </c>
      <c r="AD28" s="178"/>
      <c r="AE28" s="175">
        <f>+VLOOKUP($B28,[3]Sheet1!$B$8:$CF$406,32,0)</f>
        <v>0</v>
      </c>
      <c r="AF28" s="175">
        <f>+VLOOKUP($B28,[3]Sheet1!$B$8:$CF$406,33,0)</f>
        <v>0</v>
      </c>
      <c r="AG28" s="175">
        <f>+VLOOKUP($B28,[3]Sheet1!$B$8:$CF$406,34,0)</f>
        <v>0</v>
      </c>
      <c r="AH28" s="175">
        <f>+VLOOKUP($B28,[3]Sheet1!$B$8:$CF$406,35,0)</f>
        <v>0</v>
      </c>
      <c r="AI28" s="175">
        <f>+VLOOKUP($B28,[3]Sheet1!$B$8:$CF$406,36,0)</f>
        <v>0</v>
      </c>
      <c r="AJ28" s="175">
        <f t="shared" si="16"/>
        <v>0</v>
      </c>
      <c r="AK28" s="175">
        <f>'QTY '!Z28</f>
        <v>0</v>
      </c>
      <c r="AL28" s="175">
        <f t="shared" si="17"/>
        <v>0</v>
      </c>
      <c r="AM28" s="178"/>
      <c r="AN28" s="175">
        <f t="shared" si="18"/>
        <v>0</v>
      </c>
      <c r="AO28" s="175">
        <f t="shared" si="19"/>
        <v>0</v>
      </c>
      <c r="AP28" s="175">
        <f t="shared" si="20"/>
        <v>0</v>
      </c>
      <c r="AQ28" s="175">
        <f t="shared" si="21"/>
        <v>0</v>
      </c>
      <c r="AR28" s="175"/>
      <c r="AS28" s="175">
        <f t="shared" si="22"/>
        <v>0</v>
      </c>
      <c r="AT28" s="175">
        <f>'QTY '!AC28</f>
        <v>0</v>
      </c>
      <c r="AU28" s="175">
        <f t="shared" si="23"/>
        <v>0</v>
      </c>
      <c r="AV28" s="178"/>
      <c r="AW28" s="180"/>
      <c r="AX28" s="180"/>
      <c r="AY28" s="180"/>
      <c r="AZ28" s="180"/>
      <c r="BA28" s="180"/>
    </row>
    <row r="29" spans="1:53" ht="18" customHeight="1">
      <c r="A29" s="237" t="str">
        <f>+'QTY '!B29</f>
        <v>DC111-V3881</v>
      </c>
      <c r="B29" s="237" t="str">
        <f>+'QTY '!E29</f>
        <v>DC111-V3881 B 0201</v>
      </c>
      <c r="C29" s="209" t="str">
        <f>'QTY '!F29</f>
        <v>BC 602W</v>
      </c>
      <c r="D29" s="175">
        <f>VLOOKUP($B29,[3]Sheet1!$B$8:$CF$451,14,0)</f>
        <v>0</v>
      </c>
      <c r="E29" s="175">
        <f>VLOOKUP($B29,[3]Sheet1!$B$8:$CF$451,15,0)</f>
        <v>0</v>
      </c>
      <c r="F29" s="175">
        <f>VLOOKUP($B29,[3]Sheet1!$B$8:$CF$451,16,0)</f>
        <v>0</v>
      </c>
      <c r="G29" s="175">
        <f>VLOOKUP($B29,[3]Sheet1!$B$8:$CF$451,17,0)</f>
        <v>0</v>
      </c>
      <c r="H29" s="175">
        <f>VLOOKUP($B29,[3]Sheet1!$B$8:$CF$451,18,0)</f>
        <v>0</v>
      </c>
      <c r="I29" s="175">
        <f t="shared" si="10"/>
        <v>0</v>
      </c>
      <c r="J29" s="176">
        <f>'QTY '!Q29</f>
        <v>0</v>
      </c>
      <c r="K29" s="176">
        <f t="shared" si="11"/>
        <v>0</v>
      </c>
      <c r="L29" s="177"/>
      <c r="M29" s="175">
        <f>VLOOKUP($B29,[3]Sheet1!$B$8:$CF$451,20,0)</f>
        <v>0</v>
      </c>
      <c r="N29" s="175">
        <f>VLOOKUP($B29,[3]Sheet1!$B$8:$CF$451,21,0)</f>
        <v>0</v>
      </c>
      <c r="O29" s="175">
        <f>VLOOKUP($B29,[3]Sheet1!$B$8:$CF$451,22,0)</f>
        <v>0</v>
      </c>
      <c r="P29" s="175">
        <f>VLOOKUP($B29,[3]Sheet1!$B$8:$CF$451,23,0)</f>
        <v>0</v>
      </c>
      <c r="Q29" s="175">
        <f>VLOOKUP($B29,[3]Sheet1!$B$8:$CF$451,24,0)</f>
        <v>0</v>
      </c>
      <c r="R29" s="175">
        <f t="shared" si="12"/>
        <v>0</v>
      </c>
      <c r="S29" s="175">
        <f>'QTY '!T29</f>
        <v>0</v>
      </c>
      <c r="T29" s="176">
        <f t="shared" si="13"/>
        <v>0</v>
      </c>
      <c r="U29" s="178"/>
      <c r="V29" s="175">
        <f>+VLOOKUP($B29,[3]Sheet1!$B$8:$CF$406,26,0)</f>
        <v>0</v>
      </c>
      <c r="W29" s="175">
        <f>+VLOOKUP($B29,[3]Sheet1!$B$8:$CF$406,27,0)</f>
        <v>0</v>
      </c>
      <c r="X29" s="175">
        <f>+VLOOKUP($B29,[3]Sheet1!$B$8:$CF$406,28,0)</f>
        <v>0</v>
      </c>
      <c r="Y29" s="175">
        <f>+VLOOKUP($B29,[3]Sheet1!$B$8:$CF$406,29,0)</f>
        <v>0</v>
      </c>
      <c r="Z29" s="175">
        <f>+VLOOKUP($B29,[3]Sheet1!$B$8:$CF$406,30,0)</f>
        <v>0</v>
      </c>
      <c r="AA29" s="175">
        <f t="shared" si="14"/>
        <v>0</v>
      </c>
      <c r="AB29" s="175">
        <f>'QTY '!W29</f>
        <v>0</v>
      </c>
      <c r="AC29" s="175">
        <f t="shared" si="15"/>
        <v>0</v>
      </c>
      <c r="AD29" s="178"/>
      <c r="AE29" s="175">
        <f>+VLOOKUP($B29,[3]Sheet1!$B$8:$CF$406,32,0)</f>
        <v>0</v>
      </c>
      <c r="AF29" s="175">
        <f>+VLOOKUP($B29,[3]Sheet1!$B$8:$CF$406,33,0)</f>
        <v>0</v>
      </c>
      <c r="AG29" s="175">
        <f>+VLOOKUP($B29,[3]Sheet1!$B$8:$CF$406,34,0)</f>
        <v>0</v>
      </c>
      <c r="AH29" s="175">
        <f>+VLOOKUP($B29,[3]Sheet1!$B$8:$CF$406,35,0)</f>
        <v>0</v>
      </c>
      <c r="AI29" s="175">
        <f>+VLOOKUP($B29,[3]Sheet1!$B$8:$CF$406,36,0)</f>
        <v>0</v>
      </c>
      <c r="AJ29" s="175">
        <f t="shared" si="16"/>
        <v>0</v>
      </c>
      <c r="AK29" s="175">
        <f>'QTY '!Z29</f>
        <v>0</v>
      </c>
      <c r="AL29" s="175">
        <f t="shared" si="17"/>
        <v>0</v>
      </c>
      <c r="AM29" s="178"/>
      <c r="AN29" s="175">
        <f t="shared" si="18"/>
        <v>0</v>
      </c>
      <c r="AO29" s="175">
        <f t="shared" si="19"/>
        <v>0</v>
      </c>
      <c r="AP29" s="175">
        <f t="shared" si="20"/>
        <v>0</v>
      </c>
      <c r="AQ29" s="175">
        <f t="shared" si="21"/>
        <v>0</v>
      </c>
      <c r="AR29" s="175"/>
      <c r="AS29" s="175">
        <f t="shared" si="22"/>
        <v>0</v>
      </c>
      <c r="AT29" s="175">
        <f>'QTY '!AC29</f>
        <v>0</v>
      </c>
      <c r="AU29" s="175">
        <f t="shared" si="23"/>
        <v>0</v>
      </c>
      <c r="AV29" s="178"/>
      <c r="AW29" s="180"/>
      <c r="AX29" s="180"/>
      <c r="AY29" s="180"/>
      <c r="AZ29" s="180"/>
      <c r="BA29" s="180"/>
    </row>
    <row r="30" spans="1:53" ht="18" customHeight="1">
      <c r="A30" s="237" t="str">
        <f>+'QTY '!B30</f>
        <v>DC111-V3650</v>
      </c>
      <c r="B30" s="237" t="str">
        <f>+'QTY '!E30</f>
        <v>DC111-V3650 C 0201</v>
      </c>
      <c r="C30" s="209" t="str">
        <f>'QTY '!F30</f>
        <v>BC 602W</v>
      </c>
      <c r="D30" s="175">
        <f>VLOOKUP($B30,[3]Sheet1!$B$8:$CF$451,14,0)</f>
        <v>0</v>
      </c>
      <c r="E30" s="175">
        <f>VLOOKUP($B30,[3]Sheet1!$B$8:$CF$451,15,0)</f>
        <v>0</v>
      </c>
      <c r="F30" s="175">
        <f>VLOOKUP($B30,[3]Sheet1!$B$8:$CF$451,16,0)</f>
        <v>0</v>
      </c>
      <c r="G30" s="175">
        <f>VLOOKUP($B30,[3]Sheet1!$B$8:$CF$451,17,0)</f>
        <v>0</v>
      </c>
      <c r="H30" s="175">
        <f>VLOOKUP($B30,[3]Sheet1!$B$8:$CF$451,18,0)</f>
        <v>0</v>
      </c>
      <c r="I30" s="175">
        <f t="shared" si="10"/>
        <v>0</v>
      </c>
      <c r="J30" s="176">
        <f>'QTY '!Q30</f>
        <v>0</v>
      </c>
      <c r="K30" s="176">
        <f t="shared" si="11"/>
        <v>0</v>
      </c>
      <c r="L30" s="177"/>
      <c r="M30" s="175">
        <f>VLOOKUP($B30,[3]Sheet1!$B$8:$CF$451,20,0)</f>
        <v>0</v>
      </c>
      <c r="N30" s="175">
        <f>VLOOKUP($B30,[3]Sheet1!$B$8:$CF$451,21,0)</f>
        <v>0</v>
      </c>
      <c r="O30" s="175">
        <f>VLOOKUP($B30,[3]Sheet1!$B$8:$CF$451,22,0)</f>
        <v>0</v>
      </c>
      <c r="P30" s="175">
        <f>VLOOKUP($B30,[3]Sheet1!$B$8:$CF$451,23,0)</f>
        <v>0</v>
      </c>
      <c r="Q30" s="175">
        <f>VLOOKUP($B30,[3]Sheet1!$B$8:$CF$451,24,0)</f>
        <v>0</v>
      </c>
      <c r="R30" s="175">
        <f t="shared" si="12"/>
        <v>0</v>
      </c>
      <c r="S30" s="175">
        <f>'QTY '!T30</f>
        <v>0</v>
      </c>
      <c r="T30" s="176">
        <f t="shared" si="13"/>
        <v>0</v>
      </c>
      <c r="U30" s="178"/>
      <c r="V30" s="175">
        <f>+VLOOKUP($B30,[3]Sheet1!$B$8:$CF$406,26,0)</f>
        <v>0</v>
      </c>
      <c r="W30" s="175">
        <f>+VLOOKUP($B30,[3]Sheet1!$B$8:$CF$406,27,0)</f>
        <v>0</v>
      </c>
      <c r="X30" s="175">
        <f>+VLOOKUP($B30,[3]Sheet1!$B$8:$CF$406,28,0)</f>
        <v>0</v>
      </c>
      <c r="Y30" s="175">
        <f>+VLOOKUP($B30,[3]Sheet1!$B$8:$CF$406,29,0)</f>
        <v>0</v>
      </c>
      <c r="Z30" s="175">
        <f>+VLOOKUP($B30,[3]Sheet1!$B$8:$CF$406,30,0)</f>
        <v>0</v>
      </c>
      <c r="AA30" s="175">
        <f t="shared" si="14"/>
        <v>0</v>
      </c>
      <c r="AB30" s="175">
        <f>'QTY '!W30</f>
        <v>0</v>
      </c>
      <c r="AC30" s="175">
        <f t="shared" si="15"/>
        <v>0</v>
      </c>
      <c r="AD30" s="178"/>
      <c r="AE30" s="175">
        <f>+VLOOKUP($B30,[3]Sheet1!$B$8:$CF$406,32,0)</f>
        <v>10</v>
      </c>
      <c r="AF30" s="175">
        <f>+VLOOKUP($B30,[3]Sheet1!$B$8:$CF$406,33,0)</f>
        <v>10</v>
      </c>
      <c r="AG30" s="175">
        <f>+VLOOKUP($B30,[3]Sheet1!$B$8:$CF$406,34,0)</f>
        <v>10</v>
      </c>
      <c r="AH30" s="175">
        <f>+VLOOKUP($B30,[3]Sheet1!$B$8:$CF$406,35,0)</f>
        <v>10</v>
      </c>
      <c r="AI30" s="175">
        <f>+VLOOKUP($B30,[3]Sheet1!$B$8:$CF$406,36,0)</f>
        <v>0</v>
      </c>
      <c r="AJ30" s="175">
        <f t="shared" si="16"/>
        <v>40</v>
      </c>
      <c r="AK30" s="175">
        <f>'QTY '!Z30</f>
        <v>40</v>
      </c>
      <c r="AL30" s="175">
        <f t="shared" si="17"/>
        <v>0</v>
      </c>
      <c r="AM30" s="178"/>
      <c r="AN30" s="175">
        <f t="shared" si="18"/>
        <v>10</v>
      </c>
      <c r="AO30" s="175">
        <f t="shared" si="19"/>
        <v>10</v>
      </c>
      <c r="AP30" s="175">
        <f t="shared" si="20"/>
        <v>10</v>
      </c>
      <c r="AQ30" s="175">
        <f t="shared" si="21"/>
        <v>10</v>
      </c>
      <c r="AR30" s="175"/>
      <c r="AS30" s="175">
        <f t="shared" si="22"/>
        <v>40</v>
      </c>
      <c r="AT30" s="175">
        <f>'QTY '!AC30</f>
        <v>40</v>
      </c>
      <c r="AU30" s="175">
        <f t="shared" si="23"/>
        <v>0</v>
      </c>
      <c r="AV30" s="178"/>
      <c r="AW30" s="180"/>
      <c r="AX30" s="180"/>
      <c r="AY30" s="180"/>
      <c r="AZ30" s="180"/>
      <c r="BA30" s="180"/>
    </row>
    <row r="31" spans="1:53" ht="18" customHeight="1">
      <c r="A31" s="237" t="str">
        <f>+'QTY '!B31</f>
        <v>DC111-V3891</v>
      </c>
      <c r="B31" s="237" t="str">
        <f>+'QTY '!E31</f>
        <v>DC111-V3891 B 0201</v>
      </c>
      <c r="C31" s="209" t="str">
        <f>'QTY '!F31</f>
        <v>BC 602W</v>
      </c>
      <c r="D31" s="175">
        <f>VLOOKUP($B31,[3]Sheet1!$B$8:$CF$451,14,0)</f>
        <v>0</v>
      </c>
      <c r="E31" s="175">
        <f>VLOOKUP($B31,[3]Sheet1!$B$8:$CF$451,15,0)</f>
        <v>0</v>
      </c>
      <c r="F31" s="175">
        <f>VLOOKUP($B31,[3]Sheet1!$B$8:$CF$451,16,0)</f>
        <v>0</v>
      </c>
      <c r="G31" s="175">
        <f>VLOOKUP($B31,[3]Sheet1!$B$8:$CF$451,17,0)</f>
        <v>0</v>
      </c>
      <c r="H31" s="175">
        <f>VLOOKUP($B31,[3]Sheet1!$B$8:$CF$451,18,0)</f>
        <v>0</v>
      </c>
      <c r="I31" s="175">
        <f t="shared" si="10"/>
        <v>0</v>
      </c>
      <c r="J31" s="176">
        <f>'QTY '!Q31</f>
        <v>0</v>
      </c>
      <c r="K31" s="176">
        <f t="shared" si="11"/>
        <v>0</v>
      </c>
      <c r="L31" s="177"/>
      <c r="M31" s="175">
        <f>VLOOKUP($B31,[3]Sheet1!$B$8:$CF$451,20,0)</f>
        <v>0</v>
      </c>
      <c r="N31" s="175">
        <f>VLOOKUP($B31,[3]Sheet1!$B$8:$CF$451,21,0)</f>
        <v>0</v>
      </c>
      <c r="O31" s="175">
        <f>VLOOKUP($B31,[3]Sheet1!$B$8:$CF$451,22,0)</f>
        <v>0</v>
      </c>
      <c r="P31" s="175">
        <f>VLOOKUP($B31,[3]Sheet1!$B$8:$CF$451,23,0)</f>
        <v>0</v>
      </c>
      <c r="Q31" s="175">
        <f>VLOOKUP($B31,[3]Sheet1!$B$8:$CF$451,24,0)</f>
        <v>0</v>
      </c>
      <c r="R31" s="175">
        <f t="shared" si="12"/>
        <v>0</v>
      </c>
      <c r="S31" s="175">
        <f>'QTY '!T31</f>
        <v>0</v>
      </c>
      <c r="T31" s="176">
        <f t="shared" si="13"/>
        <v>0</v>
      </c>
      <c r="U31" s="178"/>
      <c r="V31" s="175">
        <f>+VLOOKUP($B31,[3]Sheet1!$B$8:$CF$406,26,0)</f>
        <v>0</v>
      </c>
      <c r="W31" s="175">
        <f>+VLOOKUP($B31,[3]Sheet1!$B$8:$CF$406,27,0)</f>
        <v>0</v>
      </c>
      <c r="X31" s="175">
        <f>+VLOOKUP($B31,[3]Sheet1!$B$8:$CF$406,28,0)</f>
        <v>0</v>
      </c>
      <c r="Y31" s="175">
        <f>+VLOOKUP($B31,[3]Sheet1!$B$8:$CF$406,29,0)</f>
        <v>0</v>
      </c>
      <c r="Z31" s="175">
        <f>+VLOOKUP($B31,[3]Sheet1!$B$8:$CF$406,30,0)</f>
        <v>0</v>
      </c>
      <c r="AA31" s="175">
        <f t="shared" si="14"/>
        <v>0</v>
      </c>
      <c r="AB31" s="175">
        <f>'QTY '!W31</f>
        <v>0</v>
      </c>
      <c r="AC31" s="175">
        <f t="shared" si="15"/>
        <v>0</v>
      </c>
      <c r="AD31" s="178"/>
      <c r="AE31" s="175">
        <f>+VLOOKUP($B31,[3]Sheet1!$B$8:$CF$406,32,0)</f>
        <v>0</v>
      </c>
      <c r="AF31" s="175">
        <f>+VLOOKUP($B31,[3]Sheet1!$B$8:$CF$406,33,0)</f>
        <v>0</v>
      </c>
      <c r="AG31" s="175">
        <f>+VLOOKUP($B31,[3]Sheet1!$B$8:$CF$406,34,0)</f>
        <v>0</v>
      </c>
      <c r="AH31" s="175">
        <f>+VLOOKUP($B31,[3]Sheet1!$B$8:$CF$406,35,0)</f>
        <v>0</v>
      </c>
      <c r="AI31" s="175">
        <f>+VLOOKUP($B31,[3]Sheet1!$B$8:$CF$406,36,0)</f>
        <v>0</v>
      </c>
      <c r="AJ31" s="175">
        <f t="shared" si="16"/>
        <v>0</v>
      </c>
      <c r="AK31" s="175">
        <f>'QTY '!Z31</f>
        <v>0</v>
      </c>
      <c r="AL31" s="175">
        <f t="shared" si="17"/>
        <v>0</v>
      </c>
      <c r="AM31" s="178"/>
      <c r="AN31" s="175">
        <f t="shared" si="18"/>
        <v>0</v>
      </c>
      <c r="AO31" s="175">
        <f t="shared" si="19"/>
        <v>0</v>
      </c>
      <c r="AP31" s="175">
        <f t="shared" si="20"/>
        <v>0</v>
      </c>
      <c r="AQ31" s="175">
        <f t="shared" si="21"/>
        <v>0</v>
      </c>
      <c r="AR31" s="175"/>
      <c r="AS31" s="175">
        <f t="shared" si="22"/>
        <v>0</v>
      </c>
      <c r="AT31" s="175">
        <f>'QTY '!AC31</f>
        <v>0</v>
      </c>
      <c r="AU31" s="175">
        <f t="shared" si="23"/>
        <v>0</v>
      </c>
      <c r="AV31" s="178"/>
      <c r="AW31" s="180"/>
      <c r="AX31" s="180"/>
      <c r="AY31" s="180"/>
      <c r="AZ31" s="180"/>
      <c r="BA31" s="180"/>
    </row>
    <row r="32" spans="1:53" ht="18" customHeight="1">
      <c r="A32" s="237" t="str">
        <f>+'QTY '!B32</f>
        <v>BC111-11730-3</v>
      </c>
      <c r="B32" s="237" t="str">
        <f>+'QTY '!E32</f>
        <v>BC111-11730-3 B 0001</v>
      </c>
      <c r="C32" s="209" t="str">
        <f>'QTY '!F32</f>
        <v>BC 819W</v>
      </c>
      <c r="D32" s="175">
        <f>VLOOKUP($B32,[3]Sheet1!$B$8:$CF$451,14,0)</f>
        <v>0</v>
      </c>
      <c r="E32" s="175">
        <f>VLOOKUP($B32,[3]Sheet1!$B$8:$CF$451,15,0)</f>
        <v>0</v>
      </c>
      <c r="F32" s="175">
        <f>VLOOKUP($B32,[3]Sheet1!$B$8:$CF$451,16,0)</f>
        <v>0</v>
      </c>
      <c r="G32" s="175">
        <f>VLOOKUP($B32,[3]Sheet1!$B$8:$CF$451,17,0)</f>
        <v>0</v>
      </c>
      <c r="H32" s="175">
        <f>VLOOKUP($B32,[3]Sheet1!$B$8:$CF$451,18,0)</f>
        <v>0</v>
      </c>
      <c r="I32" s="175">
        <f t="shared" si="10"/>
        <v>0</v>
      </c>
      <c r="J32" s="176">
        <f>'QTY '!Q32</f>
        <v>0</v>
      </c>
      <c r="K32" s="176">
        <f t="shared" si="11"/>
        <v>0</v>
      </c>
      <c r="L32" s="177"/>
      <c r="M32" s="175">
        <f>VLOOKUP($B32,[3]Sheet1!$B$8:$CF$451,20,0)</f>
        <v>0</v>
      </c>
      <c r="N32" s="175">
        <f>VLOOKUP($B32,[3]Sheet1!$B$8:$CF$451,21,0)</f>
        <v>0</v>
      </c>
      <c r="O32" s="175">
        <f>VLOOKUP($B32,[3]Sheet1!$B$8:$CF$451,22,0)</f>
        <v>0</v>
      </c>
      <c r="P32" s="175">
        <f>VLOOKUP($B32,[3]Sheet1!$B$8:$CF$451,23,0)</f>
        <v>0</v>
      </c>
      <c r="Q32" s="175">
        <f>VLOOKUP($B32,[3]Sheet1!$B$8:$CF$451,24,0)</f>
        <v>0</v>
      </c>
      <c r="R32" s="175">
        <f t="shared" si="12"/>
        <v>0</v>
      </c>
      <c r="S32" s="175">
        <f>'QTY '!T32</f>
        <v>0</v>
      </c>
      <c r="T32" s="176">
        <f t="shared" si="13"/>
        <v>0</v>
      </c>
      <c r="U32" s="178"/>
      <c r="V32" s="175">
        <f>+VLOOKUP($B32,[3]Sheet1!$B$8:$CF$406,26,0)</f>
        <v>0</v>
      </c>
      <c r="W32" s="175">
        <f>+VLOOKUP($B32,[3]Sheet1!$B$8:$CF$406,27,0)</f>
        <v>0</v>
      </c>
      <c r="X32" s="175">
        <f>+VLOOKUP($B32,[3]Sheet1!$B$8:$CF$406,28,0)</f>
        <v>0</v>
      </c>
      <c r="Y32" s="175">
        <f>+VLOOKUP($B32,[3]Sheet1!$B$8:$CF$406,29,0)</f>
        <v>0</v>
      </c>
      <c r="Z32" s="175">
        <f>+VLOOKUP($B32,[3]Sheet1!$B$8:$CF$406,30,0)</f>
        <v>0</v>
      </c>
      <c r="AA32" s="175">
        <f t="shared" si="14"/>
        <v>0</v>
      </c>
      <c r="AB32" s="175">
        <f>'QTY '!W32</f>
        <v>0</v>
      </c>
      <c r="AC32" s="175">
        <f t="shared" si="15"/>
        <v>0</v>
      </c>
      <c r="AD32" s="178"/>
      <c r="AE32" s="175">
        <f>+VLOOKUP($B32,[3]Sheet1!$B$8:$CF$406,32,0)</f>
        <v>0</v>
      </c>
      <c r="AF32" s="175">
        <f>+VLOOKUP($B32,[3]Sheet1!$B$8:$CF$406,33,0)</f>
        <v>0</v>
      </c>
      <c r="AG32" s="175">
        <f>+VLOOKUP($B32,[3]Sheet1!$B$8:$CF$406,34,0)</f>
        <v>0</v>
      </c>
      <c r="AH32" s="175">
        <f>+VLOOKUP($B32,[3]Sheet1!$B$8:$CF$406,35,0)</f>
        <v>0</v>
      </c>
      <c r="AI32" s="175">
        <f>+VLOOKUP($B32,[3]Sheet1!$B$8:$CF$406,36,0)</f>
        <v>0</v>
      </c>
      <c r="AJ32" s="175">
        <f t="shared" si="16"/>
        <v>0</v>
      </c>
      <c r="AK32" s="175">
        <f>'QTY '!Z32</f>
        <v>0</v>
      </c>
      <c r="AL32" s="175">
        <f t="shared" si="17"/>
        <v>0</v>
      </c>
      <c r="AM32" s="178"/>
      <c r="AN32" s="175">
        <f t="shared" si="18"/>
        <v>0</v>
      </c>
      <c r="AO32" s="175">
        <f t="shared" si="19"/>
        <v>0</v>
      </c>
      <c r="AP32" s="175">
        <f t="shared" si="20"/>
        <v>0</v>
      </c>
      <c r="AQ32" s="175">
        <f t="shared" si="21"/>
        <v>0</v>
      </c>
      <c r="AR32" s="175"/>
      <c r="AS32" s="175">
        <f t="shared" si="22"/>
        <v>0</v>
      </c>
      <c r="AT32" s="175">
        <f>'QTY '!AC32</f>
        <v>0</v>
      </c>
      <c r="AU32" s="175">
        <f t="shared" si="23"/>
        <v>0</v>
      </c>
      <c r="AV32" s="178"/>
      <c r="AW32" s="180"/>
      <c r="AX32" s="180"/>
      <c r="AY32" s="180"/>
      <c r="AZ32" s="180"/>
      <c r="BA32" s="180"/>
    </row>
    <row r="33" spans="1:53" ht="18" customHeight="1">
      <c r="A33" s="237" t="str">
        <f>+'QTY '!B33</f>
        <v>BC111-11810-3</v>
      </c>
      <c r="B33" s="237" t="str">
        <f>+'QTY '!E33</f>
        <v>BC111-11810-3 2001</v>
      </c>
      <c r="C33" s="209" t="str">
        <f>'QTY '!F33</f>
        <v>BC 819W</v>
      </c>
      <c r="D33" s="175">
        <f>VLOOKUP($B33,[3]Sheet1!$B$8:$CF$451,14,0)</f>
        <v>20</v>
      </c>
      <c r="E33" s="175">
        <f>VLOOKUP($B33,[3]Sheet1!$B$8:$CF$451,15,0)</f>
        <v>0</v>
      </c>
      <c r="F33" s="175">
        <f>VLOOKUP($B33,[3]Sheet1!$B$8:$CF$451,16,0)</f>
        <v>0</v>
      </c>
      <c r="G33" s="175">
        <f>VLOOKUP($B33,[3]Sheet1!$B$8:$CF$451,17,0)</f>
        <v>0</v>
      </c>
      <c r="H33" s="175">
        <f>VLOOKUP($B33,[3]Sheet1!$B$8:$CF$451,18,0)</f>
        <v>0</v>
      </c>
      <c r="I33" s="175">
        <f t="shared" si="10"/>
        <v>20</v>
      </c>
      <c r="J33" s="176">
        <f>'QTY '!Q33</f>
        <v>20</v>
      </c>
      <c r="K33" s="176">
        <f t="shared" si="11"/>
        <v>0</v>
      </c>
      <c r="L33" s="177"/>
      <c r="M33" s="175">
        <f>VLOOKUP($B33,[3]Sheet1!$B$8:$CF$451,20,0)</f>
        <v>0</v>
      </c>
      <c r="N33" s="175">
        <f>VLOOKUP($B33,[3]Sheet1!$B$8:$CF$451,21,0)</f>
        <v>0</v>
      </c>
      <c r="O33" s="175">
        <f>VLOOKUP($B33,[3]Sheet1!$B$8:$CF$451,22,0)</f>
        <v>0</v>
      </c>
      <c r="P33" s="175">
        <f>VLOOKUP($B33,[3]Sheet1!$B$8:$CF$451,23,0)</f>
        <v>0</v>
      </c>
      <c r="Q33" s="175">
        <f>VLOOKUP($B33,[3]Sheet1!$B$8:$CF$451,24,0)</f>
        <v>0</v>
      </c>
      <c r="R33" s="175">
        <f t="shared" si="12"/>
        <v>0</v>
      </c>
      <c r="S33" s="175">
        <f>'QTY '!T33</f>
        <v>0</v>
      </c>
      <c r="T33" s="176">
        <f t="shared" si="13"/>
        <v>0</v>
      </c>
      <c r="U33" s="178"/>
      <c r="V33" s="175">
        <f>+VLOOKUP($B33,[3]Sheet1!$B$8:$CF$406,26,0)</f>
        <v>0</v>
      </c>
      <c r="W33" s="175">
        <f>+VLOOKUP($B33,[3]Sheet1!$B$8:$CF$406,27,0)</f>
        <v>0</v>
      </c>
      <c r="X33" s="175">
        <f>+VLOOKUP($B33,[3]Sheet1!$B$8:$CF$406,28,0)</f>
        <v>0</v>
      </c>
      <c r="Y33" s="175">
        <f>+VLOOKUP($B33,[3]Sheet1!$B$8:$CF$406,29,0)</f>
        <v>0</v>
      </c>
      <c r="Z33" s="175">
        <f>+VLOOKUP($B33,[3]Sheet1!$B$8:$CF$406,30,0)</f>
        <v>0</v>
      </c>
      <c r="AA33" s="175">
        <f t="shared" si="14"/>
        <v>0</v>
      </c>
      <c r="AB33" s="175">
        <f>'QTY '!W33</f>
        <v>0</v>
      </c>
      <c r="AC33" s="175">
        <f t="shared" si="15"/>
        <v>0</v>
      </c>
      <c r="AD33" s="178"/>
      <c r="AE33" s="175">
        <f>+VLOOKUP($B33,[3]Sheet1!$B$8:$CF$406,32,0)</f>
        <v>0</v>
      </c>
      <c r="AF33" s="175">
        <f>+VLOOKUP($B33,[3]Sheet1!$B$8:$CF$406,33,0)</f>
        <v>0</v>
      </c>
      <c r="AG33" s="175">
        <f>+VLOOKUP($B33,[3]Sheet1!$B$8:$CF$406,34,0)</f>
        <v>0</v>
      </c>
      <c r="AH33" s="175">
        <f>+VLOOKUP($B33,[3]Sheet1!$B$8:$CF$406,35,0)</f>
        <v>0</v>
      </c>
      <c r="AI33" s="175">
        <f>+VLOOKUP($B33,[3]Sheet1!$B$8:$CF$406,36,0)</f>
        <v>0</v>
      </c>
      <c r="AJ33" s="175">
        <f t="shared" si="16"/>
        <v>0</v>
      </c>
      <c r="AK33" s="175">
        <f>'QTY '!Z33</f>
        <v>0</v>
      </c>
      <c r="AL33" s="175">
        <f t="shared" si="17"/>
        <v>0</v>
      </c>
      <c r="AM33" s="178"/>
      <c r="AN33" s="175">
        <f t="shared" si="18"/>
        <v>0</v>
      </c>
      <c r="AO33" s="175">
        <f t="shared" si="19"/>
        <v>0</v>
      </c>
      <c r="AP33" s="175">
        <f t="shared" si="20"/>
        <v>0</v>
      </c>
      <c r="AQ33" s="175">
        <f t="shared" si="21"/>
        <v>0</v>
      </c>
      <c r="AR33" s="175"/>
      <c r="AS33" s="175">
        <f t="shared" si="22"/>
        <v>0</v>
      </c>
      <c r="AT33" s="175">
        <f>'QTY '!AC33</f>
        <v>0</v>
      </c>
      <c r="AU33" s="175">
        <f t="shared" si="23"/>
        <v>0</v>
      </c>
      <c r="AV33" s="178"/>
      <c r="AW33" s="180"/>
      <c r="AX33" s="180"/>
      <c r="AY33" s="180"/>
      <c r="AZ33" s="180"/>
      <c r="BA33" s="180"/>
    </row>
    <row r="34" spans="1:53" ht="18" customHeight="1">
      <c r="A34" s="237" t="str">
        <f>+'QTY '!B34</f>
        <v>BC111-5A851-2</v>
      </c>
      <c r="B34" s="237" t="str">
        <f>+'QTY '!E34</f>
        <v>BC111-5A843-2 0001</v>
      </c>
      <c r="C34" s="209" t="str">
        <f>'QTY '!F34</f>
        <v>BC 819W</v>
      </c>
      <c r="D34" s="175">
        <f>VLOOKUP($B34,[3]Sheet1!$B$8:$CF$451,14,0)</f>
        <v>20</v>
      </c>
      <c r="E34" s="175">
        <f>VLOOKUP($B34,[3]Sheet1!$B$8:$CF$451,15,0)</f>
        <v>0</v>
      </c>
      <c r="F34" s="175">
        <f>VLOOKUP($B34,[3]Sheet1!$B$8:$CF$451,16,0)</f>
        <v>20</v>
      </c>
      <c r="G34" s="175">
        <f>VLOOKUP($B34,[3]Sheet1!$B$8:$CF$451,17,0)</f>
        <v>0</v>
      </c>
      <c r="H34" s="175">
        <f>VLOOKUP($B34,[3]Sheet1!$B$8:$CF$451,18,0)</f>
        <v>0</v>
      </c>
      <c r="I34" s="175">
        <f t="shared" si="10"/>
        <v>40</v>
      </c>
      <c r="J34" s="176">
        <f>'QTY '!Q34</f>
        <v>40</v>
      </c>
      <c r="K34" s="176">
        <f t="shared" si="11"/>
        <v>0</v>
      </c>
      <c r="L34" s="177"/>
      <c r="M34" s="175">
        <f>VLOOKUP($B34,[3]Sheet1!$B$8:$CF$451,20,0)</f>
        <v>0</v>
      </c>
      <c r="N34" s="175">
        <f>VLOOKUP($B34,[3]Sheet1!$B$8:$CF$451,21,0)</f>
        <v>0</v>
      </c>
      <c r="O34" s="175">
        <f>VLOOKUP($B34,[3]Sheet1!$B$8:$CF$451,22,0)</f>
        <v>0</v>
      </c>
      <c r="P34" s="175">
        <f>VLOOKUP($B34,[3]Sheet1!$B$8:$CF$451,23,0)</f>
        <v>0</v>
      </c>
      <c r="Q34" s="175">
        <f>VLOOKUP($B34,[3]Sheet1!$B$8:$CF$451,24,0)</f>
        <v>0</v>
      </c>
      <c r="R34" s="175">
        <f t="shared" si="12"/>
        <v>0</v>
      </c>
      <c r="S34" s="175">
        <f>'QTY '!T34</f>
        <v>0</v>
      </c>
      <c r="T34" s="176">
        <f t="shared" si="13"/>
        <v>0</v>
      </c>
      <c r="U34" s="178"/>
      <c r="V34" s="175">
        <f>+VLOOKUP($B34,[3]Sheet1!$B$8:$CF$406,26,0)</f>
        <v>0</v>
      </c>
      <c r="W34" s="175">
        <f>+VLOOKUP($B34,[3]Sheet1!$B$8:$CF$406,27,0)</f>
        <v>0</v>
      </c>
      <c r="X34" s="175">
        <f>+VLOOKUP($B34,[3]Sheet1!$B$8:$CF$406,28,0)</f>
        <v>0</v>
      </c>
      <c r="Y34" s="175">
        <f>+VLOOKUP($B34,[3]Sheet1!$B$8:$CF$406,29,0)</f>
        <v>0</v>
      </c>
      <c r="Z34" s="175">
        <f>+VLOOKUP($B34,[3]Sheet1!$B$8:$CF$406,30,0)</f>
        <v>0</v>
      </c>
      <c r="AA34" s="175">
        <f t="shared" si="14"/>
        <v>0</v>
      </c>
      <c r="AB34" s="175">
        <f>'QTY '!W34</f>
        <v>0</v>
      </c>
      <c r="AC34" s="175">
        <f t="shared" si="15"/>
        <v>0</v>
      </c>
      <c r="AD34" s="178"/>
      <c r="AE34" s="175">
        <f>+VLOOKUP($B34,[3]Sheet1!$B$8:$CF$406,32,0)</f>
        <v>0</v>
      </c>
      <c r="AF34" s="175">
        <f>+VLOOKUP($B34,[3]Sheet1!$B$8:$CF$406,33,0)</f>
        <v>0</v>
      </c>
      <c r="AG34" s="175">
        <f>+VLOOKUP($B34,[3]Sheet1!$B$8:$CF$406,34,0)</f>
        <v>0</v>
      </c>
      <c r="AH34" s="175">
        <f>+VLOOKUP($B34,[3]Sheet1!$B$8:$CF$406,35,0)</f>
        <v>0</v>
      </c>
      <c r="AI34" s="175">
        <f>+VLOOKUP($B34,[3]Sheet1!$B$8:$CF$406,36,0)</f>
        <v>0</v>
      </c>
      <c r="AJ34" s="175">
        <f t="shared" si="16"/>
        <v>0</v>
      </c>
      <c r="AK34" s="175">
        <f>'QTY '!Z34</f>
        <v>0</v>
      </c>
      <c r="AL34" s="175">
        <f t="shared" si="17"/>
        <v>0</v>
      </c>
      <c r="AM34" s="178"/>
      <c r="AN34" s="175">
        <f t="shared" si="18"/>
        <v>0</v>
      </c>
      <c r="AO34" s="175">
        <f t="shared" si="19"/>
        <v>0</v>
      </c>
      <c r="AP34" s="175">
        <f t="shared" si="20"/>
        <v>0</v>
      </c>
      <c r="AQ34" s="175">
        <f t="shared" si="21"/>
        <v>0</v>
      </c>
      <c r="AR34" s="175"/>
      <c r="AS34" s="175">
        <f t="shared" si="22"/>
        <v>0</v>
      </c>
      <c r="AT34" s="175">
        <f>'QTY '!AC34</f>
        <v>0</v>
      </c>
      <c r="AU34" s="175">
        <f t="shared" si="23"/>
        <v>0</v>
      </c>
      <c r="AV34" s="178"/>
      <c r="AW34" s="180"/>
      <c r="AX34" s="180"/>
      <c r="AY34" s="180"/>
      <c r="AZ34" s="180"/>
      <c r="BA34" s="180"/>
    </row>
    <row r="35" spans="1:53" ht="18" customHeight="1">
      <c r="A35" s="237" t="str">
        <f>+'QTY '!B35</f>
        <v>BC111-5A852-2</v>
      </c>
      <c r="B35" s="237" t="str">
        <f>+'QTY '!E35</f>
        <v>BC111-5A852-2 A 0002</v>
      </c>
      <c r="C35" s="209" t="str">
        <f>'QTY '!F35</f>
        <v>BC 819W</v>
      </c>
      <c r="D35" s="175">
        <f>VLOOKUP($B35,[3]Sheet1!$B$8:$CF$451,14,0)</f>
        <v>0</v>
      </c>
      <c r="E35" s="175">
        <f>VLOOKUP($B35,[3]Sheet1!$B$8:$CF$451,15,0)</f>
        <v>0</v>
      </c>
      <c r="F35" s="175">
        <f>VLOOKUP($B35,[3]Sheet1!$B$8:$CF$451,16,0)</f>
        <v>0</v>
      </c>
      <c r="G35" s="175">
        <f>VLOOKUP($B35,[3]Sheet1!$B$8:$CF$451,17,0)</f>
        <v>0</v>
      </c>
      <c r="H35" s="175">
        <f>VLOOKUP($B35,[3]Sheet1!$B$8:$CF$451,18,0)</f>
        <v>0</v>
      </c>
      <c r="I35" s="175">
        <f t="shared" si="10"/>
        <v>0</v>
      </c>
      <c r="J35" s="176">
        <f>'QTY '!Q35</f>
        <v>0</v>
      </c>
      <c r="K35" s="176">
        <f t="shared" si="11"/>
        <v>0</v>
      </c>
      <c r="L35" s="177"/>
      <c r="M35" s="175">
        <f>VLOOKUP($B35,[3]Sheet1!$B$8:$CF$451,20,0)</f>
        <v>0</v>
      </c>
      <c r="N35" s="175">
        <f>VLOOKUP($B35,[3]Sheet1!$B$8:$CF$451,21,0)</f>
        <v>0</v>
      </c>
      <c r="O35" s="175">
        <f>VLOOKUP($B35,[3]Sheet1!$B$8:$CF$451,22,0)</f>
        <v>0</v>
      </c>
      <c r="P35" s="175">
        <f>VLOOKUP($B35,[3]Sheet1!$B$8:$CF$451,23,0)</f>
        <v>0</v>
      </c>
      <c r="Q35" s="175">
        <f>VLOOKUP($B35,[3]Sheet1!$B$8:$CF$451,24,0)</f>
        <v>0</v>
      </c>
      <c r="R35" s="175">
        <f t="shared" si="12"/>
        <v>0</v>
      </c>
      <c r="S35" s="175">
        <f>'QTY '!T35</f>
        <v>0</v>
      </c>
      <c r="T35" s="176">
        <f t="shared" si="13"/>
        <v>0</v>
      </c>
      <c r="U35" s="178"/>
      <c r="V35" s="175">
        <f>+VLOOKUP($B35,[3]Sheet1!$B$8:$CF$406,26,0)</f>
        <v>0</v>
      </c>
      <c r="W35" s="175">
        <f>+VLOOKUP($B35,[3]Sheet1!$B$8:$CF$406,27,0)</f>
        <v>0</v>
      </c>
      <c r="X35" s="175">
        <f>+VLOOKUP($B35,[3]Sheet1!$B$8:$CF$406,28,0)</f>
        <v>0</v>
      </c>
      <c r="Y35" s="175">
        <f>+VLOOKUP($B35,[3]Sheet1!$B$8:$CF$406,29,0)</f>
        <v>0</v>
      </c>
      <c r="Z35" s="175">
        <f>+VLOOKUP($B35,[3]Sheet1!$B$8:$CF$406,30,0)</f>
        <v>0</v>
      </c>
      <c r="AA35" s="175">
        <f t="shared" si="14"/>
        <v>0</v>
      </c>
      <c r="AB35" s="175">
        <f>'QTY '!W35</f>
        <v>0</v>
      </c>
      <c r="AC35" s="175">
        <f t="shared" si="15"/>
        <v>0</v>
      </c>
      <c r="AD35" s="178"/>
      <c r="AE35" s="175">
        <f>+VLOOKUP($B35,[3]Sheet1!$B$8:$CF$406,32,0)</f>
        <v>0</v>
      </c>
      <c r="AF35" s="175">
        <f>+VLOOKUP($B35,[3]Sheet1!$B$8:$CF$406,33,0)</f>
        <v>0</v>
      </c>
      <c r="AG35" s="175">
        <f>+VLOOKUP($B35,[3]Sheet1!$B$8:$CF$406,34,0)</f>
        <v>0</v>
      </c>
      <c r="AH35" s="175">
        <f>+VLOOKUP($B35,[3]Sheet1!$B$8:$CF$406,35,0)</f>
        <v>0</v>
      </c>
      <c r="AI35" s="175">
        <f>+VLOOKUP($B35,[3]Sheet1!$B$8:$CF$406,36,0)</f>
        <v>0</v>
      </c>
      <c r="AJ35" s="175">
        <f t="shared" si="16"/>
        <v>0</v>
      </c>
      <c r="AK35" s="175">
        <f>'QTY '!Z35</f>
        <v>0</v>
      </c>
      <c r="AL35" s="175">
        <f t="shared" si="17"/>
        <v>0</v>
      </c>
      <c r="AM35" s="178"/>
      <c r="AN35" s="175">
        <f t="shared" si="18"/>
        <v>0</v>
      </c>
      <c r="AO35" s="175">
        <f t="shared" si="19"/>
        <v>0</v>
      </c>
      <c r="AP35" s="175">
        <f t="shared" si="20"/>
        <v>0</v>
      </c>
      <c r="AQ35" s="175">
        <f t="shared" si="21"/>
        <v>0</v>
      </c>
      <c r="AR35" s="175"/>
      <c r="AS35" s="175">
        <f t="shared" si="22"/>
        <v>0</v>
      </c>
      <c r="AT35" s="175">
        <f>'QTY '!AC35</f>
        <v>0</v>
      </c>
      <c r="AU35" s="175">
        <f t="shared" si="23"/>
        <v>0</v>
      </c>
      <c r="AV35" s="178"/>
      <c r="AW35" s="180"/>
      <c r="AX35" s="180"/>
      <c r="AY35" s="180"/>
      <c r="AZ35" s="180"/>
      <c r="BA35" s="180"/>
    </row>
    <row r="36" spans="1:53" ht="18" customHeight="1">
      <c r="A36" s="237" t="str">
        <f>+'QTY '!B36</f>
        <v>BC111-5AA01-2</v>
      </c>
      <c r="B36" s="237" t="str">
        <f>+'QTY '!E36</f>
        <v>BC111-5A883-2 0001</v>
      </c>
      <c r="C36" s="209" t="str">
        <f>'QTY '!F36</f>
        <v>BC 819W</v>
      </c>
      <c r="D36" s="175">
        <f>VLOOKUP($B36,[3]Sheet1!$B$8:$CF$451,14,0)</f>
        <v>20</v>
      </c>
      <c r="E36" s="175">
        <f>VLOOKUP($B36,[3]Sheet1!$B$8:$CF$451,15,0)</f>
        <v>0</v>
      </c>
      <c r="F36" s="175">
        <f>VLOOKUP($B36,[3]Sheet1!$B$8:$CF$451,16,0)</f>
        <v>20</v>
      </c>
      <c r="G36" s="175">
        <f>VLOOKUP($B36,[3]Sheet1!$B$8:$CF$451,17,0)</f>
        <v>0</v>
      </c>
      <c r="H36" s="175">
        <f>VLOOKUP($B36,[3]Sheet1!$B$8:$CF$451,18,0)</f>
        <v>0</v>
      </c>
      <c r="I36" s="175">
        <f t="shared" si="10"/>
        <v>40</v>
      </c>
      <c r="J36" s="176">
        <f>'QTY '!Q36</f>
        <v>40</v>
      </c>
      <c r="K36" s="176">
        <f t="shared" si="11"/>
        <v>0</v>
      </c>
      <c r="L36" s="177"/>
      <c r="M36" s="175">
        <f>VLOOKUP($B36,[3]Sheet1!$B$8:$CF$451,20,0)</f>
        <v>20</v>
      </c>
      <c r="N36" s="175">
        <f>VLOOKUP($B36,[3]Sheet1!$B$8:$CF$451,21,0)</f>
        <v>0</v>
      </c>
      <c r="O36" s="175">
        <f>VLOOKUP($B36,[3]Sheet1!$B$8:$CF$451,22,0)</f>
        <v>0</v>
      </c>
      <c r="P36" s="175">
        <f>VLOOKUP($B36,[3]Sheet1!$B$8:$CF$451,23,0)</f>
        <v>0</v>
      </c>
      <c r="Q36" s="175">
        <f>VLOOKUP($B36,[3]Sheet1!$B$8:$CF$451,24,0)</f>
        <v>0</v>
      </c>
      <c r="R36" s="175">
        <f t="shared" si="12"/>
        <v>20</v>
      </c>
      <c r="S36" s="175">
        <f>'QTY '!T36</f>
        <v>20</v>
      </c>
      <c r="T36" s="176">
        <f t="shared" si="13"/>
        <v>0</v>
      </c>
      <c r="U36" s="178"/>
      <c r="V36" s="175">
        <f>+VLOOKUP($B36,[3]Sheet1!$B$8:$CF$406,26,0)</f>
        <v>0</v>
      </c>
      <c r="W36" s="175">
        <f>+VLOOKUP($B36,[3]Sheet1!$B$8:$CF$406,27,0)</f>
        <v>0</v>
      </c>
      <c r="X36" s="175">
        <f>+VLOOKUP($B36,[3]Sheet1!$B$8:$CF$406,28,0)</f>
        <v>0</v>
      </c>
      <c r="Y36" s="175">
        <f>+VLOOKUP($B36,[3]Sheet1!$B$8:$CF$406,29,0)</f>
        <v>0</v>
      </c>
      <c r="Z36" s="175">
        <f>+VLOOKUP($B36,[3]Sheet1!$B$8:$CF$406,30,0)</f>
        <v>0</v>
      </c>
      <c r="AA36" s="175">
        <f t="shared" si="14"/>
        <v>0</v>
      </c>
      <c r="AB36" s="175">
        <f>'QTY '!W36</f>
        <v>0</v>
      </c>
      <c r="AC36" s="175">
        <f t="shared" si="15"/>
        <v>0</v>
      </c>
      <c r="AD36" s="178"/>
      <c r="AE36" s="175">
        <f>+VLOOKUP($B36,[3]Sheet1!$B$8:$CF$406,32,0)</f>
        <v>0</v>
      </c>
      <c r="AF36" s="175">
        <f>+VLOOKUP($B36,[3]Sheet1!$B$8:$CF$406,33,0)</f>
        <v>0</v>
      </c>
      <c r="AG36" s="175">
        <f>+VLOOKUP($B36,[3]Sheet1!$B$8:$CF$406,34,0)</f>
        <v>0</v>
      </c>
      <c r="AH36" s="175">
        <f>+VLOOKUP($B36,[3]Sheet1!$B$8:$CF$406,35,0)</f>
        <v>0</v>
      </c>
      <c r="AI36" s="175">
        <f>+VLOOKUP($B36,[3]Sheet1!$B$8:$CF$406,36,0)</f>
        <v>0</v>
      </c>
      <c r="AJ36" s="175">
        <f t="shared" si="16"/>
        <v>0</v>
      </c>
      <c r="AK36" s="175">
        <f>'QTY '!Z36</f>
        <v>0</v>
      </c>
      <c r="AL36" s="175">
        <f t="shared" si="17"/>
        <v>0</v>
      </c>
      <c r="AM36" s="178"/>
      <c r="AN36" s="175">
        <f t="shared" si="18"/>
        <v>0</v>
      </c>
      <c r="AO36" s="175">
        <f t="shared" si="19"/>
        <v>0</v>
      </c>
      <c r="AP36" s="175">
        <f t="shared" si="20"/>
        <v>0</v>
      </c>
      <c r="AQ36" s="175">
        <f t="shared" si="21"/>
        <v>0</v>
      </c>
      <c r="AR36" s="175"/>
      <c r="AS36" s="175">
        <f t="shared" si="22"/>
        <v>0</v>
      </c>
      <c r="AT36" s="175">
        <f>'QTY '!AC36</f>
        <v>0</v>
      </c>
      <c r="AU36" s="175">
        <f t="shared" si="23"/>
        <v>0</v>
      </c>
      <c r="AV36" s="178"/>
      <c r="AW36" s="180"/>
      <c r="AX36" s="180"/>
      <c r="AY36" s="180"/>
      <c r="AZ36" s="180"/>
      <c r="BA36" s="180"/>
    </row>
    <row r="37" spans="1:53" ht="18" customHeight="1">
      <c r="A37" s="237" t="str">
        <f>+'QTY '!B37</f>
        <v>BC111-5AE91-2</v>
      </c>
      <c r="B37" s="237" t="str">
        <f>+'QTY '!E37</f>
        <v>BC111-5AC33-2 0001</v>
      </c>
      <c r="C37" s="209" t="str">
        <f>'QTY '!F37</f>
        <v>BC 819W</v>
      </c>
      <c r="D37" s="175">
        <f>VLOOKUP($B37,[3]Sheet1!$B$8:$CF$451,14,0)</f>
        <v>20</v>
      </c>
      <c r="E37" s="175">
        <f>VLOOKUP($B37,[3]Sheet1!$B$8:$CF$451,15,0)</f>
        <v>0</v>
      </c>
      <c r="F37" s="175">
        <f>VLOOKUP($B37,[3]Sheet1!$B$8:$CF$451,16,0)</f>
        <v>0</v>
      </c>
      <c r="G37" s="175">
        <f>VLOOKUP($B37,[3]Sheet1!$B$8:$CF$451,17,0)</f>
        <v>0</v>
      </c>
      <c r="H37" s="175">
        <f>VLOOKUP($B37,[3]Sheet1!$B$8:$CF$451,18,0)</f>
        <v>0</v>
      </c>
      <c r="I37" s="175">
        <f t="shared" si="10"/>
        <v>20</v>
      </c>
      <c r="J37" s="176">
        <f>'QTY '!Q37</f>
        <v>20</v>
      </c>
      <c r="K37" s="176">
        <f t="shared" si="11"/>
        <v>0</v>
      </c>
      <c r="L37" s="177"/>
      <c r="M37" s="175">
        <f>VLOOKUP($B37,[3]Sheet1!$B$8:$CF$451,20,0)</f>
        <v>0</v>
      </c>
      <c r="N37" s="175">
        <f>VLOOKUP($B37,[3]Sheet1!$B$8:$CF$451,21,0)</f>
        <v>20</v>
      </c>
      <c r="O37" s="175">
        <f>VLOOKUP($B37,[3]Sheet1!$B$8:$CF$451,22,0)</f>
        <v>0</v>
      </c>
      <c r="P37" s="175">
        <f>VLOOKUP($B37,[3]Sheet1!$B$8:$CF$451,23,0)</f>
        <v>0</v>
      </c>
      <c r="Q37" s="175">
        <f>VLOOKUP($B37,[3]Sheet1!$B$8:$CF$451,24,0)</f>
        <v>0</v>
      </c>
      <c r="R37" s="175">
        <f t="shared" si="12"/>
        <v>20</v>
      </c>
      <c r="S37" s="175">
        <f>'QTY '!T37</f>
        <v>20</v>
      </c>
      <c r="T37" s="176">
        <f t="shared" si="13"/>
        <v>0</v>
      </c>
      <c r="U37" s="178"/>
      <c r="V37" s="175">
        <f>+VLOOKUP($B37,[3]Sheet1!$B$8:$CF$406,26,0)</f>
        <v>0</v>
      </c>
      <c r="W37" s="175">
        <f>+VLOOKUP($B37,[3]Sheet1!$B$8:$CF$406,27,0)</f>
        <v>0</v>
      </c>
      <c r="X37" s="175">
        <f>+VLOOKUP($B37,[3]Sheet1!$B$8:$CF$406,28,0)</f>
        <v>0</v>
      </c>
      <c r="Y37" s="175">
        <f>+VLOOKUP($B37,[3]Sheet1!$B$8:$CF$406,29,0)</f>
        <v>0</v>
      </c>
      <c r="Z37" s="175">
        <f>+VLOOKUP($B37,[3]Sheet1!$B$8:$CF$406,30,0)</f>
        <v>0</v>
      </c>
      <c r="AA37" s="175">
        <f t="shared" si="14"/>
        <v>0</v>
      </c>
      <c r="AB37" s="175">
        <f>'QTY '!W37</f>
        <v>0</v>
      </c>
      <c r="AC37" s="175">
        <f t="shared" si="15"/>
        <v>0</v>
      </c>
      <c r="AD37" s="178"/>
      <c r="AE37" s="175">
        <f>+VLOOKUP($B37,[3]Sheet1!$B$8:$CF$406,32,0)</f>
        <v>0</v>
      </c>
      <c r="AF37" s="175">
        <f>+VLOOKUP($B37,[3]Sheet1!$B$8:$CF$406,33,0)</f>
        <v>0</v>
      </c>
      <c r="AG37" s="175">
        <f>+VLOOKUP($B37,[3]Sheet1!$B$8:$CF$406,34,0)</f>
        <v>0</v>
      </c>
      <c r="AH37" s="175">
        <f>+VLOOKUP($B37,[3]Sheet1!$B$8:$CF$406,35,0)</f>
        <v>0</v>
      </c>
      <c r="AI37" s="175">
        <f>+VLOOKUP($B37,[3]Sheet1!$B$8:$CF$406,36,0)</f>
        <v>0</v>
      </c>
      <c r="AJ37" s="175">
        <f t="shared" si="16"/>
        <v>0</v>
      </c>
      <c r="AK37" s="175">
        <f>'QTY '!Z37</f>
        <v>0</v>
      </c>
      <c r="AL37" s="175">
        <f t="shared" si="17"/>
        <v>0</v>
      </c>
      <c r="AM37" s="178"/>
      <c r="AN37" s="175">
        <f t="shared" si="18"/>
        <v>0</v>
      </c>
      <c r="AO37" s="175">
        <f t="shared" si="19"/>
        <v>0</v>
      </c>
      <c r="AP37" s="175">
        <f t="shared" si="20"/>
        <v>0</v>
      </c>
      <c r="AQ37" s="175">
        <f t="shared" si="21"/>
        <v>0</v>
      </c>
      <c r="AR37" s="175"/>
      <c r="AS37" s="175">
        <f t="shared" si="22"/>
        <v>0</v>
      </c>
      <c r="AT37" s="175">
        <f>'QTY '!AC37</f>
        <v>0</v>
      </c>
      <c r="AU37" s="175">
        <f t="shared" si="23"/>
        <v>0</v>
      </c>
      <c r="AV37" s="178"/>
      <c r="AW37" s="180"/>
      <c r="AX37" s="180"/>
      <c r="AY37" s="180"/>
      <c r="AZ37" s="180"/>
      <c r="BA37" s="180"/>
    </row>
    <row r="38" spans="1:53" ht="18" customHeight="1">
      <c r="A38" s="237" t="str">
        <f>+'QTY '!B38</f>
        <v>BC111-5AA03-2</v>
      </c>
      <c r="B38" s="237" t="str">
        <f>+'QTY '!E38</f>
        <v>BC111-5AA03-2 0001</v>
      </c>
      <c r="C38" s="209" t="str">
        <f>'QTY '!F38</f>
        <v>BC 819W</v>
      </c>
      <c r="D38" s="175">
        <f>VLOOKUP($B38,[3]Sheet1!$B$8:$CF$451,14,0)</f>
        <v>20</v>
      </c>
      <c r="E38" s="175">
        <f>VLOOKUP($B38,[3]Sheet1!$B$8:$CF$451,15,0)</f>
        <v>0</v>
      </c>
      <c r="F38" s="175">
        <f>VLOOKUP($B38,[3]Sheet1!$B$8:$CF$451,16,0)</f>
        <v>20</v>
      </c>
      <c r="G38" s="175">
        <f>VLOOKUP($B38,[3]Sheet1!$B$8:$CF$451,17,0)</f>
        <v>0</v>
      </c>
      <c r="H38" s="175">
        <f>VLOOKUP($B38,[3]Sheet1!$B$8:$CF$451,18,0)</f>
        <v>0</v>
      </c>
      <c r="I38" s="175">
        <f t="shared" si="10"/>
        <v>40</v>
      </c>
      <c r="J38" s="176">
        <f>'QTY '!Q38</f>
        <v>40</v>
      </c>
      <c r="K38" s="176">
        <f t="shared" si="11"/>
        <v>0</v>
      </c>
      <c r="L38" s="177"/>
      <c r="M38" s="175">
        <f>VLOOKUP($B38,[3]Sheet1!$B$8:$CF$451,20,0)</f>
        <v>20</v>
      </c>
      <c r="N38" s="175">
        <f>VLOOKUP($B38,[3]Sheet1!$B$8:$CF$451,21,0)</f>
        <v>0</v>
      </c>
      <c r="O38" s="175">
        <f>VLOOKUP($B38,[3]Sheet1!$B$8:$CF$451,22,0)</f>
        <v>0</v>
      </c>
      <c r="P38" s="175">
        <f>VLOOKUP($B38,[3]Sheet1!$B$8:$CF$451,23,0)</f>
        <v>0</v>
      </c>
      <c r="Q38" s="175">
        <f>VLOOKUP($B38,[3]Sheet1!$B$8:$CF$451,24,0)</f>
        <v>0</v>
      </c>
      <c r="R38" s="175">
        <f t="shared" si="12"/>
        <v>20</v>
      </c>
      <c r="S38" s="175">
        <f>'QTY '!T38</f>
        <v>20</v>
      </c>
      <c r="T38" s="176">
        <f t="shared" si="13"/>
        <v>0</v>
      </c>
      <c r="U38" s="178"/>
      <c r="V38" s="175">
        <f>+VLOOKUP($B38,[3]Sheet1!$B$8:$CF$406,26,0)</f>
        <v>0</v>
      </c>
      <c r="W38" s="175">
        <f>+VLOOKUP($B38,[3]Sheet1!$B$8:$CF$406,27,0)</f>
        <v>0</v>
      </c>
      <c r="X38" s="175">
        <f>+VLOOKUP($B38,[3]Sheet1!$B$8:$CF$406,28,0)</f>
        <v>0</v>
      </c>
      <c r="Y38" s="175">
        <f>+VLOOKUP($B38,[3]Sheet1!$B$8:$CF$406,29,0)</f>
        <v>0</v>
      </c>
      <c r="Z38" s="175">
        <f>+VLOOKUP($B38,[3]Sheet1!$B$8:$CF$406,30,0)</f>
        <v>0</v>
      </c>
      <c r="AA38" s="175">
        <f t="shared" si="14"/>
        <v>0</v>
      </c>
      <c r="AB38" s="175">
        <f>'QTY '!W38</f>
        <v>0</v>
      </c>
      <c r="AC38" s="175">
        <f t="shared" si="15"/>
        <v>0</v>
      </c>
      <c r="AD38" s="178"/>
      <c r="AE38" s="175">
        <f>+VLOOKUP($B38,[3]Sheet1!$B$8:$CF$406,32,0)</f>
        <v>0</v>
      </c>
      <c r="AF38" s="175">
        <f>+VLOOKUP($B38,[3]Sheet1!$B$8:$CF$406,33,0)</f>
        <v>0</v>
      </c>
      <c r="AG38" s="175">
        <f>+VLOOKUP($B38,[3]Sheet1!$B$8:$CF$406,34,0)</f>
        <v>0</v>
      </c>
      <c r="AH38" s="175">
        <f>+VLOOKUP($B38,[3]Sheet1!$B$8:$CF$406,35,0)</f>
        <v>0</v>
      </c>
      <c r="AI38" s="175">
        <f>+VLOOKUP($B38,[3]Sheet1!$B$8:$CF$406,36,0)</f>
        <v>0</v>
      </c>
      <c r="AJ38" s="175">
        <f t="shared" si="16"/>
        <v>0</v>
      </c>
      <c r="AK38" s="175">
        <f>'QTY '!Z38</f>
        <v>0</v>
      </c>
      <c r="AL38" s="175">
        <f t="shared" si="17"/>
        <v>0</v>
      </c>
      <c r="AM38" s="178"/>
      <c r="AN38" s="175">
        <f t="shared" si="18"/>
        <v>0</v>
      </c>
      <c r="AO38" s="175">
        <f t="shared" si="19"/>
        <v>0</v>
      </c>
      <c r="AP38" s="175">
        <f t="shared" si="20"/>
        <v>0</v>
      </c>
      <c r="AQ38" s="175">
        <f t="shared" si="21"/>
        <v>0</v>
      </c>
      <c r="AR38" s="175"/>
      <c r="AS38" s="175">
        <f t="shared" si="22"/>
        <v>0</v>
      </c>
      <c r="AT38" s="175">
        <f>'QTY '!AC38</f>
        <v>0</v>
      </c>
      <c r="AU38" s="175">
        <f t="shared" si="23"/>
        <v>0</v>
      </c>
      <c r="AV38" s="178"/>
      <c r="AW38" s="180"/>
      <c r="AX38" s="180"/>
      <c r="AY38" s="180"/>
      <c r="AZ38" s="180"/>
      <c r="BA38" s="180"/>
    </row>
    <row r="39" spans="1:53" ht="18" customHeight="1">
      <c r="A39" s="237" t="str">
        <f>+'QTY '!B39</f>
        <v>BC111-5AA02-2</v>
      </c>
      <c r="B39" s="237" t="str">
        <f>+'QTY '!E39</f>
        <v>BC111-5AA02-2 A 0002</v>
      </c>
      <c r="C39" s="209" t="str">
        <f>'QTY '!F39</f>
        <v>BC 819W</v>
      </c>
      <c r="D39" s="175">
        <f>VLOOKUP($B39,[3]Sheet1!$B$8:$CF$451,14,0)</f>
        <v>0</v>
      </c>
      <c r="E39" s="175">
        <f>VLOOKUP($B39,[3]Sheet1!$B$8:$CF$451,15,0)</f>
        <v>0</v>
      </c>
      <c r="F39" s="175">
        <f>VLOOKUP($B39,[3]Sheet1!$B$8:$CF$451,16,0)</f>
        <v>0</v>
      </c>
      <c r="G39" s="175">
        <f>VLOOKUP($B39,[3]Sheet1!$B$8:$CF$451,17,0)</f>
        <v>0</v>
      </c>
      <c r="H39" s="175">
        <f>VLOOKUP($B39,[3]Sheet1!$B$8:$CF$451,18,0)</f>
        <v>0</v>
      </c>
      <c r="I39" s="175">
        <f t="shared" si="10"/>
        <v>0</v>
      </c>
      <c r="J39" s="176">
        <f>'QTY '!Q39</f>
        <v>0</v>
      </c>
      <c r="K39" s="176">
        <f t="shared" si="11"/>
        <v>0</v>
      </c>
      <c r="L39" s="177"/>
      <c r="M39" s="175">
        <f>VLOOKUP($B39,[3]Sheet1!$B$8:$CF$451,20,0)</f>
        <v>0</v>
      </c>
      <c r="N39" s="175">
        <f>VLOOKUP($B39,[3]Sheet1!$B$8:$CF$451,21,0)</f>
        <v>0</v>
      </c>
      <c r="O39" s="175">
        <f>VLOOKUP($B39,[3]Sheet1!$B$8:$CF$451,22,0)</f>
        <v>0</v>
      </c>
      <c r="P39" s="175">
        <f>VLOOKUP($B39,[3]Sheet1!$B$8:$CF$451,23,0)</f>
        <v>0</v>
      </c>
      <c r="Q39" s="175">
        <f>VLOOKUP($B39,[3]Sheet1!$B$8:$CF$451,24,0)</f>
        <v>0</v>
      </c>
      <c r="R39" s="175">
        <f t="shared" si="12"/>
        <v>0</v>
      </c>
      <c r="S39" s="175">
        <f>'QTY '!T39</f>
        <v>0</v>
      </c>
      <c r="T39" s="176">
        <f t="shared" si="13"/>
        <v>0</v>
      </c>
      <c r="U39" s="178"/>
      <c r="V39" s="175">
        <f>+VLOOKUP($B39,[3]Sheet1!$B$8:$CF$406,26,0)</f>
        <v>0</v>
      </c>
      <c r="W39" s="175">
        <f>+VLOOKUP($B39,[3]Sheet1!$B$8:$CF$406,27,0)</f>
        <v>0</v>
      </c>
      <c r="X39" s="175">
        <f>+VLOOKUP($B39,[3]Sheet1!$B$8:$CF$406,28,0)</f>
        <v>0</v>
      </c>
      <c r="Y39" s="175">
        <f>+VLOOKUP($B39,[3]Sheet1!$B$8:$CF$406,29,0)</f>
        <v>0</v>
      </c>
      <c r="Z39" s="175">
        <f>+VLOOKUP($B39,[3]Sheet1!$B$8:$CF$406,30,0)</f>
        <v>0</v>
      </c>
      <c r="AA39" s="175">
        <f t="shared" si="14"/>
        <v>0</v>
      </c>
      <c r="AB39" s="175">
        <f>'QTY '!W39</f>
        <v>0</v>
      </c>
      <c r="AC39" s="175">
        <f t="shared" si="15"/>
        <v>0</v>
      </c>
      <c r="AD39" s="178"/>
      <c r="AE39" s="175">
        <f>+VLOOKUP($B39,[3]Sheet1!$B$8:$CF$406,32,0)</f>
        <v>0</v>
      </c>
      <c r="AF39" s="175">
        <f>+VLOOKUP($B39,[3]Sheet1!$B$8:$CF$406,33,0)</f>
        <v>0</v>
      </c>
      <c r="AG39" s="175">
        <f>+VLOOKUP($B39,[3]Sheet1!$B$8:$CF$406,34,0)</f>
        <v>0</v>
      </c>
      <c r="AH39" s="175">
        <f>+VLOOKUP($B39,[3]Sheet1!$B$8:$CF$406,35,0)</f>
        <v>0</v>
      </c>
      <c r="AI39" s="175">
        <f>+VLOOKUP($B39,[3]Sheet1!$B$8:$CF$406,36,0)</f>
        <v>0</v>
      </c>
      <c r="AJ39" s="175">
        <f t="shared" si="16"/>
        <v>0</v>
      </c>
      <c r="AK39" s="175">
        <f>'QTY '!Z39</f>
        <v>0</v>
      </c>
      <c r="AL39" s="175">
        <f t="shared" si="17"/>
        <v>0</v>
      </c>
      <c r="AM39" s="178"/>
      <c r="AN39" s="175">
        <f t="shared" si="18"/>
        <v>0</v>
      </c>
      <c r="AO39" s="175">
        <f t="shared" si="19"/>
        <v>0</v>
      </c>
      <c r="AP39" s="175">
        <f t="shared" si="20"/>
        <v>0</v>
      </c>
      <c r="AQ39" s="175">
        <f t="shared" si="21"/>
        <v>0</v>
      </c>
      <c r="AR39" s="175"/>
      <c r="AS39" s="175">
        <f t="shared" si="22"/>
        <v>0</v>
      </c>
      <c r="AT39" s="175">
        <f>'QTY '!AC39</f>
        <v>0</v>
      </c>
      <c r="AU39" s="175">
        <f t="shared" si="23"/>
        <v>0</v>
      </c>
      <c r="AV39" s="178"/>
      <c r="AW39" s="180"/>
      <c r="AX39" s="180"/>
      <c r="AY39" s="180"/>
      <c r="AZ39" s="180"/>
      <c r="BA39" s="180"/>
    </row>
    <row r="40" spans="1:53" ht="18" customHeight="1">
      <c r="A40" s="237" t="str">
        <f>+'QTY '!B40</f>
        <v>BC111-5A841-2</v>
      </c>
      <c r="B40" s="237" t="str">
        <f>+'QTY '!E40</f>
        <v>BC111-5A841-2 A 0002</v>
      </c>
      <c r="C40" s="209" t="str">
        <f>'QTY '!F40</f>
        <v>BC 819W</v>
      </c>
      <c r="D40" s="175">
        <f>VLOOKUP($B40,[3]Sheet1!$B$8:$CF$451,14,0)</f>
        <v>0</v>
      </c>
      <c r="E40" s="175">
        <f>VLOOKUP($B40,[3]Sheet1!$B$8:$CF$451,15,0)</f>
        <v>0</v>
      </c>
      <c r="F40" s="175">
        <f>VLOOKUP($B40,[3]Sheet1!$B$8:$CF$451,16,0)</f>
        <v>0</v>
      </c>
      <c r="G40" s="175">
        <f>VLOOKUP($B40,[3]Sheet1!$B$8:$CF$451,17,0)</f>
        <v>0</v>
      </c>
      <c r="H40" s="175">
        <f>VLOOKUP($B40,[3]Sheet1!$B$8:$CF$451,18,0)</f>
        <v>0</v>
      </c>
      <c r="I40" s="175">
        <f t="shared" si="10"/>
        <v>0</v>
      </c>
      <c r="J40" s="176">
        <f>'QTY '!Q40</f>
        <v>0</v>
      </c>
      <c r="K40" s="176">
        <f t="shared" si="11"/>
        <v>0</v>
      </c>
      <c r="L40" s="177"/>
      <c r="M40" s="175">
        <f>VLOOKUP($B40,[3]Sheet1!$B$8:$CF$451,20,0)</f>
        <v>0</v>
      </c>
      <c r="N40" s="175">
        <f>VLOOKUP($B40,[3]Sheet1!$B$8:$CF$451,21,0)</f>
        <v>0</v>
      </c>
      <c r="O40" s="175">
        <f>VLOOKUP($B40,[3]Sheet1!$B$8:$CF$451,22,0)</f>
        <v>0</v>
      </c>
      <c r="P40" s="175">
        <f>VLOOKUP($B40,[3]Sheet1!$B$8:$CF$451,23,0)</f>
        <v>0</v>
      </c>
      <c r="Q40" s="175">
        <f>VLOOKUP($B40,[3]Sheet1!$B$8:$CF$451,24,0)</f>
        <v>0</v>
      </c>
      <c r="R40" s="175">
        <f t="shared" si="12"/>
        <v>0</v>
      </c>
      <c r="S40" s="175">
        <f>'QTY '!T40</f>
        <v>0</v>
      </c>
      <c r="T40" s="176">
        <f t="shared" si="13"/>
        <v>0</v>
      </c>
      <c r="U40" s="178"/>
      <c r="V40" s="175">
        <f>+VLOOKUP($B40,[3]Sheet1!$B$8:$CF$406,26,0)</f>
        <v>0</v>
      </c>
      <c r="W40" s="175">
        <f>+VLOOKUP($B40,[3]Sheet1!$B$8:$CF$406,27,0)</f>
        <v>0</v>
      </c>
      <c r="X40" s="175">
        <f>+VLOOKUP($B40,[3]Sheet1!$B$8:$CF$406,28,0)</f>
        <v>0</v>
      </c>
      <c r="Y40" s="175">
        <f>+VLOOKUP($B40,[3]Sheet1!$B$8:$CF$406,29,0)</f>
        <v>0</v>
      </c>
      <c r="Z40" s="175">
        <f>+VLOOKUP($B40,[3]Sheet1!$B$8:$CF$406,30,0)</f>
        <v>0</v>
      </c>
      <c r="AA40" s="175">
        <f t="shared" si="14"/>
        <v>0</v>
      </c>
      <c r="AB40" s="175">
        <f>'QTY '!W40</f>
        <v>0</v>
      </c>
      <c r="AC40" s="175">
        <f t="shared" si="15"/>
        <v>0</v>
      </c>
      <c r="AD40" s="178"/>
      <c r="AE40" s="175">
        <f>+VLOOKUP($B40,[3]Sheet1!$B$8:$CF$406,32,0)</f>
        <v>0</v>
      </c>
      <c r="AF40" s="175">
        <f>+VLOOKUP($B40,[3]Sheet1!$B$8:$CF$406,33,0)</f>
        <v>0</v>
      </c>
      <c r="AG40" s="175">
        <f>+VLOOKUP($B40,[3]Sheet1!$B$8:$CF$406,34,0)</f>
        <v>0</v>
      </c>
      <c r="AH40" s="175">
        <f>+VLOOKUP($B40,[3]Sheet1!$B$8:$CF$406,35,0)</f>
        <v>0</v>
      </c>
      <c r="AI40" s="175">
        <f>+VLOOKUP($B40,[3]Sheet1!$B$8:$CF$406,36,0)</f>
        <v>0</v>
      </c>
      <c r="AJ40" s="175">
        <f t="shared" si="16"/>
        <v>0</v>
      </c>
      <c r="AK40" s="175">
        <f>'QTY '!Z40</f>
        <v>0</v>
      </c>
      <c r="AL40" s="175">
        <f t="shared" si="17"/>
        <v>0</v>
      </c>
      <c r="AM40" s="178"/>
      <c r="AN40" s="175">
        <f t="shared" si="18"/>
        <v>0</v>
      </c>
      <c r="AO40" s="175">
        <f t="shared" si="19"/>
        <v>0</v>
      </c>
      <c r="AP40" s="175">
        <f t="shared" si="20"/>
        <v>0</v>
      </c>
      <c r="AQ40" s="175">
        <f t="shared" si="21"/>
        <v>0</v>
      </c>
      <c r="AR40" s="175"/>
      <c r="AS40" s="175">
        <f t="shared" si="22"/>
        <v>0</v>
      </c>
      <c r="AT40" s="175">
        <f>'QTY '!AC40</f>
        <v>0</v>
      </c>
      <c r="AU40" s="175">
        <f t="shared" si="23"/>
        <v>0</v>
      </c>
      <c r="AV40" s="178"/>
      <c r="AW40" s="180"/>
      <c r="AX40" s="180"/>
      <c r="AY40" s="180"/>
      <c r="AZ40" s="180"/>
      <c r="BA40" s="180"/>
    </row>
    <row r="41" spans="1:53" ht="18" customHeight="1">
      <c r="A41" s="237" t="str">
        <f>+'QTY '!B41</f>
        <v>BC111-5A881-2</v>
      </c>
      <c r="B41" s="237" t="str">
        <f>+'QTY '!E41</f>
        <v>BC111-5A881-2 A 0002</v>
      </c>
      <c r="C41" s="209" t="str">
        <f>'QTY '!F41</f>
        <v>BC 819W</v>
      </c>
      <c r="D41" s="175">
        <f>VLOOKUP($B41,[3]Sheet1!$B$8:$CF$451,14,0)</f>
        <v>0</v>
      </c>
      <c r="E41" s="175">
        <f>VLOOKUP($B41,[3]Sheet1!$B$8:$CF$451,15,0)</f>
        <v>0</v>
      </c>
      <c r="F41" s="175">
        <f>VLOOKUP($B41,[3]Sheet1!$B$8:$CF$451,16,0)</f>
        <v>0</v>
      </c>
      <c r="G41" s="175">
        <f>VLOOKUP($B41,[3]Sheet1!$B$8:$CF$451,17,0)</f>
        <v>0</v>
      </c>
      <c r="H41" s="175">
        <f>VLOOKUP($B41,[3]Sheet1!$B$8:$CF$451,18,0)</f>
        <v>0</v>
      </c>
      <c r="I41" s="175">
        <f t="shared" si="10"/>
        <v>0</v>
      </c>
      <c r="J41" s="176">
        <f>'QTY '!Q41</f>
        <v>0</v>
      </c>
      <c r="K41" s="176">
        <f t="shared" si="11"/>
        <v>0</v>
      </c>
      <c r="L41" s="177"/>
      <c r="M41" s="175">
        <f>VLOOKUP($B41,[3]Sheet1!$B$8:$CF$451,20,0)</f>
        <v>0</v>
      </c>
      <c r="N41" s="175">
        <f>VLOOKUP($B41,[3]Sheet1!$B$8:$CF$451,21,0)</f>
        <v>0</v>
      </c>
      <c r="O41" s="175">
        <f>VLOOKUP($B41,[3]Sheet1!$B$8:$CF$451,22,0)</f>
        <v>0</v>
      </c>
      <c r="P41" s="175">
        <f>VLOOKUP($B41,[3]Sheet1!$B$8:$CF$451,23,0)</f>
        <v>0</v>
      </c>
      <c r="Q41" s="175">
        <f>VLOOKUP($B41,[3]Sheet1!$B$8:$CF$451,24,0)</f>
        <v>0</v>
      </c>
      <c r="R41" s="175">
        <f t="shared" si="12"/>
        <v>0</v>
      </c>
      <c r="S41" s="175">
        <f>'QTY '!T41</f>
        <v>0</v>
      </c>
      <c r="T41" s="176">
        <f t="shared" si="13"/>
        <v>0</v>
      </c>
      <c r="U41" s="178"/>
      <c r="V41" s="175">
        <f>+VLOOKUP($B41,[3]Sheet1!$B$8:$CF$406,26,0)</f>
        <v>0</v>
      </c>
      <c r="W41" s="175">
        <f>+VLOOKUP($B41,[3]Sheet1!$B$8:$CF$406,27,0)</f>
        <v>0</v>
      </c>
      <c r="X41" s="175">
        <f>+VLOOKUP($B41,[3]Sheet1!$B$8:$CF$406,28,0)</f>
        <v>0</v>
      </c>
      <c r="Y41" s="175">
        <f>+VLOOKUP($B41,[3]Sheet1!$B$8:$CF$406,29,0)</f>
        <v>0</v>
      </c>
      <c r="Z41" s="175">
        <f>+VLOOKUP($B41,[3]Sheet1!$B$8:$CF$406,30,0)</f>
        <v>0</v>
      </c>
      <c r="AA41" s="175">
        <f t="shared" si="14"/>
        <v>0</v>
      </c>
      <c r="AB41" s="175">
        <f>'QTY '!W41</f>
        <v>0</v>
      </c>
      <c r="AC41" s="175">
        <f t="shared" si="15"/>
        <v>0</v>
      </c>
      <c r="AD41" s="178"/>
      <c r="AE41" s="175">
        <f>+VLOOKUP($B41,[3]Sheet1!$B$8:$CF$406,32,0)</f>
        <v>0</v>
      </c>
      <c r="AF41" s="175">
        <f>+VLOOKUP($B41,[3]Sheet1!$B$8:$CF$406,33,0)</f>
        <v>0</v>
      </c>
      <c r="AG41" s="175">
        <f>+VLOOKUP($B41,[3]Sheet1!$B$8:$CF$406,34,0)</f>
        <v>0</v>
      </c>
      <c r="AH41" s="175">
        <f>+VLOOKUP($B41,[3]Sheet1!$B$8:$CF$406,35,0)</f>
        <v>0</v>
      </c>
      <c r="AI41" s="175">
        <f>+VLOOKUP($B41,[3]Sheet1!$B$8:$CF$406,36,0)</f>
        <v>0</v>
      </c>
      <c r="AJ41" s="175">
        <f t="shared" si="16"/>
        <v>0</v>
      </c>
      <c r="AK41" s="175">
        <f>'QTY '!Z41</f>
        <v>0</v>
      </c>
      <c r="AL41" s="175">
        <f t="shared" si="17"/>
        <v>0</v>
      </c>
      <c r="AM41" s="178"/>
      <c r="AN41" s="175">
        <f t="shared" si="18"/>
        <v>0</v>
      </c>
      <c r="AO41" s="175">
        <f t="shared" si="19"/>
        <v>0</v>
      </c>
      <c r="AP41" s="175">
        <f t="shared" si="20"/>
        <v>0</v>
      </c>
      <c r="AQ41" s="175">
        <f t="shared" si="21"/>
        <v>0</v>
      </c>
      <c r="AR41" s="175"/>
      <c r="AS41" s="175">
        <f t="shared" si="22"/>
        <v>0</v>
      </c>
      <c r="AT41" s="175">
        <f>'QTY '!AC41</f>
        <v>0</v>
      </c>
      <c r="AU41" s="175">
        <f t="shared" si="23"/>
        <v>0</v>
      </c>
      <c r="AV41" s="178"/>
      <c r="AW41" s="180"/>
      <c r="AX41" s="180"/>
      <c r="AY41" s="180"/>
      <c r="AZ41" s="180"/>
      <c r="BA41" s="180"/>
    </row>
    <row r="42" spans="1:53" ht="18" customHeight="1">
      <c r="A42" s="237" t="str">
        <f>+'QTY '!B42</f>
        <v>BC111-1HQ61-1</v>
      </c>
      <c r="B42" s="237" t="str">
        <f>+'QTY '!E42</f>
        <v>BC111-1HQ61-1 A 1001</v>
      </c>
      <c r="C42" s="209" t="str">
        <f>'QTY '!F42</f>
        <v>BC 891W</v>
      </c>
      <c r="D42" s="175">
        <f>VLOOKUP($B42,[3]Sheet1!$B$8:$CF$451,14,0)</f>
        <v>1200</v>
      </c>
      <c r="E42" s="175">
        <f>VLOOKUP($B42,[3]Sheet1!$B$8:$CF$451,15,0)</f>
        <v>1240</v>
      </c>
      <c r="F42" s="175">
        <f>VLOOKUP($B42,[3]Sheet1!$B$8:$CF$451,16,0)</f>
        <v>1440</v>
      </c>
      <c r="G42" s="175">
        <f>VLOOKUP($B42,[3]Sheet1!$B$8:$CF$451,17,0)</f>
        <v>1440</v>
      </c>
      <c r="H42" s="175">
        <f>VLOOKUP($B42,[3]Sheet1!$B$8:$CF$451,18,0)</f>
        <v>0</v>
      </c>
      <c r="I42" s="175">
        <f t="shared" si="10"/>
        <v>5320</v>
      </c>
      <c r="J42" s="176">
        <f>'QTY '!Q42</f>
        <v>5320</v>
      </c>
      <c r="K42" s="176">
        <f t="shared" si="11"/>
        <v>0</v>
      </c>
      <c r="L42" s="177"/>
      <c r="M42" s="175">
        <f>VLOOKUP($B42,[3]Sheet1!$B$8:$CF$451,20,0)</f>
        <v>1680</v>
      </c>
      <c r="N42" s="175">
        <f>VLOOKUP($B42,[3]Sheet1!$B$8:$CF$451,21,0)</f>
        <v>1120</v>
      </c>
      <c r="O42" s="175">
        <f>VLOOKUP($B42,[3]Sheet1!$B$8:$CF$451,22,0)</f>
        <v>0</v>
      </c>
      <c r="P42" s="175">
        <f>VLOOKUP($B42,[3]Sheet1!$B$8:$CF$451,23,0)</f>
        <v>1640</v>
      </c>
      <c r="Q42" s="175">
        <f>VLOOKUP($B42,[3]Sheet1!$B$8:$CF$451,24,0)</f>
        <v>0</v>
      </c>
      <c r="R42" s="175">
        <f t="shared" si="12"/>
        <v>4440</v>
      </c>
      <c r="S42" s="175">
        <f>'QTY '!T42</f>
        <v>4440</v>
      </c>
      <c r="T42" s="176">
        <f t="shared" si="13"/>
        <v>0</v>
      </c>
      <c r="U42" s="178"/>
      <c r="V42" s="175">
        <f>+VLOOKUP($B42,[3]Sheet1!$B$8:$CF$406,26,0)</f>
        <v>1360</v>
      </c>
      <c r="W42" s="175">
        <f>+VLOOKUP($B42,[3]Sheet1!$B$8:$CF$406,27,0)</f>
        <v>1080</v>
      </c>
      <c r="X42" s="175">
        <f>+VLOOKUP($B42,[3]Sheet1!$B$8:$CF$406,28,0)</f>
        <v>1360</v>
      </c>
      <c r="Y42" s="175">
        <f>+VLOOKUP($B42,[3]Sheet1!$B$8:$CF$406,29,0)</f>
        <v>1480</v>
      </c>
      <c r="Z42" s="175">
        <f>+VLOOKUP($B42,[3]Sheet1!$B$8:$CF$406,30,0)</f>
        <v>0</v>
      </c>
      <c r="AA42" s="175">
        <f t="shared" si="14"/>
        <v>5280</v>
      </c>
      <c r="AB42" s="175">
        <f>'QTY '!W42</f>
        <v>5280</v>
      </c>
      <c r="AC42" s="175">
        <f t="shared" si="15"/>
        <v>0</v>
      </c>
      <c r="AD42" s="178"/>
      <c r="AE42" s="175">
        <f>+VLOOKUP($B42,[3]Sheet1!$B$8:$CF$406,32,0)</f>
        <v>1570</v>
      </c>
      <c r="AF42" s="175">
        <f>+VLOOKUP($B42,[3]Sheet1!$B$8:$CF$406,33,0)</f>
        <v>1570</v>
      </c>
      <c r="AG42" s="175">
        <f>+VLOOKUP($B42,[3]Sheet1!$B$8:$CF$406,34,0)</f>
        <v>1570</v>
      </c>
      <c r="AH42" s="175">
        <f>+VLOOKUP($B42,[3]Sheet1!$B$8:$CF$406,35,0)</f>
        <v>1570</v>
      </c>
      <c r="AI42" s="175">
        <f>+VLOOKUP($B42,[3]Sheet1!$B$8:$CF$406,36,0)</f>
        <v>0</v>
      </c>
      <c r="AJ42" s="175">
        <f t="shared" si="16"/>
        <v>6280</v>
      </c>
      <c r="AK42" s="175">
        <f>'QTY '!Z42</f>
        <v>6280</v>
      </c>
      <c r="AL42" s="175">
        <f t="shared" si="17"/>
        <v>0</v>
      </c>
      <c r="AM42" s="178"/>
      <c r="AN42" s="175">
        <f t="shared" si="18"/>
        <v>1570</v>
      </c>
      <c r="AO42" s="175">
        <f t="shared" si="19"/>
        <v>1570</v>
      </c>
      <c r="AP42" s="175">
        <f t="shared" si="20"/>
        <v>1570</v>
      </c>
      <c r="AQ42" s="175">
        <f t="shared" si="21"/>
        <v>1570</v>
      </c>
      <c r="AR42" s="175"/>
      <c r="AS42" s="175">
        <f t="shared" si="22"/>
        <v>6280</v>
      </c>
      <c r="AT42" s="175">
        <f>'QTY '!AC42</f>
        <v>6280</v>
      </c>
      <c r="AU42" s="175">
        <f t="shared" si="23"/>
        <v>0</v>
      </c>
      <c r="AV42" s="178"/>
      <c r="AW42" s="180"/>
      <c r="AX42" s="180"/>
      <c r="AY42" s="180"/>
      <c r="AZ42" s="180"/>
      <c r="BA42" s="180"/>
    </row>
    <row r="43" spans="1:53" ht="18" customHeight="1">
      <c r="A43" s="237" t="str">
        <f>+'QTY '!B43</f>
        <v>BC111-1HY10-1</v>
      </c>
      <c r="B43" s="237" t="str">
        <f>+'QTY '!E43</f>
        <v>BC111-1HY10-1 A 1001</v>
      </c>
      <c r="C43" s="209" t="str">
        <f>'QTY '!F43</f>
        <v>BC 891W</v>
      </c>
      <c r="D43" s="175">
        <f>VLOOKUP($B43,[3]Sheet1!$B$8:$CF$451,14,0)</f>
        <v>0</v>
      </c>
      <c r="E43" s="175">
        <f>VLOOKUP($B43,[3]Sheet1!$B$8:$CF$451,15,0)</f>
        <v>0</v>
      </c>
      <c r="F43" s="175">
        <f>VLOOKUP($B43,[3]Sheet1!$B$8:$CF$451,16,0)</f>
        <v>0</v>
      </c>
      <c r="G43" s="175">
        <f>VLOOKUP($B43,[3]Sheet1!$B$8:$CF$451,17,0)</f>
        <v>60</v>
      </c>
      <c r="H43" s="175">
        <f>VLOOKUP($B43,[3]Sheet1!$B$8:$CF$451,18,0)</f>
        <v>0</v>
      </c>
      <c r="I43" s="175">
        <f t="shared" si="10"/>
        <v>60</v>
      </c>
      <c r="J43" s="176">
        <f>'QTY '!Q43</f>
        <v>60</v>
      </c>
      <c r="K43" s="176">
        <f t="shared" si="11"/>
        <v>0</v>
      </c>
      <c r="L43" s="177"/>
      <c r="M43" s="175">
        <f>VLOOKUP($B43,[3]Sheet1!$B$8:$CF$451,20,0)</f>
        <v>0</v>
      </c>
      <c r="N43" s="175">
        <f>VLOOKUP($B43,[3]Sheet1!$B$8:$CF$451,21,0)</f>
        <v>0</v>
      </c>
      <c r="O43" s="175">
        <f>VLOOKUP($B43,[3]Sheet1!$B$8:$CF$451,22,0)</f>
        <v>0</v>
      </c>
      <c r="P43" s="175">
        <f>VLOOKUP($B43,[3]Sheet1!$B$8:$CF$451,23,0)</f>
        <v>0</v>
      </c>
      <c r="Q43" s="175">
        <f>VLOOKUP($B43,[3]Sheet1!$B$8:$CF$451,24,0)</f>
        <v>0</v>
      </c>
      <c r="R43" s="175">
        <f t="shared" si="12"/>
        <v>0</v>
      </c>
      <c r="S43" s="175">
        <f>'QTY '!T43</f>
        <v>0</v>
      </c>
      <c r="T43" s="176">
        <f t="shared" si="13"/>
        <v>0</v>
      </c>
      <c r="U43" s="178"/>
      <c r="V43" s="175">
        <f>+VLOOKUP($B43,[3]Sheet1!$B$8:$CF$406,26,0)</f>
        <v>60</v>
      </c>
      <c r="W43" s="175">
        <f>+VLOOKUP($B43,[3]Sheet1!$B$8:$CF$406,27,0)</f>
        <v>0</v>
      </c>
      <c r="X43" s="175">
        <f>+VLOOKUP($B43,[3]Sheet1!$B$8:$CF$406,28,0)</f>
        <v>0</v>
      </c>
      <c r="Y43" s="175">
        <f>+VLOOKUP($B43,[3]Sheet1!$B$8:$CF$406,29,0)</f>
        <v>0</v>
      </c>
      <c r="Z43" s="175">
        <f>+VLOOKUP($B43,[3]Sheet1!$B$8:$CF$406,30,0)</f>
        <v>0</v>
      </c>
      <c r="AA43" s="175">
        <f t="shared" si="14"/>
        <v>60</v>
      </c>
      <c r="AB43" s="175">
        <f>'QTY '!W43</f>
        <v>60</v>
      </c>
      <c r="AC43" s="175">
        <f t="shared" si="15"/>
        <v>0</v>
      </c>
      <c r="AD43" s="178"/>
      <c r="AE43" s="175">
        <f>+VLOOKUP($B43,[3]Sheet1!$B$8:$CF$406,32,0)</f>
        <v>15</v>
      </c>
      <c r="AF43" s="175">
        <f>+VLOOKUP($B43,[3]Sheet1!$B$8:$CF$406,33,0)</f>
        <v>15</v>
      </c>
      <c r="AG43" s="175">
        <f>+VLOOKUP($B43,[3]Sheet1!$B$8:$CF$406,34,0)</f>
        <v>15</v>
      </c>
      <c r="AH43" s="175">
        <f>+VLOOKUP($B43,[3]Sheet1!$B$8:$CF$406,35,0)</f>
        <v>15</v>
      </c>
      <c r="AI43" s="175">
        <f>+VLOOKUP($B43,[3]Sheet1!$B$8:$CF$406,36,0)</f>
        <v>0</v>
      </c>
      <c r="AJ43" s="175">
        <f t="shared" si="16"/>
        <v>60</v>
      </c>
      <c r="AK43" s="175">
        <f>'QTY '!Z43</f>
        <v>60</v>
      </c>
      <c r="AL43" s="175">
        <f t="shared" si="17"/>
        <v>0</v>
      </c>
      <c r="AM43" s="178"/>
      <c r="AN43" s="175">
        <f t="shared" si="18"/>
        <v>15</v>
      </c>
      <c r="AO43" s="175">
        <f t="shared" si="19"/>
        <v>15</v>
      </c>
      <c r="AP43" s="175">
        <f t="shared" si="20"/>
        <v>15</v>
      </c>
      <c r="AQ43" s="175">
        <f t="shared" si="21"/>
        <v>15</v>
      </c>
      <c r="AR43" s="175"/>
      <c r="AS43" s="175">
        <f t="shared" si="22"/>
        <v>60</v>
      </c>
      <c r="AT43" s="175">
        <f>'QTY '!AC43</f>
        <v>60</v>
      </c>
      <c r="AU43" s="175">
        <f t="shared" si="23"/>
        <v>0</v>
      </c>
      <c r="AV43" s="178"/>
      <c r="AW43" s="180"/>
      <c r="AX43" s="180"/>
      <c r="AY43" s="180"/>
      <c r="AZ43" s="180"/>
      <c r="BA43" s="180"/>
    </row>
    <row r="44" spans="1:53" ht="18" customHeight="1">
      <c r="A44" s="237" t="str">
        <f>+'QTY '!B44</f>
        <v>BC111-1HY10-2</v>
      </c>
      <c r="B44" s="237" t="str">
        <f>+'QTY '!E44</f>
        <v>BC111-1HY10-2 A 1001</v>
      </c>
      <c r="C44" s="209" t="str">
        <f>'QTY '!F44</f>
        <v>BC 891W</v>
      </c>
      <c r="D44" s="175">
        <f>VLOOKUP($B44,[3]Sheet1!$B$8:$CF$451,14,0)</f>
        <v>0</v>
      </c>
      <c r="E44" s="175">
        <f>VLOOKUP($B44,[3]Sheet1!$B$8:$CF$451,15,0)</f>
        <v>0</v>
      </c>
      <c r="F44" s="175">
        <f>VLOOKUP($B44,[3]Sheet1!$B$8:$CF$451,16,0)</f>
        <v>0</v>
      </c>
      <c r="G44" s="175">
        <f>VLOOKUP($B44,[3]Sheet1!$B$8:$CF$451,17,0)</f>
        <v>0</v>
      </c>
      <c r="H44" s="175">
        <f>VLOOKUP($B44,[3]Sheet1!$B$8:$CF$451,18,0)</f>
        <v>0</v>
      </c>
      <c r="I44" s="175">
        <f t="shared" si="10"/>
        <v>0</v>
      </c>
      <c r="J44" s="176">
        <f>'QTY '!Q44</f>
        <v>0</v>
      </c>
      <c r="K44" s="176">
        <f t="shared" si="11"/>
        <v>0</v>
      </c>
      <c r="L44" s="177"/>
      <c r="M44" s="175">
        <f>VLOOKUP($B44,[3]Sheet1!$B$8:$CF$451,20,0)</f>
        <v>0</v>
      </c>
      <c r="N44" s="175">
        <f>VLOOKUP($B44,[3]Sheet1!$B$8:$CF$451,21,0)</f>
        <v>0</v>
      </c>
      <c r="O44" s="175">
        <f>VLOOKUP($B44,[3]Sheet1!$B$8:$CF$451,22,0)</f>
        <v>0</v>
      </c>
      <c r="P44" s="175">
        <f>VLOOKUP($B44,[3]Sheet1!$B$8:$CF$451,23,0)</f>
        <v>0</v>
      </c>
      <c r="Q44" s="175">
        <f>VLOOKUP($B44,[3]Sheet1!$B$8:$CF$451,24,0)</f>
        <v>0</v>
      </c>
      <c r="R44" s="175">
        <f t="shared" si="12"/>
        <v>0</v>
      </c>
      <c r="S44" s="175">
        <f>'QTY '!T44</f>
        <v>0</v>
      </c>
      <c r="T44" s="176">
        <f t="shared" si="13"/>
        <v>0</v>
      </c>
      <c r="U44" s="178"/>
      <c r="V44" s="175">
        <f>+VLOOKUP($B44,[3]Sheet1!$B$8:$CF$406,26,0)</f>
        <v>0</v>
      </c>
      <c r="W44" s="175">
        <f>+VLOOKUP($B44,[3]Sheet1!$B$8:$CF$406,27,0)</f>
        <v>0</v>
      </c>
      <c r="X44" s="175">
        <f>+VLOOKUP($B44,[3]Sheet1!$B$8:$CF$406,28,0)</f>
        <v>0</v>
      </c>
      <c r="Y44" s="175">
        <f>+VLOOKUP($B44,[3]Sheet1!$B$8:$CF$406,29,0)</f>
        <v>0</v>
      </c>
      <c r="Z44" s="175">
        <f>+VLOOKUP($B44,[3]Sheet1!$B$8:$CF$406,30,0)</f>
        <v>0</v>
      </c>
      <c r="AA44" s="175">
        <f t="shared" si="14"/>
        <v>0</v>
      </c>
      <c r="AB44" s="175">
        <f>'QTY '!W44</f>
        <v>0</v>
      </c>
      <c r="AC44" s="175">
        <f t="shared" si="15"/>
        <v>0</v>
      </c>
      <c r="AD44" s="178"/>
      <c r="AE44" s="175">
        <f>+VLOOKUP($B44,[3]Sheet1!$B$8:$CF$406,32,0)</f>
        <v>0</v>
      </c>
      <c r="AF44" s="175">
        <f>+VLOOKUP($B44,[3]Sheet1!$B$8:$CF$406,33,0)</f>
        <v>0</v>
      </c>
      <c r="AG44" s="175">
        <f>+VLOOKUP($B44,[3]Sheet1!$B$8:$CF$406,34,0)</f>
        <v>0</v>
      </c>
      <c r="AH44" s="175">
        <f>+VLOOKUP($B44,[3]Sheet1!$B$8:$CF$406,35,0)</f>
        <v>0</v>
      </c>
      <c r="AI44" s="175">
        <f>+VLOOKUP($B44,[3]Sheet1!$B$8:$CF$406,36,0)</f>
        <v>0</v>
      </c>
      <c r="AJ44" s="175">
        <f t="shared" si="16"/>
        <v>0</v>
      </c>
      <c r="AK44" s="175">
        <f>'QTY '!Z44</f>
        <v>0</v>
      </c>
      <c r="AL44" s="175">
        <f t="shared" si="17"/>
        <v>0</v>
      </c>
      <c r="AM44" s="178"/>
      <c r="AN44" s="175">
        <f t="shared" si="18"/>
        <v>0</v>
      </c>
      <c r="AO44" s="175">
        <f t="shared" si="19"/>
        <v>0</v>
      </c>
      <c r="AP44" s="175">
        <f t="shared" si="20"/>
        <v>0</v>
      </c>
      <c r="AQ44" s="175">
        <f t="shared" si="21"/>
        <v>0</v>
      </c>
      <c r="AR44" s="175"/>
      <c r="AS44" s="175">
        <f t="shared" si="22"/>
        <v>0</v>
      </c>
      <c r="AT44" s="175">
        <f>'QTY '!AC44</f>
        <v>0</v>
      </c>
      <c r="AU44" s="175">
        <f t="shared" si="23"/>
        <v>0</v>
      </c>
      <c r="AV44" s="178"/>
      <c r="AW44" s="180"/>
      <c r="AX44" s="180"/>
      <c r="AY44" s="180"/>
      <c r="AZ44" s="180"/>
      <c r="BA44" s="180"/>
    </row>
    <row r="45" spans="1:53" ht="18" customHeight="1">
      <c r="A45" s="237" t="str">
        <f>+'QTY '!B45</f>
        <v>BC111-1HR01-1</v>
      </c>
      <c r="B45" s="237" t="str">
        <f>+'QTY '!E45</f>
        <v>BC111-1HR01-1 0002</v>
      </c>
      <c r="C45" s="209" t="str">
        <f>'QTY '!F45</f>
        <v>BC 891W</v>
      </c>
      <c r="D45" s="175">
        <f>VLOOKUP($B45,[3]Sheet1!$B$8:$CF$451,14,0)</f>
        <v>1400</v>
      </c>
      <c r="E45" s="175">
        <f>VLOOKUP($B45,[3]Sheet1!$B$8:$CF$451,15,0)</f>
        <v>1440</v>
      </c>
      <c r="F45" s="175">
        <f>VLOOKUP($B45,[3]Sheet1!$B$8:$CF$451,16,0)</f>
        <v>1800</v>
      </c>
      <c r="G45" s="175">
        <f>VLOOKUP($B45,[3]Sheet1!$B$8:$CF$451,17,0)</f>
        <v>1840</v>
      </c>
      <c r="H45" s="175">
        <f>VLOOKUP($B45,[3]Sheet1!$B$8:$CF$451,18,0)</f>
        <v>0</v>
      </c>
      <c r="I45" s="175">
        <f t="shared" si="10"/>
        <v>6480</v>
      </c>
      <c r="J45" s="176">
        <f>'QTY '!Q45</f>
        <v>6480</v>
      </c>
      <c r="K45" s="176">
        <f t="shared" si="11"/>
        <v>0</v>
      </c>
      <c r="L45" s="177"/>
      <c r="M45" s="175">
        <f>VLOOKUP($B45,[3]Sheet1!$B$8:$CF$451,20,0)</f>
        <v>2080</v>
      </c>
      <c r="N45" s="175">
        <f>VLOOKUP($B45,[3]Sheet1!$B$8:$CF$451,21,0)</f>
        <v>1400</v>
      </c>
      <c r="O45" s="175">
        <f>VLOOKUP($B45,[3]Sheet1!$B$8:$CF$451,22,0)</f>
        <v>0</v>
      </c>
      <c r="P45" s="175">
        <f>VLOOKUP($B45,[3]Sheet1!$B$8:$CF$451,23,0)</f>
        <v>2120</v>
      </c>
      <c r="Q45" s="175">
        <f>VLOOKUP($B45,[3]Sheet1!$B$8:$CF$451,24,0)</f>
        <v>0</v>
      </c>
      <c r="R45" s="175">
        <f t="shared" si="12"/>
        <v>5600</v>
      </c>
      <c r="S45" s="175">
        <f>'QTY '!T45</f>
        <v>5600</v>
      </c>
      <c r="T45" s="176">
        <f t="shared" si="13"/>
        <v>0</v>
      </c>
      <c r="U45" s="178"/>
      <c r="V45" s="175">
        <f>+VLOOKUP($B45,[3]Sheet1!$B$8:$CF$406,26,0)</f>
        <v>1680</v>
      </c>
      <c r="W45" s="175">
        <f>+VLOOKUP($B45,[3]Sheet1!$B$8:$CF$406,27,0)</f>
        <v>1360</v>
      </c>
      <c r="X45" s="175">
        <f>+VLOOKUP($B45,[3]Sheet1!$B$8:$CF$406,28,0)</f>
        <v>1760</v>
      </c>
      <c r="Y45" s="175">
        <f>+VLOOKUP($B45,[3]Sheet1!$B$8:$CF$406,29,0)</f>
        <v>2000</v>
      </c>
      <c r="Z45" s="175">
        <f>+VLOOKUP($B45,[3]Sheet1!$B$8:$CF$406,30,0)</f>
        <v>0</v>
      </c>
      <c r="AA45" s="175">
        <f t="shared" si="14"/>
        <v>6800</v>
      </c>
      <c r="AB45" s="175">
        <f>'QTY '!W45</f>
        <v>6800</v>
      </c>
      <c r="AC45" s="175">
        <f t="shared" si="15"/>
        <v>0</v>
      </c>
      <c r="AD45" s="178"/>
      <c r="AE45" s="175">
        <f>+VLOOKUP($B45,[3]Sheet1!$B$8:$CF$406,32,0)</f>
        <v>2110</v>
      </c>
      <c r="AF45" s="175">
        <f>+VLOOKUP($B45,[3]Sheet1!$B$8:$CF$406,33,0)</f>
        <v>2110</v>
      </c>
      <c r="AG45" s="175">
        <f>+VLOOKUP($B45,[3]Sheet1!$B$8:$CF$406,34,0)</f>
        <v>2110</v>
      </c>
      <c r="AH45" s="175">
        <f>+VLOOKUP($B45,[3]Sheet1!$B$8:$CF$406,35,0)</f>
        <v>2110</v>
      </c>
      <c r="AI45" s="175">
        <f>+VLOOKUP($B45,[3]Sheet1!$B$8:$CF$406,36,0)</f>
        <v>0</v>
      </c>
      <c r="AJ45" s="175">
        <f t="shared" si="16"/>
        <v>8440</v>
      </c>
      <c r="AK45" s="175">
        <f>'QTY '!Z45</f>
        <v>8440</v>
      </c>
      <c r="AL45" s="175">
        <f t="shared" si="17"/>
        <v>0</v>
      </c>
      <c r="AM45" s="178"/>
      <c r="AN45" s="175">
        <f t="shared" si="18"/>
        <v>2110</v>
      </c>
      <c r="AO45" s="175">
        <f t="shared" si="19"/>
        <v>2110</v>
      </c>
      <c r="AP45" s="175">
        <f t="shared" si="20"/>
        <v>2110</v>
      </c>
      <c r="AQ45" s="175">
        <f t="shared" si="21"/>
        <v>2110</v>
      </c>
      <c r="AR45" s="175"/>
      <c r="AS45" s="175">
        <f t="shared" si="22"/>
        <v>8440</v>
      </c>
      <c r="AT45" s="175">
        <f>'QTY '!AC45</f>
        <v>8440</v>
      </c>
      <c r="AU45" s="175">
        <f t="shared" si="23"/>
        <v>0</v>
      </c>
      <c r="AV45" s="178"/>
      <c r="AW45" s="180"/>
      <c r="AX45" s="180"/>
      <c r="AY45" s="180"/>
      <c r="AZ45" s="180"/>
      <c r="BA45" s="180"/>
    </row>
    <row r="46" spans="1:53" ht="18" customHeight="1">
      <c r="A46" s="237" t="str">
        <f>+'QTY '!B46</f>
        <v>BC111-62092-2</v>
      </c>
      <c r="B46" s="237" t="str">
        <f>+'QTY '!E46</f>
        <v>BC111-62092-2 B 1001</v>
      </c>
      <c r="C46" s="209" t="str">
        <f>'QTY '!F46</f>
        <v>BC 766W</v>
      </c>
      <c r="D46" s="175">
        <f>VLOOKUP($B46,[3]Sheet1!$B$8:$CF$451,14,0)</f>
        <v>0</v>
      </c>
      <c r="E46" s="175">
        <f>VLOOKUP($B46,[3]Sheet1!$B$8:$CF$451,15,0)</f>
        <v>0</v>
      </c>
      <c r="F46" s="175">
        <f>VLOOKUP($B46,[3]Sheet1!$B$8:$CF$451,16,0)</f>
        <v>0</v>
      </c>
      <c r="G46" s="175">
        <f>VLOOKUP($B46,[3]Sheet1!$B$8:$CF$451,17,0)</f>
        <v>0</v>
      </c>
      <c r="H46" s="175">
        <f>VLOOKUP($B46,[3]Sheet1!$B$8:$CF$451,18,0)</f>
        <v>0</v>
      </c>
      <c r="I46" s="175">
        <f t="shared" si="10"/>
        <v>0</v>
      </c>
      <c r="J46" s="176">
        <f>'QTY '!Q46</f>
        <v>0</v>
      </c>
      <c r="K46" s="176">
        <f t="shared" si="11"/>
        <v>0</v>
      </c>
      <c r="L46" s="177"/>
      <c r="M46" s="175">
        <f>VLOOKUP($B46,[3]Sheet1!$B$8:$CF$451,20,0)</f>
        <v>0</v>
      </c>
      <c r="N46" s="175">
        <f>VLOOKUP($B46,[3]Sheet1!$B$8:$CF$451,21,0)</f>
        <v>0</v>
      </c>
      <c r="O46" s="175">
        <f>VLOOKUP($B46,[3]Sheet1!$B$8:$CF$451,22,0)</f>
        <v>0</v>
      </c>
      <c r="P46" s="175">
        <f>VLOOKUP($B46,[3]Sheet1!$B$8:$CF$451,23,0)</f>
        <v>0</v>
      </c>
      <c r="Q46" s="175">
        <f>VLOOKUP($B46,[3]Sheet1!$B$8:$CF$451,24,0)</f>
        <v>0</v>
      </c>
      <c r="R46" s="175">
        <f t="shared" si="12"/>
        <v>0</v>
      </c>
      <c r="S46" s="175">
        <f>'QTY '!T46</f>
        <v>0</v>
      </c>
      <c r="T46" s="176">
        <f t="shared" si="13"/>
        <v>0</v>
      </c>
      <c r="U46" s="178"/>
      <c r="V46" s="175">
        <f>+VLOOKUP($B46,[3]Sheet1!$B$8:$CF$406,26,0)</f>
        <v>0</v>
      </c>
      <c r="W46" s="175">
        <f>+VLOOKUP($B46,[3]Sheet1!$B$8:$CF$406,27,0)</f>
        <v>0</v>
      </c>
      <c r="X46" s="175">
        <f>+VLOOKUP($B46,[3]Sheet1!$B$8:$CF$406,28,0)</f>
        <v>0</v>
      </c>
      <c r="Y46" s="175">
        <f>+VLOOKUP($B46,[3]Sheet1!$B$8:$CF$406,29,0)</f>
        <v>0</v>
      </c>
      <c r="Z46" s="175">
        <f>+VLOOKUP($B46,[3]Sheet1!$B$8:$CF$406,30,0)</f>
        <v>0</v>
      </c>
      <c r="AA46" s="175">
        <f t="shared" si="14"/>
        <v>0</v>
      </c>
      <c r="AB46" s="175">
        <f>'QTY '!W46</f>
        <v>0</v>
      </c>
      <c r="AC46" s="175">
        <f t="shared" si="15"/>
        <v>0</v>
      </c>
      <c r="AD46" s="178"/>
      <c r="AE46" s="175">
        <f>+VLOOKUP($B46,[3]Sheet1!$B$8:$CF$406,32,0)</f>
        <v>0</v>
      </c>
      <c r="AF46" s="175">
        <f>+VLOOKUP($B46,[3]Sheet1!$B$8:$CF$406,33,0)</f>
        <v>0</v>
      </c>
      <c r="AG46" s="175">
        <f>+VLOOKUP($B46,[3]Sheet1!$B$8:$CF$406,34,0)</f>
        <v>0</v>
      </c>
      <c r="AH46" s="175">
        <f>+VLOOKUP($B46,[3]Sheet1!$B$8:$CF$406,35,0)</f>
        <v>0</v>
      </c>
      <c r="AI46" s="175">
        <f>+VLOOKUP($B46,[3]Sheet1!$B$8:$CF$406,36,0)</f>
        <v>0</v>
      </c>
      <c r="AJ46" s="175">
        <f t="shared" si="16"/>
        <v>0</v>
      </c>
      <c r="AK46" s="175">
        <f>'QTY '!Z46</f>
        <v>0</v>
      </c>
      <c r="AL46" s="175">
        <f t="shared" si="17"/>
        <v>0</v>
      </c>
      <c r="AM46" s="178"/>
      <c r="AN46" s="175">
        <f t="shared" si="18"/>
        <v>0</v>
      </c>
      <c r="AO46" s="175">
        <f t="shared" si="19"/>
        <v>0</v>
      </c>
      <c r="AP46" s="175">
        <f t="shared" si="20"/>
        <v>0</v>
      </c>
      <c r="AQ46" s="175">
        <f t="shared" si="21"/>
        <v>0</v>
      </c>
      <c r="AR46" s="175"/>
      <c r="AS46" s="175">
        <f t="shared" si="22"/>
        <v>0</v>
      </c>
      <c r="AT46" s="175">
        <f>'QTY '!AC46</f>
        <v>0</v>
      </c>
      <c r="AU46" s="175">
        <f t="shared" si="23"/>
        <v>0</v>
      </c>
      <c r="AV46" s="178"/>
      <c r="AW46" s="180"/>
      <c r="AX46" s="180"/>
      <c r="AY46" s="180"/>
      <c r="AZ46" s="180"/>
      <c r="BA46" s="180"/>
    </row>
    <row r="47" spans="1:53" ht="18" customHeight="1">
      <c r="A47" s="237" t="str">
        <f>+'QTY '!B47</f>
        <v>BC111-62062-2</v>
      </c>
      <c r="B47" s="237" t="str">
        <f>+'QTY '!E47</f>
        <v>BC111-62062-2 B 1001</v>
      </c>
      <c r="C47" s="209" t="str">
        <f>'QTY '!F47</f>
        <v>BC 766W</v>
      </c>
      <c r="D47" s="175">
        <f>VLOOKUP($B47,[3]Sheet1!$B$8:$CF$451,14,0)</f>
        <v>0</v>
      </c>
      <c r="E47" s="175">
        <f>VLOOKUP($B47,[3]Sheet1!$B$8:$CF$451,15,0)</f>
        <v>0</v>
      </c>
      <c r="F47" s="175">
        <f>VLOOKUP($B47,[3]Sheet1!$B$8:$CF$451,16,0)</f>
        <v>0</v>
      </c>
      <c r="G47" s="175">
        <f>VLOOKUP($B47,[3]Sheet1!$B$8:$CF$451,17,0)</f>
        <v>0</v>
      </c>
      <c r="H47" s="175">
        <f>VLOOKUP($B47,[3]Sheet1!$B$8:$CF$451,18,0)</f>
        <v>0</v>
      </c>
      <c r="I47" s="175">
        <f t="shared" si="10"/>
        <v>0</v>
      </c>
      <c r="J47" s="176">
        <f>'QTY '!Q47</f>
        <v>0</v>
      </c>
      <c r="K47" s="176">
        <f t="shared" si="11"/>
        <v>0</v>
      </c>
      <c r="L47" s="177"/>
      <c r="M47" s="175">
        <f>VLOOKUP($B47,[3]Sheet1!$B$8:$CF$451,20,0)</f>
        <v>0</v>
      </c>
      <c r="N47" s="175">
        <f>VLOOKUP($B47,[3]Sheet1!$B$8:$CF$451,21,0)</f>
        <v>0</v>
      </c>
      <c r="O47" s="175">
        <f>VLOOKUP($B47,[3]Sheet1!$B$8:$CF$451,22,0)</f>
        <v>0</v>
      </c>
      <c r="P47" s="175">
        <f>VLOOKUP($B47,[3]Sheet1!$B$8:$CF$451,23,0)</f>
        <v>0</v>
      </c>
      <c r="Q47" s="175">
        <f>VLOOKUP($B47,[3]Sheet1!$B$8:$CF$451,24,0)</f>
        <v>0</v>
      </c>
      <c r="R47" s="175">
        <f t="shared" si="12"/>
        <v>0</v>
      </c>
      <c r="S47" s="175">
        <f>'QTY '!T47</f>
        <v>0</v>
      </c>
      <c r="T47" s="176">
        <f t="shared" si="13"/>
        <v>0</v>
      </c>
      <c r="U47" s="178"/>
      <c r="V47" s="175">
        <f>+VLOOKUP($B47,[3]Sheet1!$B$8:$CF$406,26,0)</f>
        <v>0</v>
      </c>
      <c r="W47" s="175">
        <f>+VLOOKUP($B47,[3]Sheet1!$B$8:$CF$406,27,0)</f>
        <v>0</v>
      </c>
      <c r="X47" s="175">
        <f>+VLOOKUP($B47,[3]Sheet1!$B$8:$CF$406,28,0)</f>
        <v>0</v>
      </c>
      <c r="Y47" s="175">
        <f>+VLOOKUP($B47,[3]Sheet1!$B$8:$CF$406,29,0)</f>
        <v>0</v>
      </c>
      <c r="Z47" s="175">
        <f>+VLOOKUP($B47,[3]Sheet1!$B$8:$CF$406,30,0)</f>
        <v>0</v>
      </c>
      <c r="AA47" s="175">
        <f t="shared" si="14"/>
        <v>0</v>
      </c>
      <c r="AB47" s="175">
        <f>'QTY '!W47</f>
        <v>0</v>
      </c>
      <c r="AC47" s="175">
        <f t="shared" si="15"/>
        <v>0</v>
      </c>
      <c r="AD47" s="178"/>
      <c r="AE47" s="175">
        <f>+VLOOKUP($B47,[3]Sheet1!$B$8:$CF$406,32,0)</f>
        <v>0</v>
      </c>
      <c r="AF47" s="175">
        <f>+VLOOKUP($B47,[3]Sheet1!$B$8:$CF$406,33,0)</f>
        <v>0</v>
      </c>
      <c r="AG47" s="175">
        <f>+VLOOKUP($B47,[3]Sheet1!$B$8:$CF$406,34,0)</f>
        <v>0</v>
      </c>
      <c r="AH47" s="175">
        <f>+VLOOKUP($B47,[3]Sheet1!$B$8:$CF$406,35,0)</f>
        <v>0</v>
      </c>
      <c r="AI47" s="175">
        <f>+VLOOKUP($B47,[3]Sheet1!$B$8:$CF$406,36,0)</f>
        <v>0</v>
      </c>
      <c r="AJ47" s="175">
        <f t="shared" si="16"/>
        <v>0</v>
      </c>
      <c r="AK47" s="175">
        <f>'QTY '!Z47</f>
        <v>0</v>
      </c>
      <c r="AL47" s="175">
        <f t="shared" si="17"/>
        <v>0</v>
      </c>
      <c r="AM47" s="178"/>
      <c r="AN47" s="175">
        <f t="shared" si="18"/>
        <v>0</v>
      </c>
      <c r="AO47" s="175">
        <f t="shared" si="19"/>
        <v>0</v>
      </c>
      <c r="AP47" s="175">
        <f t="shared" si="20"/>
        <v>0</v>
      </c>
      <c r="AQ47" s="175">
        <f t="shared" si="21"/>
        <v>0</v>
      </c>
      <c r="AR47" s="175"/>
      <c r="AS47" s="175">
        <f t="shared" si="22"/>
        <v>0</v>
      </c>
      <c r="AT47" s="175">
        <f>'QTY '!AC47</f>
        <v>0</v>
      </c>
      <c r="AU47" s="175">
        <f t="shared" si="23"/>
        <v>0</v>
      </c>
      <c r="AV47" s="178"/>
      <c r="AW47" s="180"/>
      <c r="AX47" s="180"/>
      <c r="AY47" s="180"/>
      <c r="AZ47" s="180"/>
      <c r="BA47" s="180"/>
    </row>
    <row r="48" spans="1:53" ht="18" customHeight="1">
      <c r="A48" s="237">
        <f>+'QTY '!B48</f>
        <v>0</v>
      </c>
      <c r="B48" s="237" t="str">
        <f>+'QTY '!E48</f>
        <v>BC111-16P60-1   0001</v>
      </c>
      <c r="C48" s="209" t="str">
        <f>'QTY '!F48</f>
        <v>BC 059J</v>
      </c>
      <c r="D48" s="175">
        <f>VLOOKUP($B48,[3]Sheet1!$B$8:$CF$451,14,0)</f>
        <v>360</v>
      </c>
      <c r="E48" s="175">
        <f>VLOOKUP($B48,[3]Sheet1!$B$8:$CF$451,15,0)</f>
        <v>380</v>
      </c>
      <c r="F48" s="175">
        <f>VLOOKUP($B48,[3]Sheet1!$B$8:$CF$451,16,0)</f>
        <v>480</v>
      </c>
      <c r="G48" s="175">
        <f>VLOOKUP($B48,[3]Sheet1!$B$8:$CF$451,17,0)</f>
        <v>480</v>
      </c>
      <c r="H48" s="175">
        <f>VLOOKUP($B48,[3]Sheet1!$B$8:$CF$451,18,0)</f>
        <v>0</v>
      </c>
      <c r="I48" s="175">
        <f t="shared" si="10"/>
        <v>1700</v>
      </c>
      <c r="J48" s="176">
        <f>'QTY '!Q48</f>
        <v>1700</v>
      </c>
      <c r="K48" s="176">
        <f t="shared" si="11"/>
        <v>0</v>
      </c>
      <c r="L48" s="177"/>
      <c r="M48" s="175">
        <f>VLOOKUP($B48,[3]Sheet1!$B$8:$CF$451,20,0)</f>
        <v>540</v>
      </c>
      <c r="N48" s="175">
        <f>VLOOKUP($B48,[3]Sheet1!$B$8:$CF$451,21,0)</f>
        <v>380</v>
      </c>
      <c r="O48" s="175">
        <f>VLOOKUP($B48,[3]Sheet1!$B$8:$CF$451,22,0)</f>
        <v>0</v>
      </c>
      <c r="P48" s="175">
        <f>VLOOKUP($B48,[3]Sheet1!$B$8:$CF$451,23,0)</f>
        <v>600</v>
      </c>
      <c r="Q48" s="175">
        <f>VLOOKUP($B48,[3]Sheet1!$B$8:$CF$451,24,0)</f>
        <v>0</v>
      </c>
      <c r="R48" s="175">
        <f t="shared" si="12"/>
        <v>1520</v>
      </c>
      <c r="S48" s="175">
        <f>'QTY '!T48</f>
        <v>1520</v>
      </c>
      <c r="T48" s="176">
        <f t="shared" si="13"/>
        <v>0</v>
      </c>
      <c r="U48" s="178"/>
      <c r="V48" s="175">
        <f>+VLOOKUP($B48,[3]Sheet1!$B$8:$CF$406,26,0)</f>
        <v>500</v>
      </c>
      <c r="W48" s="175">
        <f>+VLOOKUP($B48,[3]Sheet1!$B$8:$CF$406,27,0)</f>
        <v>380</v>
      </c>
      <c r="X48" s="175">
        <f>+VLOOKUP($B48,[3]Sheet1!$B$8:$CF$406,28,0)</f>
        <v>440</v>
      </c>
      <c r="Y48" s="175">
        <f>+VLOOKUP($B48,[3]Sheet1!$B$8:$CF$406,29,0)</f>
        <v>380</v>
      </c>
      <c r="Z48" s="175">
        <f>+VLOOKUP($B48,[3]Sheet1!$B$8:$CF$406,30,0)</f>
        <v>0</v>
      </c>
      <c r="AA48" s="175">
        <f t="shared" si="14"/>
        <v>1700</v>
      </c>
      <c r="AB48" s="175">
        <f>'QTY '!W48</f>
        <v>1700</v>
      </c>
      <c r="AC48" s="175">
        <f t="shared" si="15"/>
        <v>0</v>
      </c>
      <c r="AD48" s="178"/>
      <c r="AE48" s="175">
        <f>+VLOOKUP($B48,[3]Sheet1!$B$8:$CF$406,32,0)</f>
        <v>390</v>
      </c>
      <c r="AF48" s="175">
        <f>+VLOOKUP($B48,[3]Sheet1!$B$8:$CF$406,33,0)</f>
        <v>390</v>
      </c>
      <c r="AG48" s="175">
        <f>+VLOOKUP($B48,[3]Sheet1!$B$8:$CF$406,34,0)</f>
        <v>390</v>
      </c>
      <c r="AH48" s="175">
        <f>+VLOOKUP($B48,[3]Sheet1!$B$8:$CF$406,35,0)</f>
        <v>390</v>
      </c>
      <c r="AI48" s="175">
        <f>+VLOOKUP($B48,[3]Sheet1!$B$8:$CF$406,36,0)</f>
        <v>0</v>
      </c>
      <c r="AJ48" s="175">
        <f t="shared" si="16"/>
        <v>1560</v>
      </c>
      <c r="AK48" s="175">
        <f>'QTY '!Z48</f>
        <v>1560</v>
      </c>
      <c r="AL48" s="175">
        <f t="shared" si="17"/>
        <v>0</v>
      </c>
      <c r="AM48" s="178"/>
      <c r="AN48" s="175">
        <f t="shared" si="18"/>
        <v>390</v>
      </c>
      <c r="AO48" s="175">
        <f t="shared" si="19"/>
        <v>390</v>
      </c>
      <c r="AP48" s="175">
        <f t="shared" si="20"/>
        <v>390</v>
      </c>
      <c r="AQ48" s="175">
        <f t="shared" si="21"/>
        <v>390</v>
      </c>
      <c r="AR48" s="175"/>
      <c r="AS48" s="175">
        <f t="shared" si="22"/>
        <v>1560</v>
      </c>
      <c r="AT48" s="175">
        <f>'QTY '!AC48</f>
        <v>1560</v>
      </c>
      <c r="AU48" s="175">
        <f t="shared" si="23"/>
        <v>0</v>
      </c>
      <c r="AV48" s="178"/>
      <c r="AW48" s="180"/>
      <c r="AX48" s="180"/>
      <c r="AY48" s="180"/>
      <c r="AZ48" s="180"/>
      <c r="BA48" s="180"/>
    </row>
    <row r="49" spans="1:53" ht="18" customHeight="1">
      <c r="A49" s="237">
        <f>+'QTY '!B49</f>
        <v>0</v>
      </c>
      <c r="B49" s="237" t="str">
        <f>+'QTY '!E49</f>
        <v>BC111-16J40-1   0001</v>
      </c>
      <c r="C49" s="209" t="str">
        <f>'QTY '!F49</f>
        <v>BC 059J</v>
      </c>
      <c r="D49" s="175">
        <f>VLOOKUP($B49,[3]Sheet1!$B$8:$CF$451,14,0)</f>
        <v>1040</v>
      </c>
      <c r="E49" s="175">
        <f>VLOOKUP($B49,[3]Sheet1!$B$8:$CF$451,15,0)</f>
        <v>960</v>
      </c>
      <c r="F49" s="175">
        <f>VLOOKUP($B49,[3]Sheet1!$B$8:$CF$451,16,0)</f>
        <v>1280</v>
      </c>
      <c r="G49" s="175">
        <f>VLOOKUP($B49,[3]Sheet1!$B$8:$CF$451,17,0)</f>
        <v>1240</v>
      </c>
      <c r="H49" s="175">
        <f>VLOOKUP($B49,[3]Sheet1!$B$8:$CF$451,18,0)</f>
        <v>0</v>
      </c>
      <c r="I49" s="175">
        <f t="shared" si="10"/>
        <v>4520</v>
      </c>
      <c r="J49" s="176">
        <f>'QTY '!Q49</f>
        <v>4520</v>
      </c>
      <c r="K49" s="176">
        <f t="shared" si="11"/>
        <v>0</v>
      </c>
      <c r="L49" s="177"/>
      <c r="M49" s="175">
        <f>VLOOKUP($B49,[3]Sheet1!$B$8:$CF$451,20,0)</f>
        <v>1440</v>
      </c>
      <c r="N49" s="175">
        <f>VLOOKUP($B49,[3]Sheet1!$B$8:$CF$451,21,0)</f>
        <v>1000</v>
      </c>
      <c r="O49" s="175">
        <f>VLOOKUP($B49,[3]Sheet1!$B$8:$CF$451,22,0)</f>
        <v>0</v>
      </c>
      <c r="P49" s="175">
        <f>VLOOKUP($B49,[3]Sheet1!$B$8:$CF$451,23,0)</f>
        <v>1480</v>
      </c>
      <c r="Q49" s="175">
        <f>VLOOKUP($B49,[3]Sheet1!$B$8:$CF$451,24,0)</f>
        <v>0</v>
      </c>
      <c r="R49" s="175">
        <f t="shared" si="12"/>
        <v>3920</v>
      </c>
      <c r="S49" s="175">
        <f>'QTY '!T49</f>
        <v>3920</v>
      </c>
      <c r="T49" s="176">
        <f t="shared" si="13"/>
        <v>0</v>
      </c>
      <c r="U49" s="178"/>
      <c r="V49" s="175">
        <f>+VLOOKUP($B49,[3]Sheet1!$B$8:$CF$406,26,0)</f>
        <v>1240</v>
      </c>
      <c r="W49" s="175">
        <f>+VLOOKUP($B49,[3]Sheet1!$B$8:$CF$406,27,0)</f>
        <v>960</v>
      </c>
      <c r="X49" s="175">
        <f>+VLOOKUP($B49,[3]Sheet1!$B$8:$CF$406,28,0)</f>
        <v>1080</v>
      </c>
      <c r="Y49" s="175">
        <f>+VLOOKUP($B49,[3]Sheet1!$B$8:$CF$406,29,0)</f>
        <v>1000</v>
      </c>
      <c r="Z49" s="175">
        <f>+VLOOKUP($B49,[3]Sheet1!$B$8:$CF$406,30,0)</f>
        <v>0</v>
      </c>
      <c r="AA49" s="175">
        <f t="shared" si="14"/>
        <v>4280</v>
      </c>
      <c r="AB49" s="175">
        <f>'QTY '!W49</f>
        <v>4280</v>
      </c>
      <c r="AC49" s="175">
        <f t="shared" si="15"/>
        <v>0</v>
      </c>
      <c r="AD49" s="178"/>
      <c r="AE49" s="175">
        <f>+VLOOKUP($B49,[3]Sheet1!$B$8:$CF$406,32,0)</f>
        <v>990</v>
      </c>
      <c r="AF49" s="175">
        <f>+VLOOKUP($B49,[3]Sheet1!$B$8:$CF$406,33,0)</f>
        <v>990</v>
      </c>
      <c r="AG49" s="175">
        <f>+VLOOKUP($B49,[3]Sheet1!$B$8:$CF$406,34,0)</f>
        <v>990</v>
      </c>
      <c r="AH49" s="175">
        <f>+VLOOKUP($B49,[3]Sheet1!$B$8:$CF$406,35,0)</f>
        <v>990</v>
      </c>
      <c r="AI49" s="175">
        <f>+VLOOKUP($B49,[3]Sheet1!$B$8:$CF$406,36,0)</f>
        <v>0</v>
      </c>
      <c r="AJ49" s="175">
        <f t="shared" si="16"/>
        <v>3960</v>
      </c>
      <c r="AK49" s="175">
        <f>'QTY '!Z49</f>
        <v>3960</v>
      </c>
      <c r="AL49" s="175">
        <f t="shared" si="17"/>
        <v>0</v>
      </c>
      <c r="AM49" s="178"/>
      <c r="AN49" s="175">
        <f t="shared" si="18"/>
        <v>990</v>
      </c>
      <c r="AO49" s="175">
        <f t="shared" si="19"/>
        <v>990</v>
      </c>
      <c r="AP49" s="175">
        <f t="shared" si="20"/>
        <v>990</v>
      </c>
      <c r="AQ49" s="175">
        <f t="shared" si="21"/>
        <v>990</v>
      </c>
      <c r="AR49" s="175"/>
      <c r="AS49" s="175">
        <f t="shared" si="22"/>
        <v>3960</v>
      </c>
      <c r="AT49" s="175">
        <f>'QTY '!AC49</f>
        <v>3960</v>
      </c>
      <c r="AU49" s="175">
        <f t="shared" si="23"/>
        <v>0</v>
      </c>
      <c r="AV49" s="178"/>
      <c r="AW49" s="180"/>
      <c r="AX49" s="180"/>
      <c r="AY49" s="180"/>
      <c r="AZ49" s="180"/>
      <c r="BA49" s="180"/>
    </row>
    <row r="50" spans="1:53" ht="18" customHeight="1">
      <c r="A50" s="237">
        <f>+'QTY '!B50</f>
        <v>0</v>
      </c>
      <c r="B50" s="237" t="str">
        <f>+'QTY '!E50</f>
        <v>BC111-16R30-1   0001</v>
      </c>
      <c r="C50" s="209" t="str">
        <f>'QTY '!F50</f>
        <v>BC 059J</v>
      </c>
      <c r="D50" s="175">
        <f>VLOOKUP($B50,[3]Sheet1!$B$8:$CF$451,14,0)</f>
        <v>440</v>
      </c>
      <c r="E50" s="175">
        <f>VLOOKUP($B50,[3]Sheet1!$B$8:$CF$451,15,0)</f>
        <v>480</v>
      </c>
      <c r="F50" s="175">
        <f>VLOOKUP($B50,[3]Sheet1!$B$8:$CF$451,16,0)</f>
        <v>600</v>
      </c>
      <c r="G50" s="175">
        <f>VLOOKUP($B50,[3]Sheet1!$B$8:$CF$451,17,0)</f>
        <v>560</v>
      </c>
      <c r="H50" s="175">
        <f>VLOOKUP($B50,[3]Sheet1!$B$8:$CF$451,18,0)</f>
        <v>0</v>
      </c>
      <c r="I50" s="175">
        <f t="shared" si="10"/>
        <v>2080</v>
      </c>
      <c r="J50" s="176">
        <f>'QTY '!Q50</f>
        <v>2080</v>
      </c>
      <c r="K50" s="176">
        <f t="shared" si="11"/>
        <v>0</v>
      </c>
      <c r="L50" s="177"/>
      <c r="M50" s="175">
        <f>VLOOKUP($B50,[3]Sheet1!$B$8:$CF$451,20,0)</f>
        <v>680</v>
      </c>
      <c r="N50" s="175">
        <f>VLOOKUP($B50,[3]Sheet1!$B$8:$CF$451,21,0)</f>
        <v>480</v>
      </c>
      <c r="O50" s="175">
        <f>VLOOKUP($B50,[3]Sheet1!$B$8:$CF$451,22,0)</f>
        <v>0</v>
      </c>
      <c r="P50" s="175">
        <f>VLOOKUP($B50,[3]Sheet1!$B$8:$CF$451,23,0)</f>
        <v>720</v>
      </c>
      <c r="Q50" s="175">
        <f>VLOOKUP($B50,[3]Sheet1!$B$8:$CF$451,24,0)</f>
        <v>0</v>
      </c>
      <c r="R50" s="175">
        <f t="shared" si="12"/>
        <v>1880</v>
      </c>
      <c r="S50" s="175">
        <f>'QTY '!T50</f>
        <v>1880</v>
      </c>
      <c r="T50" s="176">
        <f t="shared" si="13"/>
        <v>0</v>
      </c>
      <c r="U50" s="178"/>
      <c r="V50" s="175">
        <f>+VLOOKUP($B50,[3]Sheet1!$B$8:$CF$406,26,0)</f>
        <v>600</v>
      </c>
      <c r="W50" s="175">
        <f>+VLOOKUP($B50,[3]Sheet1!$B$8:$CF$406,27,0)</f>
        <v>480</v>
      </c>
      <c r="X50" s="175">
        <f>+VLOOKUP($B50,[3]Sheet1!$B$8:$CF$406,28,0)</f>
        <v>520</v>
      </c>
      <c r="Y50" s="175">
        <f>+VLOOKUP($B50,[3]Sheet1!$B$8:$CF$406,29,0)</f>
        <v>440</v>
      </c>
      <c r="Z50" s="175">
        <f>+VLOOKUP($B50,[3]Sheet1!$B$8:$CF$406,30,0)</f>
        <v>0</v>
      </c>
      <c r="AA50" s="175">
        <f t="shared" si="14"/>
        <v>2040</v>
      </c>
      <c r="AB50" s="175">
        <f>'QTY '!W50</f>
        <v>2040</v>
      </c>
      <c r="AC50" s="175">
        <f t="shared" si="15"/>
        <v>0</v>
      </c>
      <c r="AD50" s="178"/>
      <c r="AE50" s="175">
        <f>+VLOOKUP($B50,[3]Sheet1!$B$8:$CF$406,32,0)</f>
        <v>480</v>
      </c>
      <c r="AF50" s="175">
        <f>+VLOOKUP($B50,[3]Sheet1!$B$8:$CF$406,33,0)</f>
        <v>480</v>
      </c>
      <c r="AG50" s="175">
        <f>+VLOOKUP($B50,[3]Sheet1!$B$8:$CF$406,34,0)</f>
        <v>480</v>
      </c>
      <c r="AH50" s="175">
        <f>+VLOOKUP($B50,[3]Sheet1!$B$8:$CF$406,35,0)</f>
        <v>480</v>
      </c>
      <c r="AI50" s="175">
        <f>+VLOOKUP($B50,[3]Sheet1!$B$8:$CF$406,36,0)</f>
        <v>0</v>
      </c>
      <c r="AJ50" s="175">
        <f t="shared" si="16"/>
        <v>1920</v>
      </c>
      <c r="AK50" s="175">
        <f>'QTY '!Z50</f>
        <v>1920</v>
      </c>
      <c r="AL50" s="175">
        <f t="shared" si="17"/>
        <v>0</v>
      </c>
      <c r="AM50" s="178"/>
      <c r="AN50" s="175">
        <f t="shared" si="18"/>
        <v>480</v>
      </c>
      <c r="AO50" s="175">
        <f t="shared" si="19"/>
        <v>480</v>
      </c>
      <c r="AP50" s="175">
        <f t="shared" si="20"/>
        <v>480</v>
      </c>
      <c r="AQ50" s="175">
        <f t="shared" si="21"/>
        <v>480</v>
      </c>
      <c r="AR50" s="175"/>
      <c r="AS50" s="175">
        <f t="shared" si="22"/>
        <v>1920</v>
      </c>
      <c r="AT50" s="175">
        <f>'QTY '!AC50</f>
        <v>1920</v>
      </c>
      <c r="AU50" s="175">
        <f t="shared" si="23"/>
        <v>0</v>
      </c>
      <c r="AV50" s="178"/>
      <c r="AW50" s="180"/>
      <c r="AX50" s="180"/>
      <c r="AY50" s="180"/>
      <c r="AZ50" s="180"/>
      <c r="BA50" s="180"/>
    </row>
    <row r="51" spans="1:53" ht="18" customHeight="1">
      <c r="A51" s="237">
        <f>+'QTY '!B51</f>
        <v>0</v>
      </c>
      <c r="B51" s="237" t="str">
        <f>+'QTY '!E51</f>
        <v>BC111-16R90-1   0001</v>
      </c>
      <c r="C51" s="209" t="str">
        <f>'QTY '!F51</f>
        <v>BC 059J</v>
      </c>
      <c r="D51" s="175">
        <f>VLOOKUP($B51,[3]Sheet1!$B$8:$CF$451,14,0)</f>
        <v>260</v>
      </c>
      <c r="E51" s="175">
        <f>VLOOKUP($B51,[3]Sheet1!$B$8:$CF$451,15,0)</f>
        <v>320</v>
      </c>
      <c r="F51" s="175">
        <f>VLOOKUP($B51,[3]Sheet1!$B$8:$CF$451,16,0)</f>
        <v>400</v>
      </c>
      <c r="G51" s="175">
        <f>VLOOKUP($B51,[3]Sheet1!$B$8:$CF$451,17,0)</f>
        <v>400</v>
      </c>
      <c r="H51" s="175">
        <f>VLOOKUP($B51,[3]Sheet1!$B$8:$CF$451,18,0)</f>
        <v>0</v>
      </c>
      <c r="I51" s="175">
        <f t="shared" si="10"/>
        <v>1380</v>
      </c>
      <c r="J51" s="176">
        <f>'QTY '!Q51</f>
        <v>1380</v>
      </c>
      <c r="K51" s="176">
        <f t="shared" si="11"/>
        <v>0</v>
      </c>
      <c r="L51" s="177"/>
      <c r="M51" s="175">
        <f>VLOOKUP($B51,[3]Sheet1!$B$8:$CF$451,20,0)</f>
        <v>460</v>
      </c>
      <c r="N51" s="175">
        <f>VLOOKUP($B51,[3]Sheet1!$B$8:$CF$451,21,0)</f>
        <v>320</v>
      </c>
      <c r="O51" s="175">
        <f>VLOOKUP($B51,[3]Sheet1!$B$8:$CF$451,22,0)</f>
        <v>0</v>
      </c>
      <c r="P51" s="175">
        <f>VLOOKUP($B51,[3]Sheet1!$B$8:$CF$451,23,0)</f>
        <v>480</v>
      </c>
      <c r="Q51" s="175">
        <f>VLOOKUP($B51,[3]Sheet1!$B$8:$CF$451,24,0)</f>
        <v>0</v>
      </c>
      <c r="R51" s="175">
        <f t="shared" si="12"/>
        <v>1260</v>
      </c>
      <c r="S51" s="175">
        <f>'QTY '!T51</f>
        <v>1260</v>
      </c>
      <c r="T51" s="176">
        <f t="shared" si="13"/>
        <v>0</v>
      </c>
      <c r="U51" s="178"/>
      <c r="V51" s="175">
        <f>+VLOOKUP($B51,[3]Sheet1!$B$8:$CF$406,26,0)</f>
        <v>380</v>
      </c>
      <c r="W51" s="175">
        <f>+VLOOKUP($B51,[3]Sheet1!$B$8:$CF$406,27,0)</f>
        <v>300</v>
      </c>
      <c r="X51" s="175">
        <f>+VLOOKUP($B51,[3]Sheet1!$B$8:$CF$406,28,0)</f>
        <v>360</v>
      </c>
      <c r="Y51" s="175">
        <f>+VLOOKUP($B51,[3]Sheet1!$B$8:$CF$406,29,0)</f>
        <v>300</v>
      </c>
      <c r="Z51" s="175">
        <f>+VLOOKUP($B51,[3]Sheet1!$B$8:$CF$406,30,0)</f>
        <v>0</v>
      </c>
      <c r="AA51" s="175">
        <f t="shared" si="14"/>
        <v>1340</v>
      </c>
      <c r="AB51" s="175">
        <f>'QTY '!W51</f>
        <v>1340</v>
      </c>
      <c r="AC51" s="175">
        <f t="shared" si="15"/>
        <v>0</v>
      </c>
      <c r="AD51" s="178"/>
      <c r="AE51" s="175">
        <f>+VLOOKUP($B51,[3]Sheet1!$B$8:$CF$406,32,0)</f>
        <v>305</v>
      </c>
      <c r="AF51" s="175">
        <f>+VLOOKUP($B51,[3]Sheet1!$B$8:$CF$406,33,0)</f>
        <v>305</v>
      </c>
      <c r="AG51" s="175">
        <f>+VLOOKUP($B51,[3]Sheet1!$B$8:$CF$406,34,0)</f>
        <v>305</v>
      </c>
      <c r="AH51" s="175">
        <f>+VLOOKUP($B51,[3]Sheet1!$B$8:$CF$406,35,0)</f>
        <v>305</v>
      </c>
      <c r="AI51" s="175">
        <f>+VLOOKUP($B51,[3]Sheet1!$B$8:$CF$406,36,0)</f>
        <v>0</v>
      </c>
      <c r="AJ51" s="175">
        <f t="shared" si="16"/>
        <v>1220</v>
      </c>
      <c r="AK51" s="175">
        <f>'QTY '!Z51</f>
        <v>1220</v>
      </c>
      <c r="AL51" s="175">
        <f t="shared" si="17"/>
        <v>0</v>
      </c>
      <c r="AM51" s="178"/>
      <c r="AN51" s="175">
        <f t="shared" si="18"/>
        <v>305</v>
      </c>
      <c r="AO51" s="175">
        <f t="shared" si="19"/>
        <v>305</v>
      </c>
      <c r="AP51" s="175">
        <f t="shared" si="20"/>
        <v>305</v>
      </c>
      <c r="AQ51" s="175">
        <f t="shared" si="21"/>
        <v>305</v>
      </c>
      <c r="AR51" s="175"/>
      <c r="AS51" s="175">
        <f t="shared" si="22"/>
        <v>1220</v>
      </c>
      <c r="AT51" s="175">
        <f>'QTY '!AC51</f>
        <v>1220</v>
      </c>
      <c r="AU51" s="175">
        <f t="shared" si="23"/>
        <v>0</v>
      </c>
      <c r="AV51" s="178"/>
      <c r="AW51" s="180"/>
      <c r="AX51" s="180"/>
      <c r="AY51" s="180"/>
      <c r="AZ51" s="180"/>
      <c r="BA51" s="180"/>
    </row>
    <row r="52" spans="1:53" ht="18" customHeight="1">
      <c r="A52" s="237">
        <f>+'QTY '!B52</f>
        <v>0</v>
      </c>
      <c r="B52" s="237" t="str">
        <f>+'QTY '!E52</f>
        <v>DC111-V3G90 B 0101</v>
      </c>
      <c r="C52" s="209" t="str">
        <f>'QTY '!F52</f>
        <v>559D</v>
      </c>
      <c r="D52" s="175">
        <f>VLOOKUP($B52,[3]Sheet1!$B$8:$CF$451,14,0)</f>
        <v>40</v>
      </c>
      <c r="E52" s="175">
        <f>VLOOKUP($B52,[3]Sheet1!$B$8:$CF$451,15,0)</f>
        <v>0</v>
      </c>
      <c r="F52" s="175">
        <f>VLOOKUP($B52,[3]Sheet1!$B$8:$CF$451,16,0)</f>
        <v>0</v>
      </c>
      <c r="G52" s="175">
        <f>VLOOKUP($B52,[3]Sheet1!$B$8:$CF$451,17,0)</f>
        <v>0</v>
      </c>
      <c r="H52" s="175">
        <f>VLOOKUP($B52,[3]Sheet1!$B$8:$CF$451,18,0)</f>
        <v>0</v>
      </c>
      <c r="I52" s="175">
        <f t="shared" si="10"/>
        <v>40</v>
      </c>
      <c r="J52" s="176">
        <f>'QTY '!Q52</f>
        <v>40</v>
      </c>
      <c r="K52" s="176">
        <f t="shared" si="11"/>
        <v>0</v>
      </c>
      <c r="L52" s="177"/>
      <c r="M52" s="175">
        <f>VLOOKUP($B52,[3]Sheet1!$B$8:$CF$451,20,0)</f>
        <v>0</v>
      </c>
      <c r="N52" s="175">
        <f>VLOOKUP($B52,[3]Sheet1!$B$8:$CF$451,21,0)</f>
        <v>0</v>
      </c>
      <c r="O52" s="175">
        <f>VLOOKUP($B52,[3]Sheet1!$B$8:$CF$451,22,0)</f>
        <v>0</v>
      </c>
      <c r="P52" s="175">
        <f>VLOOKUP($B52,[3]Sheet1!$B$8:$CF$451,23,0)</f>
        <v>40</v>
      </c>
      <c r="Q52" s="175">
        <f>VLOOKUP($B52,[3]Sheet1!$B$8:$CF$451,24,0)</f>
        <v>0</v>
      </c>
      <c r="R52" s="175">
        <f t="shared" si="12"/>
        <v>40</v>
      </c>
      <c r="S52" s="175">
        <f>'QTY '!T52</f>
        <v>40</v>
      </c>
      <c r="T52" s="176">
        <f t="shared" si="13"/>
        <v>0</v>
      </c>
      <c r="U52" s="178"/>
      <c r="V52" s="175">
        <f>+VLOOKUP($B52,[3]Sheet1!$B$8:$CF$406,26,0)</f>
        <v>0</v>
      </c>
      <c r="W52" s="175">
        <f>+VLOOKUP($B52,[3]Sheet1!$B$8:$CF$406,27,0)</f>
        <v>0</v>
      </c>
      <c r="X52" s="175">
        <f>+VLOOKUP($B52,[3]Sheet1!$B$8:$CF$406,28,0)</f>
        <v>0</v>
      </c>
      <c r="Y52" s="175">
        <f>+VLOOKUP($B52,[3]Sheet1!$B$8:$CF$406,29,0)</f>
        <v>0</v>
      </c>
      <c r="Z52" s="175">
        <f>+VLOOKUP($B52,[3]Sheet1!$B$8:$CF$406,30,0)</f>
        <v>0</v>
      </c>
      <c r="AA52" s="175">
        <f t="shared" si="14"/>
        <v>0</v>
      </c>
      <c r="AB52" s="175">
        <f>'QTY '!W52</f>
        <v>0</v>
      </c>
      <c r="AC52" s="175">
        <f t="shared" si="15"/>
        <v>0</v>
      </c>
      <c r="AD52" s="178"/>
      <c r="AE52" s="175">
        <f>+VLOOKUP($B52,[3]Sheet1!$B$8:$CF$406,32,0)</f>
        <v>0</v>
      </c>
      <c r="AF52" s="175">
        <f>+VLOOKUP($B52,[3]Sheet1!$B$8:$CF$406,33,0)</f>
        <v>0</v>
      </c>
      <c r="AG52" s="175">
        <f>+VLOOKUP($B52,[3]Sheet1!$B$8:$CF$406,34,0)</f>
        <v>0</v>
      </c>
      <c r="AH52" s="175">
        <f>+VLOOKUP($B52,[3]Sheet1!$B$8:$CF$406,35,0)</f>
        <v>0</v>
      </c>
      <c r="AI52" s="175">
        <f>+VLOOKUP($B52,[3]Sheet1!$B$8:$CF$406,36,0)</f>
        <v>0</v>
      </c>
      <c r="AJ52" s="175">
        <f t="shared" si="16"/>
        <v>0</v>
      </c>
      <c r="AK52" s="175">
        <f>'QTY '!Z52</f>
        <v>0</v>
      </c>
      <c r="AL52" s="175">
        <f t="shared" si="17"/>
        <v>0</v>
      </c>
      <c r="AM52" s="178"/>
      <c r="AN52" s="175">
        <f t="shared" si="18"/>
        <v>0</v>
      </c>
      <c r="AO52" s="175">
        <f t="shared" si="19"/>
        <v>0</v>
      </c>
      <c r="AP52" s="175">
        <f t="shared" si="20"/>
        <v>0</v>
      </c>
      <c r="AQ52" s="175">
        <f t="shared" si="21"/>
        <v>0</v>
      </c>
      <c r="AR52" s="175"/>
      <c r="AS52" s="175">
        <f t="shared" si="22"/>
        <v>0</v>
      </c>
      <c r="AT52" s="175">
        <f>'QTY '!AC52</f>
        <v>0</v>
      </c>
      <c r="AU52" s="175">
        <f t="shared" si="23"/>
        <v>0</v>
      </c>
      <c r="AV52" s="178"/>
      <c r="AW52" s="180"/>
      <c r="AX52" s="180"/>
      <c r="AY52" s="180"/>
      <c r="AZ52" s="180"/>
      <c r="BA52" s="180"/>
    </row>
    <row r="53" spans="1:53" ht="18" customHeight="1">
      <c r="A53" s="237">
        <f>+'QTY '!B53</f>
        <v>0</v>
      </c>
      <c r="B53" s="237" t="str">
        <f>+'QTY '!E53</f>
        <v>DC111-V3C10 B 0101</v>
      </c>
      <c r="C53" s="209" t="str">
        <f>'QTY '!F53</f>
        <v>559D</v>
      </c>
      <c r="D53" s="175">
        <f>VLOOKUP($B53,[3]Sheet1!$B$8:$CF$451,14,0)</f>
        <v>80</v>
      </c>
      <c r="E53" s="175">
        <f>VLOOKUP($B53,[3]Sheet1!$B$8:$CF$451,15,0)</f>
        <v>80</v>
      </c>
      <c r="F53" s="175">
        <f>VLOOKUP($B53,[3]Sheet1!$B$8:$CF$451,16,0)</f>
        <v>120</v>
      </c>
      <c r="G53" s="175">
        <f>VLOOKUP($B53,[3]Sheet1!$B$8:$CF$451,17,0)</f>
        <v>80</v>
      </c>
      <c r="H53" s="175">
        <f>VLOOKUP($B53,[3]Sheet1!$B$8:$CF$451,18,0)</f>
        <v>0</v>
      </c>
      <c r="I53" s="175">
        <f t="shared" si="10"/>
        <v>360</v>
      </c>
      <c r="J53" s="176">
        <f>'QTY '!Q53</f>
        <v>360</v>
      </c>
      <c r="K53" s="176">
        <f t="shared" si="11"/>
        <v>0</v>
      </c>
      <c r="L53" s="177"/>
      <c r="M53" s="175">
        <f>VLOOKUP($B53,[3]Sheet1!$B$8:$CF$451,20,0)</f>
        <v>120</v>
      </c>
      <c r="N53" s="175">
        <f>VLOOKUP($B53,[3]Sheet1!$B$8:$CF$451,21,0)</f>
        <v>80</v>
      </c>
      <c r="O53" s="175">
        <f>VLOOKUP($B53,[3]Sheet1!$B$8:$CF$451,22,0)</f>
        <v>0</v>
      </c>
      <c r="P53" s="175">
        <f>VLOOKUP($B53,[3]Sheet1!$B$8:$CF$451,23,0)</f>
        <v>80</v>
      </c>
      <c r="Q53" s="175">
        <f>VLOOKUP($B53,[3]Sheet1!$B$8:$CF$451,24,0)</f>
        <v>0</v>
      </c>
      <c r="R53" s="175">
        <f t="shared" si="12"/>
        <v>280</v>
      </c>
      <c r="S53" s="175">
        <f>'QTY '!T53</f>
        <v>280</v>
      </c>
      <c r="T53" s="176">
        <f t="shared" si="13"/>
        <v>0</v>
      </c>
      <c r="U53" s="178"/>
      <c r="V53" s="175">
        <f>+VLOOKUP($B53,[3]Sheet1!$B$8:$CF$406,26,0)</f>
        <v>80</v>
      </c>
      <c r="W53" s="175">
        <f>+VLOOKUP($B53,[3]Sheet1!$B$8:$CF$406,27,0)</f>
        <v>80</v>
      </c>
      <c r="X53" s="175">
        <f>+VLOOKUP($B53,[3]Sheet1!$B$8:$CF$406,28,0)</f>
        <v>80</v>
      </c>
      <c r="Y53" s="175">
        <f>+VLOOKUP($B53,[3]Sheet1!$B$8:$CF$406,29,0)</f>
        <v>120</v>
      </c>
      <c r="Z53" s="175">
        <f>+VLOOKUP($B53,[3]Sheet1!$B$8:$CF$406,30,0)</f>
        <v>0</v>
      </c>
      <c r="AA53" s="175">
        <f t="shared" si="14"/>
        <v>360</v>
      </c>
      <c r="AB53" s="175">
        <f>'QTY '!W53</f>
        <v>360</v>
      </c>
      <c r="AC53" s="175">
        <f t="shared" si="15"/>
        <v>0</v>
      </c>
      <c r="AD53" s="178"/>
      <c r="AE53" s="175">
        <f>+VLOOKUP($B53,[3]Sheet1!$B$8:$CF$406,32,0)</f>
        <v>150</v>
      </c>
      <c r="AF53" s="175">
        <f>+VLOOKUP($B53,[3]Sheet1!$B$8:$CF$406,33,0)</f>
        <v>150</v>
      </c>
      <c r="AG53" s="175">
        <f>+VLOOKUP($B53,[3]Sheet1!$B$8:$CF$406,34,0)</f>
        <v>150</v>
      </c>
      <c r="AH53" s="175">
        <f>+VLOOKUP($B53,[3]Sheet1!$B$8:$CF$406,35,0)</f>
        <v>150</v>
      </c>
      <c r="AI53" s="175">
        <f>+VLOOKUP($B53,[3]Sheet1!$B$8:$CF$406,36,0)</f>
        <v>0</v>
      </c>
      <c r="AJ53" s="175">
        <f t="shared" si="16"/>
        <v>600</v>
      </c>
      <c r="AK53" s="175">
        <f>'QTY '!Z53</f>
        <v>600</v>
      </c>
      <c r="AL53" s="175">
        <f t="shared" si="17"/>
        <v>0</v>
      </c>
      <c r="AM53" s="178"/>
      <c r="AN53" s="175">
        <f t="shared" si="18"/>
        <v>150</v>
      </c>
      <c r="AO53" s="175">
        <f t="shared" si="19"/>
        <v>150</v>
      </c>
      <c r="AP53" s="175">
        <f t="shared" si="20"/>
        <v>150</v>
      </c>
      <c r="AQ53" s="175">
        <f t="shared" si="21"/>
        <v>150</v>
      </c>
      <c r="AR53" s="175"/>
      <c r="AS53" s="175">
        <f t="shared" si="22"/>
        <v>600</v>
      </c>
      <c r="AT53" s="175">
        <f>'QTY '!AC53</f>
        <v>600</v>
      </c>
      <c r="AU53" s="175">
        <f t="shared" si="23"/>
        <v>0</v>
      </c>
      <c r="AV53" s="178"/>
      <c r="AW53" s="180"/>
      <c r="AX53" s="180"/>
      <c r="AY53" s="180"/>
      <c r="AZ53" s="180"/>
      <c r="BA53" s="180"/>
    </row>
    <row r="54" spans="1:53" ht="18" customHeight="1">
      <c r="A54" s="237">
        <f>+'QTY '!B54</f>
        <v>0</v>
      </c>
      <c r="B54" s="237" t="str">
        <f>+'QTY '!E54</f>
        <v>DC111-V3C50 B 0101</v>
      </c>
      <c r="C54" s="209" t="str">
        <f>'QTY '!F54</f>
        <v>559D</v>
      </c>
      <c r="D54" s="175">
        <f>VLOOKUP($B54,[3]Sheet1!$B$8:$CF$451,14,0)</f>
        <v>920</v>
      </c>
      <c r="E54" s="175">
        <f>VLOOKUP($B54,[3]Sheet1!$B$8:$CF$451,15,0)</f>
        <v>920</v>
      </c>
      <c r="F54" s="175">
        <f>VLOOKUP($B54,[3]Sheet1!$B$8:$CF$451,16,0)</f>
        <v>1160</v>
      </c>
      <c r="G54" s="175">
        <f>VLOOKUP($B54,[3]Sheet1!$B$8:$CF$451,17,0)</f>
        <v>1160</v>
      </c>
      <c r="H54" s="175">
        <f>VLOOKUP($B54,[3]Sheet1!$B$8:$CF$451,18,0)</f>
        <v>0</v>
      </c>
      <c r="I54" s="175">
        <f t="shared" si="10"/>
        <v>4160</v>
      </c>
      <c r="J54" s="176">
        <f>'QTY '!Q54</f>
        <v>4160</v>
      </c>
      <c r="K54" s="176">
        <f t="shared" si="11"/>
        <v>0</v>
      </c>
      <c r="L54" s="177"/>
      <c r="M54" s="175">
        <f>VLOOKUP($B54,[3]Sheet1!$B$8:$CF$451,20,0)</f>
        <v>1400</v>
      </c>
      <c r="N54" s="175">
        <f>VLOOKUP($B54,[3]Sheet1!$B$8:$CF$451,21,0)</f>
        <v>880</v>
      </c>
      <c r="O54" s="175">
        <f>VLOOKUP($B54,[3]Sheet1!$B$8:$CF$451,22,0)</f>
        <v>0</v>
      </c>
      <c r="P54" s="175">
        <f>VLOOKUP($B54,[3]Sheet1!$B$8:$CF$451,23,0)</f>
        <v>1320</v>
      </c>
      <c r="Q54" s="175">
        <f>VLOOKUP($B54,[3]Sheet1!$B$8:$CF$451,24,0)</f>
        <v>0</v>
      </c>
      <c r="R54" s="175">
        <f t="shared" si="12"/>
        <v>3600</v>
      </c>
      <c r="S54" s="175">
        <f>'QTY '!T54</f>
        <v>3600</v>
      </c>
      <c r="T54" s="176">
        <f t="shared" si="13"/>
        <v>0</v>
      </c>
      <c r="U54" s="178"/>
      <c r="V54" s="175">
        <f>+VLOOKUP($B54,[3]Sheet1!$B$8:$CF$406,26,0)</f>
        <v>1120</v>
      </c>
      <c r="W54" s="175">
        <f>+VLOOKUP($B54,[3]Sheet1!$B$8:$CF$406,27,0)</f>
        <v>840</v>
      </c>
      <c r="X54" s="175">
        <f>+VLOOKUP($B54,[3]Sheet1!$B$8:$CF$406,28,0)</f>
        <v>1040</v>
      </c>
      <c r="Y54" s="175">
        <f>+VLOOKUP($B54,[3]Sheet1!$B$8:$CF$406,29,0)</f>
        <v>880</v>
      </c>
      <c r="Z54" s="175">
        <f>+VLOOKUP($B54,[3]Sheet1!$B$8:$CF$406,30,0)</f>
        <v>0</v>
      </c>
      <c r="AA54" s="175">
        <f t="shared" si="14"/>
        <v>3880</v>
      </c>
      <c r="AB54" s="175">
        <f>'QTY '!W54</f>
        <v>3880</v>
      </c>
      <c r="AC54" s="175">
        <f t="shared" si="15"/>
        <v>0</v>
      </c>
      <c r="AD54" s="178"/>
      <c r="AE54" s="175">
        <f>+VLOOKUP($B54,[3]Sheet1!$B$8:$CF$406,32,0)</f>
        <v>1090</v>
      </c>
      <c r="AF54" s="175">
        <f>+VLOOKUP($B54,[3]Sheet1!$B$8:$CF$406,33,0)</f>
        <v>1090</v>
      </c>
      <c r="AG54" s="175">
        <f>+VLOOKUP($B54,[3]Sheet1!$B$8:$CF$406,34,0)</f>
        <v>1090</v>
      </c>
      <c r="AH54" s="175">
        <f>+VLOOKUP($B54,[3]Sheet1!$B$8:$CF$406,35,0)</f>
        <v>1090</v>
      </c>
      <c r="AI54" s="175">
        <f>+VLOOKUP($B54,[3]Sheet1!$B$8:$CF$406,36,0)</f>
        <v>0</v>
      </c>
      <c r="AJ54" s="175">
        <f t="shared" si="16"/>
        <v>4360</v>
      </c>
      <c r="AK54" s="175">
        <f>'QTY '!Z54</f>
        <v>4360</v>
      </c>
      <c r="AL54" s="175">
        <f t="shared" si="17"/>
        <v>0</v>
      </c>
      <c r="AM54" s="178"/>
      <c r="AN54" s="175">
        <f t="shared" si="18"/>
        <v>1090</v>
      </c>
      <c r="AO54" s="175">
        <f t="shared" si="19"/>
        <v>1090</v>
      </c>
      <c r="AP54" s="175">
        <f t="shared" si="20"/>
        <v>1090</v>
      </c>
      <c r="AQ54" s="175">
        <f t="shared" si="21"/>
        <v>1090</v>
      </c>
      <c r="AR54" s="175"/>
      <c r="AS54" s="175">
        <f t="shared" si="22"/>
        <v>4360</v>
      </c>
      <c r="AT54" s="175">
        <f>'QTY '!AC54</f>
        <v>4360</v>
      </c>
      <c r="AU54" s="175">
        <f t="shared" si="23"/>
        <v>0</v>
      </c>
      <c r="AV54" s="178"/>
      <c r="AW54" s="180"/>
      <c r="AX54" s="180"/>
      <c r="AY54" s="180"/>
      <c r="AZ54" s="180"/>
      <c r="BA54" s="180"/>
    </row>
    <row r="55" spans="1:53" ht="18" customHeight="1">
      <c r="A55" s="237">
        <f>+'QTY '!B55</f>
        <v>0</v>
      </c>
      <c r="B55" s="237" t="str">
        <f>+'QTY '!E55</f>
        <v>BC111-1KU50-2   0001</v>
      </c>
      <c r="C55" s="209" t="str">
        <f>'QTY '!F55</f>
        <v>559D</v>
      </c>
      <c r="D55" s="175">
        <f>VLOOKUP($B55,[3]Sheet1!$B$8:$CF$451,14,0)</f>
        <v>0</v>
      </c>
      <c r="E55" s="175">
        <f>VLOOKUP($B55,[3]Sheet1!$B$8:$CF$451,15,0)</f>
        <v>0</v>
      </c>
      <c r="F55" s="175">
        <f>VLOOKUP($B55,[3]Sheet1!$B$8:$CF$451,16,0)</f>
        <v>0</v>
      </c>
      <c r="G55" s="175">
        <f>VLOOKUP($B55,[3]Sheet1!$B$8:$CF$451,17,0)</f>
        <v>60</v>
      </c>
      <c r="H55" s="175">
        <f>VLOOKUP($B55,[3]Sheet1!$B$8:$CF$451,18,0)</f>
        <v>0</v>
      </c>
      <c r="I55" s="175">
        <f t="shared" ref="I55" si="29">SUM(D55:H55)</f>
        <v>60</v>
      </c>
      <c r="J55" s="176">
        <f>'QTY '!Q55</f>
        <v>60</v>
      </c>
      <c r="K55" s="176">
        <f t="shared" ref="K55" si="30">ROUNDUP((J55-I55)/$D$4,0)</f>
        <v>0</v>
      </c>
      <c r="L55" s="177"/>
      <c r="M55" s="175">
        <f>VLOOKUP($B55,[3]Sheet1!$B$8:$CF$451,20,0)</f>
        <v>0</v>
      </c>
      <c r="N55" s="175">
        <f>VLOOKUP($B55,[3]Sheet1!$B$8:$CF$451,21,0)</f>
        <v>0</v>
      </c>
      <c r="O55" s="175">
        <f>VLOOKUP($B55,[3]Sheet1!$B$8:$CF$451,22,0)</f>
        <v>0</v>
      </c>
      <c r="P55" s="175">
        <f>VLOOKUP($B55,[3]Sheet1!$B$8:$CF$451,23,0)</f>
        <v>0</v>
      </c>
      <c r="Q55" s="175">
        <f>VLOOKUP($B55,[3]Sheet1!$B$8:$CF$451,24,0)</f>
        <v>0</v>
      </c>
      <c r="R55" s="175">
        <f t="shared" ref="R55" si="31">SUM(M55:Q55)</f>
        <v>0</v>
      </c>
      <c r="S55" s="175">
        <f>'QTY '!T55</f>
        <v>0</v>
      </c>
      <c r="T55" s="176">
        <f t="shared" ref="T55" si="32">ROUNDUP((S55-R55)/$M$4,0)</f>
        <v>0</v>
      </c>
      <c r="U55" s="178"/>
      <c r="V55" s="175">
        <f>+VLOOKUP($B55,[3]Sheet1!$B$8:$CF$406,26,0)</f>
        <v>60</v>
      </c>
      <c r="W55" s="175">
        <f>+VLOOKUP($B55,[3]Sheet1!$B$8:$CF$406,27,0)</f>
        <v>0</v>
      </c>
      <c r="X55" s="175">
        <f>+VLOOKUP($B55,[3]Sheet1!$B$8:$CF$406,28,0)</f>
        <v>0</v>
      </c>
      <c r="Y55" s="175">
        <f>+VLOOKUP($B55,[3]Sheet1!$B$8:$CF$406,29,0)</f>
        <v>0</v>
      </c>
      <c r="Z55" s="175">
        <f>+VLOOKUP($B55,[3]Sheet1!$B$8:$CF$406,30,0)</f>
        <v>0</v>
      </c>
      <c r="AA55" s="175">
        <f t="shared" ref="AA55" si="33">SUM(V55:Z55)</f>
        <v>60</v>
      </c>
      <c r="AB55" s="175">
        <f>'QTY '!W55</f>
        <v>60</v>
      </c>
      <c r="AC55" s="175">
        <f t="shared" ref="AC55" si="34">ROUNDUP((AB55-AA55)/$V$4,0)</f>
        <v>0</v>
      </c>
      <c r="AD55" s="178"/>
      <c r="AE55" s="175">
        <f>+VLOOKUP($B55,[3]Sheet1!$B$8:$CF$406,32,0)</f>
        <v>15</v>
      </c>
      <c r="AF55" s="175">
        <f>+VLOOKUP($B55,[3]Sheet1!$B$8:$CF$406,33,0)</f>
        <v>15</v>
      </c>
      <c r="AG55" s="175">
        <f>+VLOOKUP($B55,[3]Sheet1!$B$8:$CF$406,34,0)</f>
        <v>15</v>
      </c>
      <c r="AH55" s="175">
        <f>+VLOOKUP($B55,[3]Sheet1!$B$8:$CF$406,35,0)</f>
        <v>15</v>
      </c>
      <c r="AI55" s="175">
        <f>+VLOOKUP($B55,[3]Sheet1!$B$8:$CF$406,36,0)</f>
        <v>0</v>
      </c>
      <c r="AJ55" s="175">
        <f t="shared" ref="AJ55" si="35">SUM(AE55:AI55)</f>
        <v>60</v>
      </c>
      <c r="AK55" s="175">
        <f>'QTY '!Z55</f>
        <v>60</v>
      </c>
      <c r="AL55" s="175">
        <f t="shared" ref="AL55" si="36">ROUNDUP((AK55-AJ55)/$AE$4,0)</f>
        <v>0</v>
      </c>
      <c r="AM55" s="178"/>
      <c r="AN55" s="175">
        <f t="shared" ref="AN55" si="37">+AE55</f>
        <v>15</v>
      </c>
      <c r="AO55" s="175">
        <f t="shared" ref="AO55" si="38">+AF55</f>
        <v>15</v>
      </c>
      <c r="AP55" s="175">
        <f t="shared" ref="AP55" si="39">+AG55</f>
        <v>15</v>
      </c>
      <c r="AQ55" s="175">
        <f t="shared" ref="AQ55" si="40">+AH55</f>
        <v>15</v>
      </c>
      <c r="AR55" s="175"/>
      <c r="AS55" s="175">
        <f t="shared" ref="AS55" si="41">SUM(AN55:AR55)</f>
        <v>60</v>
      </c>
      <c r="AT55" s="175">
        <f>'QTY '!AC55</f>
        <v>60</v>
      </c>
      <c r="AU55" s="175">
        <f t="shared" ref="AU55" si="42">ROUNDUP((AT55-AS55)/$AN$4,0)</f>
        <v>0</v>
      </c>
      <c r="AV55" s="178"/>
      <c r="AW55" s="180"/>
      <c r="AX55" s="180"/>
      <c r="AY55" s="180"/>
      <c r="AZ55" s="180"/>
      <c r="BA55" s="180"/>
    </row>
    <row r="56" spans="1:53" ht="18" customHeight="1">
      <c r="A56" s="237" t="str">
        <f>+'QTY '!B56</f>
        <v>JN111-62063-3</v>
      </c>
      <c r="B56" s="237" t="str">
        <f>+'QTY '!E56</f>
        <v>JN111-62063-3   0002</v>
      </c>
      <c r="C56" s="209">
        <f>'QTY '!F56</f>
        <v>0</v>
      </c>
      <c r="D56" s="175">
        <f>VLOOKUP($B56,[3]Sheet1!$B$8:$CF$451,14,0)</f>
        <v>0</v>
      </c>
      <c r="E56" s="175">
        <f>VLOOKUP($B56,[3]Sheet1!$B$8:$CF$451,15,0)</f>
        <v>0</v>
      </c>
      <c r="F56" s="175">
        <f>VLOOKUP($B56,[3]Sheet1!$B$8:$CF$451,16,0)</f>
        <v>0</v>
      </c>
      <c r="G56" s="175">
        <f>VLOOKUP($B56,[3]Sheet1!$B$8:$CF$451,17,0)</f>
        <v>0</v>
      </c>
      <c r="H56" s="175">
        <f>VLOOKUP($B56,[3]Sheet1!$B$8:$CF$451,18,0)</f>
        <v>0</v>
      </c>
      <c r="I56" s="175">
        <f t="shared" ref="I56:I84" si="43">SUM(D56:H56)</f>
        <v>0</v>
      </c>
      <c r="J56" s="176">
        <f>'QTY '!Q56</f>
        <v>0</v>
      </c>
      <c r="K56" s="176">
        <f t="shared" ref="K56:K84" si="44">ROUNDUP((J56-I56)/$D$4,0)</f>
        <v>0</v>
      </c>
      <c r="L56" s="177"/>
      <c r="M56" s="175">
        <f>VLOOKUP($B56,[3]Sheet1!$B$8:$CF$451,20,0)</f>
        <v>0</v>
      </c>
      <c r="N56" s="175">
        <f>VLOOKUP($B56,[3]Sheet1!$B$8:$CF$451,21,0)</f>
        <v>0</v>
      </c>
      <c r="O56" s="175">
        <f>VLOOKUP($B56,[3]Sheet1!$B$8:$CF$451,22,0)</f>
        <v>0</v>
      </c>
      <c r="P56" s="175">
        <f>VLOOKUP($B56,[3]Sheet1!$B$8:$CF$451,23,0)</f>
        <v>0</v>
      </c>
      <c r="Q56" s="175">
        <f>VLOOKUP($B56,[3]Sheet1!$B$8:$CF$451,24,0)</f>
        <v>0</v>
      </c>
      <c r="R56" s="175">
        <f t="shared" ref="R56:R84" si="45">SUM(M56:Q56)</f>
        <v>0</v>
      </c>
      <c r="S56" s="175">
        <f>'QTY '!T56</f>
        <v>0</v>
      </c>
      <c r="T56" s="176">
        <f t="shared" ref="T56:T84" si="46">ROUNDUP((S56-R56)/$M$4,0)</f>
        <v>0</v>
      </c>
      <c r="U56" s="178"/>
      <c r="V56" s="175">
        <f>+VLOOKUP($B56,[3]Sheet1!$B$8:$CF$406,26,0)</f>
        <v>0</v>
      </c>
      <c r="W56" s="175">
        <f>+VLOOKUP($B56,[3]Sheet1!$B$8:$CF$406,27,0)</f>
        <v>0</v>
      </c>
      <c r="X56" s="175">
        <f>+VLOOKUP($B56,[3]Sheet1!$B$8:$CF$406,28,0)</f>
        <v>0</v>
      </c>
      <c r="Y56" s="175">
        <f>+VLOOKUP($B56,[3]Sheet1!$B$8:$CF$406,29,0)</f>
        <v>0</v>
      </c>
      <c r="Z56" s="175">
        <f>+VLOOKUP($B56,[3]Sheet1!$B$8:$CF$406,30,0)</f>
        <v>0</v>
      </c>
      <c r="AA56" s="175">
        <f t="shared" ref="AA56:AA84" si="47">SUM(V56:Z56)</f>
        <v>0</v>
      </c>
      <c r="AB56" s="175">
        <f>'QTY '!W56</f>
        <v>0</v>
      </c>
      <c r="AC56" s="175">
        <f t="shared" ref="AC56:AC84" si="48">ROUNDUP((AB56-AA56)/$V$4,0)</f>
        <v>0</v>
      </c>
      <c r="AD56" s="178"/>
      <c r="AE56" s="175">
        <f>+VLOOKUP($B56,[3]Sheet1!$B$8:$CF$406,32,0)</f>
        <v>0</v>
      </c>
      <c r="AF56" s="175">
        <f>+VLOOKUP($B56,[3]Sheet1!$B$8:$CF$406,33,0)</f>
        <v>0</v>
      </c>
      <c r="AG56" s="175">
        <f>+VLOOKUP($B56,[3]Sheet1!$B$8:$CF$406,34,0)</f>
        <v>0</v>
      </c>
      <c r="AH56" s="175">
        <f>+VLOOKUP($B56,[3]Sheet1!$B$8:$CF$406,35,0)</f>
        <v>0</v>
      </c>
      <c r="AI56" s="175">
        <f>+VLOOKUP($B56,[3]Sheet1!$B$8:$CF$406,36,0)</f>
        <v>0</v>
      </c>
      <c r="AJ56" s="175">
        <f t="shared" ref="AJ56:AJ84" si="49">SUM(AE56:AI56)</f>
        <v>0</v>
      </c>
      <c r="AK56" s="175">
        <f>'QTY '!Z56</f>
        <v>0</v>
      </c>
      <c r="AL56" s="175">
        <f t="shared" ref="AL56:AL84" si="50">ROUNDUP((AK56-AJ56)/$AE$4,0)</f>
        <v>0</v>
      </c>
      <c r="AM56" s="178"/>
      <c r="AN56" s="175">
        <f t="shared" ref="AN56:AN84" si="51">+AE56</f>
        <v>0</v>
      </c>
      <c r="AO56" s="175">
        <f t="shared" ref="AO56:AO84" si="52">+AF56</f>
        <v>0</v>
      </c>
      <c r="AP56" s="175">
        <f t="shared" ref="AP56:AP84" si="53">+AG56</f>
        <v>0</v>
      </c>
      <c r="AQ56" s="175">
        <f t="shared" ref="AQ56:AQ84" si="54">+AH56</f>
        <v>0</v>
      </c>
      <c r="AR56" s="175"/>
      <c r="AS56" s="175">
        <f t="shared" ref="AS56:AS84" si="55">SUM(AN56:AR56)</f>
        <v>0</v>
      </c>
      <c r="AT56" s="175">
        <f>'QTY '!AC56</f>
        <v>0</v>
      </c>
      <c r="AU56" s="175">
        <f t="shared" ref="AU56:AU84" si="56">ROUNDUP((AT56-AS56)/$AN$4,0)</f>
        <v>0</v>
      </c>
      <c r="AV56" s="178"/>
      <c r="AW56" s="180"/>
      <c r="AX56" s="180"/>
      <c r="AY56" s="180"/>
      <c r="AZ56" s="180"/>
      <c r="BA56" s="180"/>
    </row>
    <row r="57" spans="1:53" ht="18" customHeight="1">
      <c r="A57" s="237" t="str">
        <f>+'QTY '!B57</f>
        <v>JN111-62063-4</v>
      </c>
      <c r="B57" s="237" t="str">
        <f>+'QTY '!E57</f>
        <v>JN111-62063-4   0002</v>
      </c>
      <c r="C57" s="209">
        <f>'QTY '!F57</f>
        <v>0</v>
      </c>
      <c r="D57" s="175">
        <f>VLOOKUP($B57,[3]Sheet1!$B$8:$CF$451,14,0)</f>
        <v>0</v>
      </c>
      <c r="E57" s="175">
        <f>VLOOKUP($B57,[3]Sheet1!$B$8:$CF$451,15,0)</f>
        <v>0</v>
      </c>
      <c r="F57" s="175">
        <f>VLOOKUP($B57,[3]Sheet1!$B$8:$CF$451,16,0)</f>
        <v>0</v>
      </c>
      <c r="G57" s="175">
        <f>VLOOKUP($B57,[3]Sheet1!$B$8:$CF$451,17,0)</f>
        <v>0</v>
      </c>
      <c r="H57" s="175">
        <f>VLOOKUP($B57,[3]Sheet1!$B$8:$CF$451,18,0)</f>
        <v>0</v>
      </c>
      <c r="I57" s="175">
        <f t="shared" si="43"/>
        <v>0</v>
      </c>
      <c r="J57" s="176">
        <f>'QTY '!Q57</f>
        <v>0</v>
      </c>
      <c r="K57" s="176">
        <f t="shared" si="44"/>
        <v>0</v>
      </c>
      <c r="L57" s="177"/>
      <c r="M57" s="175">
        <f>VLOOKUP($B57,[3]Sheet1!$B$8:$CF$451,20,0)</f>
        <v>0</v>
      </c>
      <c r="N57" s="175">
        <f>VLOOKUP($B57,[3]Sheet1!$B$8:$CF$451,21,0)</f>
        <v>0</v>
      </c>
      <c r="O57" s="175">
        <f>VLOOKUP($B57,[3]Sheet1!$B$8:$CF$451,22,0)</f>
        <v>0</v>
      </c>
      <c r="P57" s="175">
        <f>VLOOKUP($B57,[3]Sheet1!$B$8:$CF$451,23,0)</f>
        <v>0</v>
      </c>
      <c r="Q57" s="175">
        <f>VLOOKUP($B57,[3]Sheet1!$B$8:$CF$451,24,0)</f>
        <v>0</v>
      </c>
      <c r="R57" s="175">
        <f t="shared" si="45"/>
        <v>0</v>
      </c>
      <c r="S57" s="175">
        <f>'QTY '!T57</f>
        <v>0</v>
      </c>
      <c r="T57" s="176">
        <f t="shared" si="46"/>
        <v>0</v>
      </c>
      <c r="U57" s="178"/>
      <c r="V57" s="175">
        <f>+VLOOKUP($B57,[3]Sheet1!$B$8:$CF$406,26,0)</f>
        <v>0</v>
      </c>
      <c r="W57" s="175">
        <f>+VLOOKUP($B57,[3]Sheet1!$B$8:$CF$406,27,0)</f>
        <v>0</v>
      </c>
      <c r="X57" s="175">
        <f>+VLOOKUP($B57,[3]Sheet1!$B$8:$CF$406,28,0)</f>
        <v>0</v>
      </c>
      <c r="Y57" s="175">
        <f>+VLOOKUP($B57,[3]Sheet1!$B$8:$CF$406,29,0)</f>
        <v>0</v>
      </c>
      <c r="Z57" s="175">
        <f>+VLOOKUP($B57,[3]Sheet1!$B$8:$CF$406,30,0)</f>
        <v>0</v>
      </c>
      <c r="AA57" s="175">
        <f t="shared" si="47"/>
        <v>0</v>
      </c>
      <c r="AB57" s="175">
        <f>'QTY '!W57</f>
        <v>0</v>
      </c>
      <c r="AC57" s="175">
        <f t="shared" si="48"/>
        <v>0</v>
      </c>
      <c r="AD57" s="178"/>
      <c r="AE57" s="175">
        <f>+VLOOKUP($B57,[3]Sheet1!$B$8:$CF$406,32,0)</f>
        <v>0</v>
      </c>
      <c r="AF57" s="175">
        <f>+VLOOKUP($B57,[3]Sheet1!$B$8:$CF$406,33,0)</f>
        <v>0</v>
      </c>
      <c r="AG57" s="175">
        <f>+VLOOKUP($B57,[3]Sheet1!$B$8:$CF$406,34,0)</f>
        <v>0</v>
      </c>
      <c r="AH57" s="175">
        <f>+VLOOKUP($B57,[3]Sheet1!$B$8:$CF$406,35,0)</f>
        <v>0</v>
      </c>
      <c r="AI57" s="175">
        <f>+VLOOKUP($B57,[3]Sheet1!$B$8:$CF$406,36,0)</f>
        <v>0</v>
      </c>
      <c r="AJ57" s="175">
        <f t="shared" si="49"/>
        <v>0</v>
      </c>
      <c r="AK57" s="175">
        <f>'QTY '!Z57</f>
        <v>0</v>
      </c>
      <c r="AL57" s="175">
        <f t="shared" si="50"/>
        <v>0</v>
      </c>
      <c r="AM57" s="178"/>
      <c r="AN57" s="175">
        <f t="shared" si="51"/>
        <v>0</v>
      </c>
      <c r="AO57" s="175">
        <f t="shared" si="52"/>
        <v>0</v>
      </c>
      <c r="AP57" s="175">
        <f t="shared" si="53"/>
        <v>0</v>
      </c>
      <c r="AQ57" s="175">
        <f t="shared" si="54"/>
        <v>0</v>
      </c>
      <c r="AR57" s="175"/>
      <c r="AS57" s="175">
        <f t="shared" si="55"/>
        <v>0</v>
      </c>
      <c r="AT57" s="175">
        <f>'QTY '!AC57</f>
        <v>0</v>
      </c>
      <c r="AU57" s="175">
        <f t="shared" si="56"/>
        <v>0</v>
      </c>
      <c r="AV57" s="178"/>
      <c r="AW57" s="180"/>
      <c r="AX57" s="180"/>
      <c r="AY57" s="180"/>
      <c r="AZ57" s="180"/>
      <c r="BA57" s="180"/>
    </row>
    <row r="58" spans="1:53" s="220" customFormat="1" ht="18" customHeight="1">
      <c r="A58" s="237" t="str">
        <f>+'QTY '!B58</f>
        <v>JN111-62093-3</v>
      </c>
      <c r="B58" s="237" t="str">
        <f>+'QTY '!E58</f>
        <v>JN111-62093-3   0002</v>
      </c>
      <c r="C58" s="209">
        <f>'QTY '!F58</f>
        <v>0</v>
      </c>
      <c r="D58" s="175">
        <f>VLOOKUP($B58,[3]Sheet1!$B$8:$CF$451,14,0)</f>
        <v>0</v>
      </c>
      <c r="E58" s="175">
        <f>VLOOKUP($B58,[3]Sheet1!$B$8:$CF$451,15,0)</f>
        <v>0</v>
      </c>
      <c r="F58" s="175">
        <f>VLOOKUP($B58,[3]Sheet1!$B$8:$CF$451,16,0)</f>
        <v>0</v>
      </c>
      <c r="G58" s="175">
        <f>VLOOKUP($B58,[3]Sheet1!$B$8:$CF$451,17,0)</f>
        <v>0</v>
      </c>
      <c r="H58" s="175">
        <f>VLOOKUP($B58,[3]Sheet1!$B$8:$CF$451,18,0)</f>
        <v>0</v>
      </c>
      <c r="I58" s="175">
        <f t="shared" si="43"/>
        <v>0</v>
      </c>
      <c r="J58" s="176">
        <f>'QTY '!Q58</f>
        <v>0</v>
      </c>
      <c r="K58" s="176">
        <f t="shared" si="44"/>
        <v>0</v>
      </c>
      <c r="L58" s="177"/>
      <c r="M58" s="175">
        <f>VLOOKUP($B58,[3]Sheet1!$B$8:$CF$451,20,0)</f>
        <v>0</v>
      </c>
      <c r="N58" s="175">
        <f>VLOOKUP($B58,[3]Sheet1!$B$8:$CF$451,21,0)</f>
        <v>0</v>
      </c>
      <c r="O58" s="175">
        <f>VLOOKUP($B58,[3]Sheet1!$B$8:$CF$451,22,0)</f>
        <v>0</v>
      </c>
      <c r="P58" s="175">
        <f>VLOOKUP($B58,[3]Sheet1!$B$8:$CF$451,23,0)</f>
        <v>0</v>
      </c>
      <c r="Q58" s="175">
        <f>VLOOKUP($B58,[3]Sheet1!$B$8:$CF$451,24,0)</f>
        <v>0</v>
      </c>
      <c r="R58" s="175">
        <f t="shared" si="45"/>
        <v>0</v>
      </c>
      <c r="S58" s="175">
        <f>'QTY '!T58</f>
        <v>0</v>
      </c>
      <c r="T58" s="176">
        <f t="shared" si="46"/>
        <v>0</v>
      </c>
      <c r="U58" s="178"/>
      <c r="V58" s="175">
        <f>+VLOOKUP($B58,[3]Sheet1!$B$8:$CF$406,26,0)</f>
        <v>0</v>
      </c>
      <c r="W58" s="175">
        <f>+VLOOKUP($B58,[3]Sheet1!$B$8:$CF$406,27,0)</f>
        <v>0</v>
      </c>
      <c r="X58" s="175">
        <f>+VLOOKUP($B58,[3]Sheet1!$B$8:$CF$406,28,0)</f>
        <v>0</v>
      </c>
      <c r="Y58" s="175">
        <f>+VLOOKUP($B58,[3]Sheet1!$B$8:$CF$406,29,0)</f>
        <v>0</v>
      </c>
      <c r="Z58" s="175">
        <f>+VLOOKUP($B58,[3]Sheet1!$B$8:$CF$406,30,0)</f>
        <v>0</v>
      </c>
      <c r="AA58" s="175">
        <f t="shared" si="47"/>
        <v>0</v>
      </c>
      <c r="AB58" s="175">
        <f>'QTY '!W58</f>
        <v>0</v>
      </c>
      <c r="AC58" s="175">
        <f t="shared" si="48"/>
        <v>0</v>
      </c>
      <c r="AD58" s="178"/>
      <c r="AE58" s="175">
        <f>+VLOOKUP($B58,[3]Sheet1!$B$8:$CF$406,32,0)</f>
        <v>0</v>
      </c>
      <c r="AF58" s="175">
        <f>+VLOOKUP($B58,[3]Sheet1!$B$8:$CF$406,33,0)</f>
        <v>0</v>
      </c>
      <c r="AG58" s="175">
        <f>+VLOOKUP($B58,[3]Sheet1!$B$8:$CF$406,34,0)</f>
        <v>0</v>
      </c>
      <c r="AH58" s="175">
        <f>+VLOOKUP($B58,[3]Sheet1!$B$8:$CF$406,35,0)</f>
        <v>0</v>
      </c>
      <c r="AI58" s="175">
        <f>+VLOOKUP($B58,[3]Sheet1!$B$8:$CF$406,36,0)</f>
        <v>0</v>
      </c>
      <c r="AJ58" s="175">
        <f t="shared" si="49"/>
        <v>0</v>
      </c>
      <c r="AK58" s="175">
        <f>'QTY '!Z58</f>
        <v>0</v>
      </c>
      <c r="AL58" s="175">
        <f t="shared" si="50"/>
        <v>0</v>
      </c>
      <c r="AM58" s="178"/>
      <c r="AN58" s="175">
        <f t="shared" si="51"/>
        <v>0</v>
      </c>
      <c r="AO58" s="175">
        <f t="shared" si="52"/>
        <v>0</v>
      </c>
      <c r="AP58" s="175">
        <f t="shared" si="53"/>
        <v>0</v>
      </c>
      <c r="AQ58" s="175">
        <f t="shared" si="54"/>
        <v>0</v>
      </c>
      <c r="AR58" s="175"/>
      <c r="AS58" s="175">
        <f t="shared" si="55"/>
        <v>0</v>
      </c>
      <c r="AT58" s="175">
        <f>'QTY '!AC58</f>
        <v>0</v>
      </c>
      <c r="AU58" s="175">
        <f t="shared" si="56"/>
        <v>0</v>
      </c>
      <c r="AV58" s="178"/>
    </row>
    <row r="59" spans="1:53" ht="18" customHeight="1">
      <c r="A59" s="237" t="str">
        <f>+'QTY '!B59</f>
        <v>JN111-62093-4</v>
      </c>
      <c r="B59" s="237" t="str">
        <f>+'QTY '!E59</f>
        <v>JN111-62093-4   0002</v>
      </c>
      <c r="C59" s="209">
        <f>'QTY '!F59</f>
        <v>0</v>
      </c>
      <c r="D59" s="175">
        <f>VLOOKUP($B59,[3]Sheet1!$B$8:$CF$451,14,0)</f>
        <v>0</v>
      </c>
      <c r="E59" s="175">
        <f>VLOOKUP($B59,[3]Sheet1!$B$8:$CF$451,15,0)</f>
        <v>0</v>
      </c>
      <c r="F59" s="175">
        <f>VLOOKUP($B59,[3]Sheet1!$B$8:$CF$451,16,0)</f>
        <v>0</v>
      </c>
      <c r="G59" s="175">
        <f>VLOOKUP($B59,[3]Sheet1!$B$8:$CF$451,17,0)</f>
        <v>0</v>
      </c>
      <c r="H59" s="175">
        <f>VLOOKUP($B59,[3]Sheet1!$B$8:$CF$451,18,0)</f>
        <v>0</v>
      </c>
      <c r="I59" s="175">
        <f t="shared" si="43"/>
        <v>0</v>
      </c>
      <c r="J59" s="176">
        <f>'QTY '!Q59</f>
        <v>0</v>
      </c>
      <c r="K59" s="176">
        <f t="shared" si="44"/>
        <v>0</v>
      </c>
      <c r="L59" s="177"/>
      <c r="M59" s="175">
        <f>VLOOKUP($B59,[3]Sheet1!$B$8:$CF$451,20,0)</f>
        <v>0</v>
      </c>
      <c r="N59" s="175">
        <f>VLOOKUP($B59,[3]Sheet1!$B$8:$CF$451,21,0)</f>
        <v>0</v>
      </c>
      <c r="O59" s="175">
        <f>VLOOKUP($B59,[3]Sheet1!$B$8:$CF$451,22,0)</f>
        <v>0</v>
      </c>
      <c r="P59" s="175">
        <f>VLOOKUP($B59,[3]Sheet1!$B$8:$CF$451,23,0)</f>
        <v>0</v>
      </c>
      <c r="Q59" s="175">
        <f>VLOOKUP($B59,[3]Sheet1!$B$8:$CF$451,24,0)</f>
        <v>0</v>
      </c>
      <c r="R59" s="175">
        <f t="shared" si="45"/>
        <v>0</v>
      </c>
      <c r="S59" s="175">
        <f>'QTY '!T59</f>
        <v>0</v>
      </c>
      <c r="T59" s="176">
        <f t="shared" si="46"/>
        <v>0</v>
      </c>
      <c r="U59" s="178"/>
      <c r="V59" s="175">
        <f>+VLOOKUP($B59,[3]Sheet1!$B$8:$CF$406,26,0)</f>
        <v>0</v>
      </c>
      <c r="W59" s="175">
        <f>+VLOOKUP($B59,[3]Sheet1!$B$8:$CF$406,27,0)</f>
        <v>0</v>
      </c>
      <c r="X59" s="175">
        <f>+VLOOKUP($B59,[3]Sheet1!$B$8:$CF$406,28,0)</f>
        <v>0</v>
      </c>
      <c r="Y59" s="175">
        <f>+VLOOKUP($B59,[3]Sheet1!$B$8:$CF$406,29,0)</f>
        <v>0</v>
      </c>
      <c r="Z59" s="175">
        <f>+VLOOKUP($B59,[3]Sheet1!$B$8:$CF$406,30,0)</f>
        <v>0</v>
      </c>
      <c r="AA59" s="175">
        <f t="shared" si="47"/>
        <v>0</v>
      </c>
      <c r="AB59" s="175">
        <f>'QTY '!W59</f>
        <v>0</v>
      </c>
      <c r="AC59" s="175">
        <f t="shared" si="48"/>
        <v>0</v>
      </c>
      <c r="AD59" s="178"/>
      <c r="AE59" s="175">
        <f>+VLOOKUP($B59,[3]Sheet1!$B$8:$CF$406,32,0)</f>
        <v>0</v>
      </c>
      <c r="AF59" s="175">
        <f>+VLOOKUP($B59,[3]Sheet1!$B$8:$CF$406,33,0)</f>
        <v>0</v>
      </c>
      <c r="AG59" s="175">
        <f>+VLOOKUP($B59,[3]Sheet1!$B$8:$CF$406,34,0)</f>
        <v>0</v>
      </c>
      <c r="AH59" s="175">
        <f>+VLOOKUP($B59,[3]Sheet1!$B$8:$CF$406,35,0)</f>
        <v>0</v>
      </c>
      <c r="AI59" s="175">
        <f>+VLOOKUP($B59,[3]Sheet1!$B$8:$CF$406,36,0)</f>
        <v>0</v>
      </c>
      <c r="AJ59" s="175">
        <f t="shared" si="49"/>
        <v>0</v>
      </c>
      <c r="AK59" s="175">
        <f>'QTY '!Z59</f>
        <v>0</v>
      </c>
      <c r="AL59" s="175">
        <f t="shared" si="50"/>
        <v>0</v>
      </c>
      <c r="AM59" s="178"/>
      <c r="AN59" s="175">
        <f t="shared" si="51"/>
        <v>0</v>
      </c>
      <c r="AO59" s="175">
        <f t="shared" si="52"/>
        <v>0</v>
      </c>
      <c r="AP59" s="175">
        <f t="shared" si="53"/>
        <v>0</v>
      </c>
      <c r="AQ59" s="175">
        <f t="shared" si="54"/>
        <v>0</v>
      </c>
      <c r="AR59" s="175"/>
      <c r="AS59" s="175">
        <f t="shared" si="55"/>
        <v>0</v>
      </c>
      <c r="AT59" s="175">
        <f>'QTY '!AC59</f>
        <v>0</v>
      </c>
      <c r="AU59" s="175">
        <f t="shared" si="56"/>
        <v>0</v>
      </c>
      <c r="AV59" s="178"/>
    </row>
    <row r="60" spans="1:53" ht="18" customHeight="1">
      <c r="A60" s="237" t="str">
        <f>+'QTY '!B60</f>
        <v>BC111-5DR50-1</v>
      </c>
      <c r="B60" s="237" t="str">
        <f>+'QTY '!E60</f>
        <v>BC111-5DR50-1 B 0001</v>
      </c>
      <c r="C60" s="209">
        <f>'QTY '!F60</f>
        <v>0</v>
      </c>
      <c r="D60" s="175">
        <f>VLOOKUP($B60,[3]Sheet1!$B$8:$CF$451,14,0)</f>
        <v>0</v>
      </c>
      <c r="E60" s="175">
        <f>VLOOKUP($B60,[3]Sheet1!$B$8:$CF$451,15,0)</f>
        <v>0</v>
      </c>
      <c r="F60" s="175">
        <f>VLOOKUP($B60,[3]Sheet1!$B$8:$CF$451,16,0)</f>
        <v>0</v>
      </c>
      <c r="G60" s="175">
        <f>VLOOKUP($B60,[3]Sheet1!$B$8:$CF$451,17,0)</f>
        <v>0</v>
      </c>
      <c r="H60" s="175">
        <f>VLOOKUP($B60,[3]Sheet1!$B$8:$CF$451,18,0)</f>
        <v>0</v>
      </c>
      <c r="I60" s="175">
        <f t="shared" si="43"/>
        <v>0</v>
      </c>
      <c r="J60" s="176">
        <f>'QTY '!Q60</f>
        <v>0</v>
      </c>
      <c r="K60" s="176">
        <f t="shared" si="44"/>
        <v>0</v>
      </c>
      <c r="L60" s="177"/>
      <c r="M60" s="175">
        <f>VLOOKUP($B60,[3]Sheet1!$B$8:$CF$451,20,0)</f>
        <v>0</v>
      </c>
      <c r="N60" s="175">
        <f>VLOOKUP($B60,[3]Sheet1!$B$8:$CF$451,21,0)</f>
        <v>0</v>
      </c>
      <c r="O60" s="175">
        <f>VLOOKUP($B60,[3]Sheet1!$B$8:$CF$451,22,0)</f>
        <v>0</v>
      </c>
      <c r="P60" s="175">
        <f>VLOOKUP($B60,[3]Sheet1!$B$8:$CF$451,23,0)</f>
        <v>0</v>
      </c>
      <c r="Q60" s="175">
        <f>VLOOKUP($B60,[3]Sheet1!$B$8:$CF$451,24,0)</f>
        <v>0</v>
      </c>
      <c r="R60" s="175">
        <f t="shared" si="45"/>
        <v>0</v>
      </c>
      <c r="S60" s="175">
        <f>'QTY '!T60</f>
        <v>0</v>
      </c>
      <c r="T60" s="176">
        <f t="shared" si="46"/>
        <v>0</v>
      </c>
      <c r="U60" s="178"/>
      <c r="V60" s="175">
        <f>+VLOOKUP($B60,[3]Sheet1!$B$8:$CF$406,26,0)</f>
        <v>0</v>
      </c>
      <c r="W60" s="175">
        <f>+VLOOKUP($B60,[3]Sheet1!$B$8:$CF$406,27,0)</f>
        <v>0</v>
      </c>
      <c r="X60" s="175">
        <f>+VLOOKUP($B60,[3]Sheet1!$B$8:$CF$406,28,0)</f>
        <v>0</v>
      </c>
      <c r="Y60" s="175">
        <f>+VLOOKUP($B60,[3]Sheet1!$B$8:$CF$406,29,0)</f>
        <v>0</v>
      </c>
      <c r="Z60" s="175">
        <f>+VLOOKUP($B60,[3]Sheet1!$B$8:$CF$406,30,0)</f>
        <v>0</v>
      </c>
      <c r="AA60" s="175">
        <f t="shared" si="47"/>
        <v>0</v>
      </c>
      <c r="AB60" s="175">
        <f>'QTY '!W60</f>
        <v>0</v>
      </c>
      <c r="AC60" s="175">
        <f t="shared" si="48"/>
        <v>0</v>
      </c>
      <c r="AD60" s="178"/>
      <c r="AE60" s="175">
        <f>+VLOOKUP($B60,[3]Sheet1!$B$8:$CF$406,32,0)</f>
        <v>0</v>
      </c>
      <c r="AF60" s="175">
        <f>+VLOOKUP($B60,[3]Sheet1!$B$8:$CF$406,33,0)</f>
        <v>0</v>
      </c>
      <c r="AG60" s="175">
        <f>+VLOOKUP($B60,[3]Sheet1!$B$8:$CF$406,34,0)</f>
        <v>0</v>
      </c>
      <c r="AH60" s="175">
        <f>+VLOOKUP($B60,[3]Sheet1!$B$8:$CF$406,35,0)</f>
        <v>0</v>
      </c>
      <c r="AI60" s="175">
        <f>+VLOOKUP($B60,[3]Sheet1!$B$8:$CF$406,36,0)</f>
        <v>0</v>
      </c>
      <c r="AJ60" s="175">
        <f t="shared" si="49"/>
        <v>0</v>
      </c>
      <c r="AK60" s="175">
        <f>'QTY '!Z60</f>
        <v>0</v>
      </c>
      <c r="AL60" s="175">
        <f t="shared" si="50"/>
        <v>0</v>
      </c>
      <c r="AM60" s="178"/>
      <c r="AN60" s="175">
        <f t="shared" si="51"/>
        <v>0</v>
      </c>
      <c r="AO60" s="175">
        <f t="shared" si="52"/>
        <v>0</v>
      </c>
      <c r="AP60" s="175">
        <f t="shared" si="53"/>
        <v>0</v>
      </c>
      <c r="AQ60" s="175">
        <f t="shared" si="54"/>
        <v>0</v>
      </c>
      <c r="AR60" s="175"/>
      <c r="AS60" s="175">
        <f t="shared" si="55"/>
        <v>0</v>
      </c>
      <c r="AT60" s="175">
        <f>'QTY '!AC60</f>
        <v>0</v>
      </c>
      <c r="AU60" s="175">
        <f t="shared" si="56"/>
        <v>0</v>
      </c>
      <c r="AV60" s="178"/>
    </row>
    <row r="61" spans="1:53" ht="18" customHeight="1">
      <c r="A61" s="237" t="str">
        <f>+'QTY '!B61</f>
        <v>BC111-5DR50-2</v>
      </c>
      <c r="B61" s="237" t="str">
        <f>+'QTY '!E61</f>
        <v>BC111-5DR50-2 B 0001</v>
      </c>
      <c r="C61" s="209">
        <f>'QTY '!F61</f>
        <v>0</v>
      </c>
      <c r="D61" s="175">
        <f>VLOOKUP($B61,[3]Sheet1!$B$8:$CF$451,14,0)</f>
        <v>0</v>
      </c>
      <c r="E61" s="175">
        <f>VLOOKUP($B61,[3]Sheet1!$B$8:$CF$451,15,0)</f>
        <v>0</v>
      </c>
      <c r="F61" s="175">
        <f>VLOOKUP($B61,[3]Sheet1!$B$8:$CF$451,16,0)</f>
        <v>0</v>
      </c>
      <c r="G61" s="175">
        <f>VLOOKUP($B61,[3]Sheet1!$B$8:$CF$451,17,0)</f>
        <v>0</v>
      </c>
      <c r="H61" s="175">
        <f>VLOOKUP($B61,[3]Sheet1!$B$8:$CF$451,18,0)</f>
        <v>0</v>
      </c>
      <c r="I61" s="175">
        <f t="shared" si="43"/>
        <v>0</v>
      </c>
      <c r="J61" s="176">
        <f>'QTY '!Q61</f>
        <v>0</v>
      </c>
      <c r="K61" s="176">
        <f t="shared" si="44"/>
        <v>0</v>
      </c>
      <c r="L61" s="177"/>
      <c r="M61" s="175">
        <f>VLOOKUP($B61,[3]Sheet1!$B$8:$CF$451,20,0)</f>
        <v>0</v>
      </c>
      <c r="N61" s="175">
        <f>VLOOKUP($B61,[3]Sheet1!$B$8:$CF$451,21,0)</f>
        <v>0</v>
      </c>
      <c r="O61" s="175">
        <f>VLOOKUP($B61,[3]Sheet1!$B$8:$CF$451,22,0)</f>
        <v>0</v>
      </c>
      <c r="P61" s="175">
        <f>VLOOKUP($B61,[3]Sheet1!$B$8:$CF$451,23,0)</f>
        <v>0</v>
      </c>
      <c r="Q61" s="175">
        <f>VLOOKUP($B61,[3]Sheet1!$B$8:$CF$451,24,0)</f>
        <v>0</v>
      </c>
      <c r="R61" s="175">
        <f t="shared" si="45"/>
        <v>0</v>
      </c>
      <c r="S61" s="175">
        <f>'QTY '!T61</f>
        <v>0</v>
      </c>
      <c r="T61" s="176">
        <f t="shared" si="46"/>
        <v>0</v>
      </c>
      <c r="U61" s="178"/>
      <c r="V61" s="175">
        <f>+VLOOKUP($B61,[3]Sheet1!$B$8:$CF$406,26,0)</f>
        <v>0</v>
      </c>
      <c r="W61" s="175">
        <f>+VLOOKUP($B61,[3]Sheet1!$B$8:$CF$406,27,0)</f>
        <v>0</v>
      </c>
      <c r="X61" s="175">
        <f>+VLOOKUP($B61,[3]Sheet1!$B$8:$CF$406,28,0)</f>
        <v>0</v>
      </c>
      <c r="Y61" s="175">
        <f>+VLOOKUP($B61,[3]Sheet1!$B$8:$CF$406,29,0)</f>
        <v>0</v>
      </c>
      <c r="Z61" s="175">
        <f>+VLOOKUP($B61,[3]Sheet1!$B$8:$CF$406,30,0)</f>
        <v>0</v>
      </c>
      <c r="AA61" s="175">
        <f t="shared" si="47"/>
        <v>0</v>
      </c>
      <c r="AB61" s="175">
        <f>'QTY '!W61</f>
        <v>0</v>
      </c>
      <c r="AC61" s="175">
        <f t="shared" si="48"/>
        <v>0</v>
      </c>
      <c r="AD61" s="178"/>
      <c r="AE61" s="175">
        <f>+VLOOKUP($B61,[3]Sheet1!$B$8:$CF$406,32,0)</f>
        <v>0</v>
      </c>
      <c r="AF61" s="175">
        <f>+VLOOKUP($B61,[3]Sheet1!$B$8:$CF$406,33,0)</f>
        <v>0</v>
      </c>
      <c r="AG61" s="175">
        <f>+VLOOKUP($B61,[3]Sheet1!$B$8:$CF$406,34,0)</f>
        <v>0</v>
      </c>
      <c r="AH61" s="175">
        <f>+VLOOKUP($B61,[3]Sheet1!$B$8:$CF$406,35,0)</f>
        <v>0</v>
      </c>
      <c r="AI61" s="175">
        <f>+VLOOKUP($B61,[3]Sheet1!$B$8:$CF$406,36,0)</f>
        <v>0</v>
      </c>
      <c r="AJ61" s="175">
        <f t="shared" si="49"/>
        <v>0</v>
      </c>
      <c r="AK61" s="175">
        <f>'QTY '!Z61</f>
        <v>0</v>
      </c>
      <c r="AL61" s="175">
        <f t="shared" si="50"/>
        <v>0</v>
      </c>
      <c r="AM61" s="178"/>
      <c r="AN61" s="175">
        <f t="shared" si="51"/>
        <v>0</v>
      </c>
      <c r="AO61" s="175">
        <f t="shared" si="52"/>
        <v>0</v>
      </c>
      <c r="AP61" s="175">
        <f t="shared" si="53"/>
        <v>0</v>
      </c>
      <c r="AQ61" s="175">
        <f t="shared" si="54"/>
        <v>0</v>
      </c>
      <c r="AR61" s="175"/>
      <c r="AS61" s="175">
        <f t="shared" si="55"/>
        <v>0</v>
      </c>
      <c r="AT61" s="175">
        <f>'QTY '!AC61</f>
        <v>0</v>
      </c>
      <c r="AU61" s="175">
        <f t="shared" si="56"/>
        <v>0</v>
      </c>
      <c r="AV61" s="178"/>
    </row>
    <row r="62" spans="1:53" ht="18" customHeight="1">
      <c r="A62" s="237" t="str">
        <f>+'QTY '!B62</f>
        <v>BC111-V1020-1</v>
      </c>
      <c r="B62" s="237" t="str">
        <f>+'QTY '!E62</f>
        <v>BC111-V1020-1 D 0101</v>
      </c>
      <c r="C62" s="209">
        <f>'QTY '!F62</f>
        <v>0</v>
      </c>
      <c r="D62" s="175">
        <f>VLOOKUP($B62,[3]Sheet1!$B$8:$CF$451,14,0)</f>
        <v>0</v>
      </c>
      <c r="E62" s="175">
        <f>VLOOKUP($B62,[3]Sheet1!$B$8:$CF$451,15,0)</f>
        <v>0</v>
      </c>
      <c r="F62" s="175">
        <f>VLOOKUP($B62,[3]Sheet1!$B$8:$CF$451,16,0)</f>
        <v>0</v>
      </c>
      <c r="G62" s="175">
        <f>VLOOKUP($B62,[3]Sheet1!$B$8:$CF$451,17,0)</f>
        <v>0</v>
      </c>
      <c r="H62" s="175">
        <f>VLOOKUP($B62,[3]Sheet1!$B$8:$CF$451,18,0)</f>
        <v>0</v>
      </c>
      <c r="I62" s="175">
        <f t="shared" si="43"/>
        <v>0</v>
      </c>
      <c r="J62" s="176">
        <f>'QTY '!Q62</f>
        <v>0</v>
      </c>
      <c r="K62" s="176">
        <f t="shared" si="44"/>
        <v>0</v>
      </c>
      <c r="L62" s="177"/>
      <c r="M62" s="175">
        <f>VLOOKUP($B62,[3]Sheet1!$B$8:$CF$451,20,0)</f>
        <v>120</v>
      </c>
      <c r="N62" s="175">
        <f>VLOOKUP($B62,[3]Sheet1!$B$8:$CF$451,21,0)</f>
        <v>120</v>
      </c>
      <c r="O62" s="175">
        <f>VLOOKUP($B62,[3]Sheet1!$B$8:$CF$451,22,0)</f>
        <v>0</v>
      </c>
      <c r="P62" s="175">
        <f>VLOOKUP($B62,[3]Sheet1!$B$8:$CF$451,23,0)</f>
        <v>120</v>
      </c>
      <c r="Q62" s="175">
        <f>VLOOKUP($B62,[3]Sheet1!$B$8:$CF$451,24,0)</f>
        <v>0</v>
      </c>
      <c r="R62" s="175">
        <f t="shared" si="45"/>
        <v>360</v>
      </c>
      <c r="S62" s="175">
        <f>'QTY '!T62</f>
        <v>360</v>
      </c>
      <c r="T62" s="176">
        <f t="shared" si="46"/>
        <v>0</v>
      </c>
      <c r="U62" s="178"/>
      <c r="V62" s="175">
        <f>+VLOOKUP($B62,[3]Sheet1!$B$8:$CF$406,26,0)</f>
        <v>120</v>
      </c>
      <c r="W62" s="175">
        <f>+VLOOKUP($B62,[3]Sheet1!$B$8:$CF$406,27,0)</f>
        <v>60</v>
      </c>
      <c r="X62" s="175">
        <f>+VLOOKUP($B62,[3]Sheet1!$B$8:$CF$406,28,0)</f>
        <v>120</v>
      </c>
      <c r="Y62" s="175">
        <f>+VLOOKUP($B62,[3]Sheet1!$B$8:$CF$406,29,0)</f>
        <v>60</v>
      </c>
      <c r="Z62" s="175">
        <f>+VLOOKUP($B62,[3]Sheet1!$B$8:$CF$406,30,0)</f>
        <v>0</v>
      </c>
      <c r="AA62" s="175">
        <f t="shared" si="47"/>
        <v>360</v>
      </c>
      <c r="AB62" s="175">
        <f>'QTY '!W62</f>
        <v>360</v>
      </c>
      <c r="AC62" s="175">
        <f t="shared" si="48"/>
        <v>0</v>
      </c>
      <c r="AD62" s="178"/>
      <c r="AE62" s="175">
        <f>+VLOOKUP($B62,[3]Sheet1!$B$8:$CF$406,32,0)</f>
        <v>90</v>
      </c>
      <c r="AF62" s="175">
        <f>+VLOOKUP($B62,[3]Sheet1!$B$8:$CF$406,33,0)</f>
        <v>90</v>
      </c>
      <c r="AG62" s="175">
        <f>+VLOOKUP($B62,[3]Sheet1!$B$8:$CF$406,34,0)</f>
        <v>90</v>
      </c>
      <c r="AH62" s="175">
        <f>+VLOOKUP($B62,[3]Sheet1!$B$8:$CF$406,35,0)</f>
        <v>90</v>
      </c>
      <c r="AI62" s="175">
        <f>+VLOOKUP($B62,[3]Sheet1!$B$8:$CF$406,36,0)</f>
        <v>0</v>
      </c>
      <c r="AJ62" s="175">
        <f t="shared" si="49"/>
        <v>360</v>
      </c>
      <c r="AK62" s="175">
        <f>'QTY '!Z62</f>
        <v>360</v>
      </c>
      <c r="AL62" s="175">
        <f t="shared" si="50"/>
        <v>0</v>
      </c>
      <c r="AM62" s="178"/>
      <c r="AN62" s="175">
        <f t="shared" si="51"/>
        <v>90</v>
      </c>
      <c r="AO62" s="175">
        <f t="shared" si="52"/>
        <v>90</v>
      </c>
      <c r="AP62" s="175">
        <f t="shared" si="53"/>
        <v>90</v>
      </c>
      <c r="AQ62" s="175">
        <f t="shared" si="54"/>
        <v>90</v>
      </c>
      <c r="AR62" s="175"/>
      <c r="AS62" s="175">
        <f t="shared" si="55"/>
        <v>360</v>
      </c>
      <c r="AT62" s="175">
        <f>'QTY '!AC62</f>
        <v>360</v>
      </c>
      <c r="AU62" s="175">
        <f t="shared" si="56"/>
        <v>0</v>
      </c>
      <c r="AV62" s="178"/>
    </row>
    <row r="63" spans="1:53" ht="18" customHeight="1">
      <c r="A63" s="237" t="str">
        <f>+'QTY '!B63</f>
        <v>BC111-V1100-1</v>
      </c>
      <c r="B63" s="237" t="str">
        <f>+'QTY '!E63</f>
        <v>BC111-V1100-1 G 0201</v>
      </c>
      <c r="C63" s="209">
        <f>'QTY '!F63</f>
        <v>0</v>
      </c>
      <c r="D63" s="175">
        <f>VLOOKUP($B63,[3]Sheet1!$B$8:$CF$451,14,0)</f>
        <v>2580</v>
      </c>
      <c r="E63" s="175">
        <f>VLOOKUP($B63,[3]Sheet1!$B$8:$CF$451,15,0)</f>
        <v>2640</v>
      </c>
      <c r="F63" s="175">
        <f>VLOOKUP($B63,[3]Sheet1!$B$8:$CF$451,16,0)</f>
        <v>2520</v>
      </c>
      <c r="G63" s="175">
        <f>VLOOKUP($B63,[3]Sheet1!$B$8:$CF$451,17,0)</f>
        <v>2520</v>
      </c>
      <c r="H63" s="175">
        <f>VLOOKUP($B63,[3]Sheet1!$B$8:$CF$451,18,0)</f>
        <v>0</v>
      </c>
      <c r="I63" s="175">
        <f t="shared" si="43"/>
        <v>10260</v>
      </c>
      <c r="J63" s="176">
        <f>'QTY '!Q63</f>
        <v>10260</v>
      </c>
      <c r="K63" s="176">
        <f t="shared" si="44"/>
        <v>0</v>
      </c>
      <c r="L63" s="177"/>
      <c r="M63" s="175">
        <f>VLOOKUP($B63,[3]Sheet1!$B$8:$CF$451,20,0)</f>
        <v>3000</v>
      </c>
      <c r="N63" s="175">
        <f>VLOOKUP($B63,[3]Sheet1!$B$8:$CF$451,21,0)</f>
        <v>2100</v>
      </c>
      <c r="O63" s="175">
        <f>VLOOKUP($B63,[3]Sheet1!$B$8:$CF$451,22,0)</f>
        <v>0</v>
      </c>
      <c r="P63" s="175">
        <f>VLOOKUP($B63,[3]Sheet1!$B$8:$CF$451,23,0)</f>
        <v>3240</v>
      </c>
      <c r="Q63" s="175">
        <f>VLOOKUP($B63,[3]Sheet1!$B$8:$CF$451,24,0)</f>
        <v>0</v>
      </c>
      <c r="R63" s="175">
        <f t="shared" si="45"/>
        <v>8340</v>
      </c>
      <c r="S63" s="175">
        <f>'QTY '!T63</f>
        <v>8340</v>
      </c>
      <c r="T63" s="176">
        <f t="shared" si="46"/>
        <v>0</v>
      </c>
      <c r="U63" s="178"/>
      <c r="V63" s="175">
        <f>+VLOOKUP($B63,[3]Sheet1!$B$8:$CF$406,26,0)</f>
        <v>2760</v>
      </c>
      <c r="W63" s="175">
        <f>+VLOOKUP($B63,[3]Sheet1!$B$8:$CF$406,27,0)</f>
        <v>2160</v>
      </c>
      <c r="X63" s="175">
        <f>+VLOOKUP($B63,[3]Sheet1!$B$8:$CF$406,28,0)</f>
        <v>2700</v>
      </c>
      <c r="Y63" s="175">
        <f>+VLOOKUP($B63,[3]Sheet1!$B$8:$CF$406,29,0)</f>
        <v>2640</v>
      </c>
      <c r="Z63" s="175">
        <f>+VLOOKUP($B63,[3]Sheet1!$B$8:$CF$406,30,0)</f>
        <v>0</v>
      </c>
      <c r="AA63" s="175">
        <f t="shared" si="47"/>
        <v>10260</v>
      </c>
      <c r="AB63" s="175">
        <f>'QTY '!W63</f>
        <v>10260</v>
      </c>
      <c r="AC63" s="175">
        <f t="shared" si="48"/>
        <v>0</v>
      </c>
      <c r="AD63" s="178"/>
      <c r="AE63" s="175">
        <f>+VLOOKUP($B63,[3]Sheet1!$B$8:$CF$406,32,0)</f>
        <v>2895</v>
      </c>
      <c r="AF63" s="175">
        <f>+VLOOKUP($B63,[3]Sheet1!$B$8:$CF$406,33,0)</f>
        <v>2895</v>
      </c>
      <c r="AG63" s="175">
        <f>+VLOOKUP($B63,[3]Sheet1!$B$8:$CF$406,34,0)</f>
        <v>2895</v>
      </c>
      <c r="AH63" s="175">
        <f>+VLOOKUP($B63,[3]Sheet1!$B$8:$CF$406,35,0)</f>
        <v>2895</v>
      </c>
      <c r="AI63" s="175">
        <f>+VLOOKUP($B63,[3]Sheet1!$B$8:$CF$406,36,0)</f>
        <v>0</v>
      </c>
      <c r="AJ63" s="175">
        <f t="shared" si="49"/>
        <v>11580</v>
      </c>
      <c r="AK63" s="175">
        <f>'QTY '!Z63</f>
        <v>11580</v>
      </c>
      <c r="AL63" s="175">
        <f t="shared" si="50"/>
        <v>0</v>
      </c>
      <c r="AM63" s="178"/>
      <c r="AN63" s="175">
        <f t="shared" si="51"/>
        <v>2895</v>
      </c>
      <c r="AO63" s="175">
        <f t="shared" si="52"/>
        <v>2895</v>
      </c>
      <c r="AP63" s="175">
        <f t="shared" si="53"/>
        <v>2895</v>
      </c>
      <c r="AQ63" s="175">
        <f t="shared" si="54"/>
        <v>2895</v>
      </c>
      <c r="AR63" s="175"/>
      <c r="AS63" s="175">
        <f t="shared" si="55"/>
        <v>11580</v>
      </c>
      <c r="AT63" s="175">
        <f>'QTY '!AC63</f>
        <v>11580</v>
      </c>
      <c r="AU63" s="175">
        <f t="shared" si="56"/>
        <v>0</v>
      </c>
      <c r="AV63" s="178"/>
    </row>
    <row r="64" spans="1:53" ht="18" customHeight="1">
      <c r="A64" s="237" t="str">
        <f>+'QTY '!B64</f>
        <v>BC111-1S130-1</v>
      </c>
      <c r="B64" s="237" t="str">
        <f>+'QTY '!E64</f>
        <v>BC111-1S130-1 D 0001</v>
      </c>
      <c r="C64" s="209">
        <f>'QTY '!F64</f>
        <v>0</v>
      </c>
      <c r="D64" s="175">
        <f>VLOOKUP($B64,[3]Sheet1!$B$8:$CF$451,14,0)</f>
        <v>0</v>
      </c>
      <c r="E64" s="175">
        <f>VLOOKUP($B64,[3]Sheet1!$B$8:$CF$451,15,0)</f>
        <v>0</v>
      </c>
      <c r="F64" s="175">
        <f>VLOOKUP($B64,[3]Sheet1!$B$8:$CF$451,16,0)</f>
        <v>0</v>
      </c>
      <c r="G64" s="175">
        <f>VLOOKUP($B64,[3]Sheet1!$B$8:$CF$451,17,0)</f>
        <v>0</v>
      </c>
      <c r="H64" s="175">
        <f>VLOOKUP($B64,[3]Sheet1!$B$8:$CF$451,18,0)</f>
        <v>0</v>
      </c>
      <c r="I64" s="175">
        <f t="shared" si="43"/>
        <v>0</v>
      </c>
      <c r="J64" s="176">
        <f>'QTY '!Q64</f>
        <v>0</v>
      </c>
      <c r="K64" s="176">
        <f t="shared" si="44"/>
        <v>0</v>
      </c>
      <c r="L64" s="177"/>
      <c r="M64" s="175">
        <f>VLOOKUP($B64,[3]Sheet1!$B$8:$CF$451,20,0)</f>
        <v>0</v>
      </c>
      <c r="N64" s="175">
        <f>VLOOKUP($B64,[3]Sheet1!$B$8:$CF$451,21,0)</f>
        <v>0</v>
      </c>
      <c r="O64" s="175">
        <f>VLOOKUP($B64,[3]Sheet1!$B$8:$CF$451,22,0)</f>
        <v>0</v>
      </c>
      <c r="P64" s="175">
        <f>VLOOKUP($B64,[3]Sheet1!$B$8:$CF$451,23,0)</f>
        <v>0</v>
      </c>
      <c r="Q64" s="175">
        <f>VLOOKUP($B64,[3]Sheet1!$B$8:$CF$451,24,0)</f>
        <v>0</v>
      </c>
      <c r="R64" s="175">
        <f t="shared" si="45"/>
        <v>0</v>
      </c>
      <c r="S64" s="175">
        <f>'QTY '!T64</f>
        <v>0</v>
      </c>
      <c r="T64" s="176">
        <f t="shared" si="46"/>
        <v>0</v>
      </c>
      <c r="U64" s="178"/>
      <c r="V64" s="175">
        <f>+VLOOKUP($B64,[3]Sheet1!$B$8:$CF$406,26,0)</f>
        <v>0</v>
      </c>
      <c r="W64" s="175">
        <f>+VLOOKUP($B64,[3]Sheet1!$B$8:$CF$406,27,0)</f>
        <v>0</v>
      </c>
      <c r="X64" s="175">
        <f>+VLOOKUP($B64,[3]Sheet1!$B$8:$CF$406,28,0)</f>
        <v>0</v>
      </c>
      <c r="Y64" s="175">
        <f>+VLOOKUP($B64,[3]Sheet1!$B$8:$CF$406,29,0)</f>
        <v>0</v>
      </c>
      <c r="Z64" s="175">
        <f>+VLOOKUP($B64,[3]Sheet1!$B$8:$CF$406,30,0)</f>
        <v>0</v>
      </c>
      <c r="AA64" s="175">
        <f t="shared" si="47"/>
        <v>0</v>
      </c>
      <c r="AB64" s="175">
        <f>'QTY '!W64</f>
        <v>0</v>
      </c>
      <c r="AC64" s="175">
        <f t="shared" si="48"/>
        <v>0</v>
      </c>
      <c r="AD64" s="178"/>
      <c r="AE64" s="175">
        <f>+VLOOKUP($B64,[3]Sheet1!$B$8:$CF$406,32,0)</f>
        <v>0</v>
      </c>
      <c r="AF64" s="175">
        <f>+VLOOKUP($B64,[3]Sheet1!$B$8:$CF$406,33,0)</f>
        <v>0</v>
      </c>
      <c r="AG64" s="175">
        <f>+VLOOKUP($B64,[3]Sheet1!$B$8:$CF$406,34,0)</f>
        <v>0</v>
      </c>
      <c r="AH64" s="175">
        <f>+VLOOKUP($B64,[3]Sheet1!$B$8:$CF$406,35,0)</f>
        <v>0</v>
      </c>
      <c r="AI64" s="175">
        <f>+VLOOKUP($B64,[3]Sheet1!$B$8:$CF$406,36,0)</f>
        <v>0</v>
      </c>
      <c r="AJ64" s="175">
        <f t="shared" si="49"/>
        <v>0</v>
      </c>
      <c r="AK64" s="175">
        <f>'QTY '!Z64</f>
        <v>0</v>
      </c>
      <c r="AL64" s="175">
        <f t="shared" si="50"/>
        <v>0</v>
      </c>
      <c r="AM64" s="178"/>
      <c r="AN64" s="175">
        <f t="shared" si="51"/>
        <v>0</v>
      </c>
      <c r="AO64" s="175">
        <f t="shared" si="52"/>
        <v>0</v>
      </c>
      <c r="AP64" s="175">
        <f t="shared" si="53"/>
        <v>0</v>
      </c>
      <c r="AQ64" s="175">
        <f t="shared" si="54"/>
        <v>0</v>
      </c>
      <c r="AR64" s="175"/>
      <c r="AS64" s="175">
        <f t="shared" si="55"/>
        <v>0</v>
      </c>
      <c r="AT64" s="175">
        <f>'QTY '!AC64</f>
        <v>0</v>
      </c>
      <c r="AU64" s="175">
        <f t="shared" si="56"/>
        <v>0</v>
      </c>
      <c r="AV64" s="178"/>
    </row>
    <row r="65" spans="1:48" ht="18" customHeight="1">
      <c r="A65" s="237" t="str">
        <f>+'QTY '!B65</f>
        <v>BC111-1S130-2</v>
      </c>
      <c r="B65" s="237" t="str">
        <f>+'QTY '!E65</f>
        <v>BC111-1S130-2 D 0001</v>
      </c>
      <c r="C65" s="209">
        <f>'QTY '!F65</f>
        <v>0</v>
      </c>
      <c r="D65" s="175">
        <f>VLOOKUP($B65,[3]Sheet1!$B$8:$CF$451,14,0)</f>
        <v>0</v>
      </c>
      <c r="E65" s="175">
        <f>VLOOKUP($B65,[3]Sheet1!$B$8:$CF$451,15,0)</f>
        <v>0</v>
      </c>
      <c r="F65" s="175">
        <f>VLOOKUP($B65,[3]Sheet1!$B$8:$CF$451,16,0)</f>
        <v>0</v>
      </c>
      <c r="G65" s="175">
        <f>VLOOKUP($B65,[3]Sheet1!$B$8:$CF$451,17,0)</f>
        <v>0</v>
      </c>
      <c r="H65" s="175">
        <f>VLOOKUP($B65,[3]Sheet1!$B$8:$CF$451,18,0)</f>
        <v>0</v>
      </c>
      <c r="I65" s="175">
        <f t="shared" si="43"/>
        <v>0</v>
      </c>
      <c r="J65" s="176">
        <f>'QTY '!Q65</f>
        <v>0</v>
      </c>
      <c r="K65" s="176">
        <f t="shared" si="44"/>
        <v>0</v>
      </c>
      <c r="L65" s="177"/>
      <c r="M65" s="175">
        <f>VLOOKUP($B65,[3]Sheet1!$B$8:$CF$451,20,0)</f>
        <v>0</v>
      </c>
      <c r="N65" s="175">
        <f>VLOOKUP($B65,[3]Sheet1!$B$8:$CF$451,21,0)</f>
        <v>0</v>
      </c>
      <c r="O65" s="175">
        <f>VLOOKUP($B65,[3]Sheet1!$B$8:$CF$451,22,0)</f>
        <v>0</v>
      </c>
      <c r="P65" s="175">
        <f>VLOOKUP($B65,[3]Sheet1!$B$8:$CF$451,23,0)</f>
        <v>0</v>
      </c>
      <c r="Q65" s="175">
        <f>VLOOKUP($B65,[3]Sheet1!$B$8:$CF$451,24,0)</f>
        <v>0</v>
      </c>
      <c r="R65" s="175">
        <f t="shared" si="45"/>
        <v>0</v>
      </c>
      <c r="S65" s="175">
        <f>'QTY '!T65</f>
        <v>0</v>
      </c>
      <c r="T65" s="176">
        <f t="shared" si="46"/>
        <v>0</v>
      </c>
      <c r="U65" s="178"/>
      <c r="V65" s="175">
        <f>+VLOOKUP($B65,[3]Sheet1!$B$8:$CF$406,26,0)</f>
        <v>0</v>
      </c>
      <c r="W65" s="175">
        <f>+VLOOKUP($B65,[3]Sheet1!$B$8:$CF$406,27,0)</f>
        <v>0</v>
      </c>
      <c r="X65" s="175">
        <f>+VLOOKUP($B65,[3]Sheet1!$B$8:$CF$406,28,0)</f>
        <v>0</v>
      </c>
      <c r="Y65" s="175">
        <f>+VLOOKUP($B65,[3]Sheet1!$B$8:$CF$406,29,0)</f>
        <v>0</v>
      </c>
      <c r="Z65" s="175">
        <f>+VLOOKUP($B65,[3]Sheet1!$B$8:$CF$406,30,0)</f>
        <v>0</v>
      </c>
      <c r="AA65" s="175">
        <f t="shared" si="47"/>
        <v>0</v>
      </c>
      <c r="AB65" s="175">
        <f>'QTY '!W65</f>
        <v>0</v>
      </c>
      <c r="AC65" s="175">
        <f t="shared" si="48"/>
        <v>0</v>
      </c>
      <c r="AD65" s="178"/>
      <c r="AE65" s="175">
        <f>+VLOOKUP($B65,[3]Sheet1!$B$8:$CF$406,32,0)</f>
        <v>0</v>
      </c>
      <c r="AF65" s="175">
        <f>+VLOOKUP($B65,[3]Sheet1!$B$8:$CF$406,33,0)</f>
        <v>0</v>
      </c>
      <c r="AG65" s="175">
        <f>+VLOOKUP($B65,[3]Sheet1!$B$8:$CF$406,34,0)</f>
        <v>0</v>
      </c>
      <c r="AH65" s="175">
        <f>+VLOOKUP($B65,[3]Sheet1!$B$8:$CF$406,35,0)</f>
        <v>0</v>
      </c>
      <c r="AI65" s="175">
        <f>+VLOOKUP($B65,[3]Sheet1!$B$8:$CF$406,36,0)</f>
        <v>0</v>
      </c>
      <c r="AJ65" s="175">
        <f t="shared" si="49"/>
        <v>0</v>
      </c>
      <c r="AK65" s="175">
        <f>'QTY '!Z65</f>
        <v>0</v>
      </c>
      <c r="AL65" s="175">
        <f t="shared" si="50"/>
        <v>0</v>
      </c>
      <c r="AM65" s="178"/>
      <c r="AN65" s="175">
        <f t="shared" si="51"/>
        <v>0</v>
      </c>
      <c r="AO65" s="175">
        <f t="shared" si="52"/>
        <v>0</v>
      </c>
      <c r="AP65" s="175">
        <f t="shared" si="53"/>
        <v>0</v>
      </c>
      <c r="AQ65" s="175">
        <f t="shared" si="54"/>
        <v>0</v>
      </c>
      <c r="AR65" s="175"/>
      <c r="AS65" s="175">
        <f t="shared" si="55"/>
        <v>0</v>
      </c>
      <c r="AT65" s="175">
        <f>'QTY '!AC65</f>
        <v>0</v>
      </c>
      <c r="AU65" s="175">
        <f t="shared" si="56"/>
        <v>0</v>
      </c>
      <c r="AV65" s="178"/>
    </row>
    <row r="66" spans="1:48" ht="18" customHeight="1">
      <c r="A66" s="237" t="str">
        <f>+'QTY '!B66</f>
        <v>BC111-16N10-1</v>
      </c>
      <c r="B66" s="237" t="str">
        <f>+'QTY '!E66</f>
        <v>BC111-16N10-1   1001</v>
      </c>
      <c r="C66" s="209">
        <f>'QTY '!F66</f>
        <v>0</v>
      </c>
      <c r="D66" s="175">
        <f>VLOOKUP($B66,[3]Sheet1!$B$8:$CF$451,14,0)</f>
        <v>0</v>
      </c>
      <c r="E66" s="175">
        <f>VLOOKUP($B66,[3]Sheet1!$B$8:$CF$451,15,0)</f>
        <v>0</v>
      </c>
      <c r="F66" s="175">
        <f>VLOOKUP($B66,[3]Sheet1!$B$8:$CF$451,16,0)</f>
        <v>0</v>
      </c>
      <c r="G66" s="175">
        <f>VLOOKUP($B66,[3]Sheet1!$B$8:$CF$451,17,0)</f>
        <v>0</v>
      </c>
      <c r="H66" s="175">
        <f>VLOOKUP($B66,[3]Sheet1!$B$8:$CF$451,18,0)</f>
        <v>0</v>
      </c>
      <c r="I66" s="175">
        <f t="shared" si="43"/>
        <v>0</v>
      </c>
      <c r="J66" s="176">
        <f>'QTY '!Q66</f>
        <v>0</v>
      </c>
      <c r="K66" s="176">
        <f t="shared" si="44"/>
        <v>0</v>
      </c>
      <c r="L66" s="177"/>
      <c r="M66" s="175">
        <f>VLOOKUP($B66,[3]Sheet1!$B$8:$CF$451,20,0)</f>
        <v>0</v>
      </c>
      <c r="N66" s="175">
        <f>VLOOKUP($B66,[3]Sheet1!$B$8:$CF$451,21,0)</f>
        <v>0</v>
      </c>
      <c r="O66" s="175">
        <f>VLOOKUP($B66,[3]Sheet1!$B$8:$CF$451,22,0)</f>
        <v>0</v>
      </c>
      <c r="P66" s="175">
        <f>VLOOKUP($B66,[3]Sheet1!$B$8:$CF$451,23,0)</f>
        <v>0</v>
      </c>
      <c r="Q66" s="175">
        <f>VLOOKUP($B66,[3]Sheet1!$B$8:$CF$451,24,0)</f>
        <v>0</v>
      </c>
      <c r="R66" s="175">
        <f t="shared" si="45"/>
        <v>0</v>
      </c>
      <c r="S66" s="175">
        <f>'QTY '!T66</f>
        <v>0</v>
      </c>
      <c r="T66" s="176">
        <f t="shared" si="46"/>
        <v>0</v>
      </c>
      <c r="U66" s="178"/>
      <c r="V66" s="175">
        <f>+VLOOKUP($B66,[3]Sheet1!$B$8:$CF$406,26,0)</f>
        <v>0</v>
      </c>
      <c r="W66" s="175">
        <f>+VLOOKUP($B66,[3]Sheet1!$B$8:$CF$406,27,0)</f>
        <v>0</v>
      </c>
      <c r="X66" s="175">
        <f>+VLOOKUP($B66,[3]Sheet1!$B$8:$CF$406,28,0)</f>
        <v>0</v>
      </c>
      <c r="Y66" s="175">
        <f>+VLOOKUP($B66,[3]Sheet1!$B$8:$CF$406,29,0)</f>
        <v>0</v>
      </c>
      <c r="Z66" s="175">
        <f>+VLOOKUP($B66,[3]Sheet1!$B$8:$CF$406,30,0)</f>
        <v>0</v>
      </c>
      <c r="AA66" s="175">
        <f t="shared" si="47"/>
        <v>0</v>
      </c>
      <c r="AB66" s="175">
        <f>'QTY '!W66</f>
        <v>0</v>
      </c>
      <c r="AC66" s="175">
        <f t="shared" si="48"/>
        <v>0</v>
      </c>
      <c r="AD66" s="178"/>
      <c r="AE66" s="175">
        <f>+VLOOKUP($B66,[3]Sheet1!$B$8:$CF$406,32,0)</f>
        <v>0</v>
      </c>
      <c r="AF66" s="175">
        <f>+VLOOKUP($B66,[3]Sheet1!$B$8:$CF$406,33,0)</f>
        <v>0</v>
      </c>
      <c r="AG66" s="175">
        <f>+VLOOKUP($B66,[3]Sheet1!$B$8:$CF$406,34,0)</f>
        <v>0</v>
      </c>
      <c r="AH66" s="175">
        <f>+VLOOKUP($B66,[3]Sheet1!$B$8:$CF$406,35,0)</f>
        <v>0</v>
      </c>
      <c r="AI66" s="175">
        <f>+VLOOKUP($B66,[3]Sheet1!$B$8:$CF$406,36,0)</f>
        <v>0</v>
      </c>
      <c r="AJ66" s="175">
        <f t="shared" si="49"/>
        <v>0</v>
      </c>
      <c r="AK66" s="175">
        <f>'QTY '!Z66</f>
        <v>0</v>
      </c>
      <c r="AL66" s="175">
        <f t="shared" si="50"/>
        <v>0</v>
      </c>
      <c r="AM66" s="178"/>
      <c r="AN66" s="175">
        <f t="shared" si="51"/>
        <v>0</v>
      </c>
      <c r="AO66" s="175">
        <f t="shared" si="52"/>
        <v>0</v>
      </c>
      <c r="AP66" s="175">
        <f t="shared" si="53"/>
        <v>0</v>
      </c>
      <c r="AQ66" s="175">
        <f t="shared" si="54"/>
        <v>0</v>
      </c>
      <c r="AR66" s="175"/>
      <c r="AS66" s="175">
        <f t="shared" si="55"/>
        <v>0</v>
      </c>
      <c r="AT66" s="175">
        <f>'QTY '!AC66</f>
        <v>0</v>
      </c>
      <c r="AU66" s="175">
        <f t="shared" si="56"/>
        <v>0</v>
      </c>
      <c r="AV66" s="178"/>
    </row>
    <row r="67" spans="1:48" ht="18" customHeight="1">
      <c r="A67" s="237" t="str">
        <f>+'QTY '!B67</f>
        <v>BC111-16F01-1</v>
      </c>
      <c r="B67" s="237" t="str">
        <f>+'QTY '!E67</f>
        <v>BC111-16F01-1 A 0002</v>
      </c>
      <c r="C67" s="209">
        <f>'QTY '!F67</f>
        <v>0</v>
      </c>
      <c r="D67" s="175">
        <f>VLOOKUP($B67,[3]Sheet1!$B$8:$CF$451,14,0)</f>
        <v>0</v>
      </c>
      <c r="E67" s="175">
        <f>VLOOKUP($B67,[3]Sheet1!$B$8:$CF$451,15,0)</f>
        <v>0</v>
      </c>
      <c r="F67" s="175">
        <f>VLOOKUP($B67,[3]Sheet1!$B$8:$CF$451,16,0)</f>
        <v>0</v>
      </c>
      <c r="G67" s="175">
        <f>VLOOKUP($B67,[3]Sheet1!$B$8:$CF$451,17,0)</f>
        <v>0</v>
      </c>
      <c r="H67" s="175">
        <f>VLOOKUP($B67,[3]Sheet1!$B$8:$CF$451,18,0)</f>
        <v>0</v>
      </c>
      <c r="I67" s="175">
        <f t="shared" si="43"/>
        <v>0</v>
      </c>
      <c r="J67" s="176">
        <f>'QTY '!Q67</f>
        <v>0</v>
      </c>
      <c r="K67" s="176">
        <f t="shared" si="44"/>
        <v>0</v>
      </c>
      <c r="L67" s="177"/>
      <c r="M67" s="175">
        <f>VLOOKUP($B67,[3]Sheet1!$B$8:$CF$451,20,0)</f>
        <v>0</v>
      </c>
      <c r="N67" s="175">
        <f>VLOOKUP($B67,[3]Sheet1!$B$8:$CF$451,21,0)</f>
        <v>0</v>
      </c>
      <c r="O67" s="175">
        <f>VLOOKUP($B67,[3]Sheet1!$B$8:$CF$451,22,0)</f>
        <v>0</v>
      </c>
      <c r="P67" s="175">
        <f>VLOOKUP($B67,[3]Sheet1!$B$8:$CF$451,23,0)</f>
        <v>0</v>
      </c>
      <c r="Q67" s="175">
        <f>VLOOKUP($B67,[3]Sheet1!$B$8:$CF$451,24,0)</f>
        <v>0</v>
      </c>
      <c r="R67" s="175">
        <f t="shared" si="45"/>
        <v>0</v>
      </c>
      <c r="S67" s="175">
        <f>'QTY '!T67</f>
        <v>0</v>
      </c>
      <c r="T67" s="176">
        <f t="shared" si="46"/>
        <v>0</v>
      </c>
      <c r="U67" s="178"/>
      <c r="V67" s="175">
        <f>+VLOOKUP($B67,[3]Sheet1!$B$8:$CF$406,26,0)</f>
        <v>0</v>
      </c>
      <c r="W67" s="175">
        <f>+VLOOKUP($B67,[3]Sheet1!$B$8:$CF$406,27,0)</f>
        <v>0</v>
      </c>
      <c r="X67" s="175">
        <f>+VLOOKUP($B67,[3]Sheet1!$B$8:$CF$406,28,0)</f>
        <v>0</v>
      </c>
      <c r="Y67" s="175">
        <f>+VLOOKUP($B67,[3]Sheet1!$B$8:$CF$406,29,0)</f>
        <v>0</v>
      </c>
      <c r="Z67" s="175">
        <f>+VLOOKUP($B67,[3]Sheet1!$B$8:$CF$406,30,0)</f>
        <v>0</v>
      </c>
      <c r="AA67" s="175">
        <f t="shared" si="47"/>
        <v>0</v>
      </c>
      <c r="AB67" s="175">
        <f>'QTY '!W67</f>
        <v>0</v>
      </c>
      <c r="AC67" s="175">
        <f t="shared" si="48"/>
        <v>0</v>
      </c>
      <c r="AD67" s="178"/>
      <c r="AE67" s="175">
        <f>+VLOOKUP($B67,[3]Sheet1!$B$8:$CF$406,32,0)</f>
        <v>0</v>
      </c>
      <c r="AF67" s="175">
        <f>+VLOOKUP($B67,[3]Sheet1!$B$8:$CF$406,33,0)</f>
        <v>0</v>
      </c>
      <c r="AG67" s="175">
        <f>+VLOOKUP($B67,[3]Sheet1!$B$8:$CF$406,34,0)</f>
        <v>0</v>
      </c>
      <c r="AH67" s="175">
        <f>+VLOOKUP($B67,[3]Sheet1!$B$8:$CF$406,35,0)</f>
        <v>0</v>
      </c>
      <c r="AI67" s="175">
        <f>+VLOOKUP($B67,[3]Sheet1!$B$8:$CF$406,36,0)</f>
        <v>0</v>
      </c>
      <c r="AJ67" s="175">
        <f t="shared" si="49"/>
        <v>0</v>
      </c>
      <c r="AK67" s="175">
        <f>'QTY '!Z67</f>
        <v>0</v>
      </c>
      <c r="AL67" s="175">
        <f t="shared" si="50"/>
        <v>0</v>
      </c>
      <c r="AM67" s="178"/>
      <c r="AN67" s="175">
        <f t="shared" si="51"/>
        <v>0</v>
      </c>
      <c r="AO67" s="175">
        <f t="shared" si="52"/>
        <v>0</v>
      </c>
      <c r="AP67" s="175">
        <f t="shared" si="53"/>
        <v>0</v>
      </c>
      <c r="AQ67" s="175">
        <f t="shared" si="54"/>
        <v>0</v>
      </c>
      <c r="AR67" s="175"/>
      <c r="AS67" s="175">
        <f t="shared" si="55"/>
        <v>0</v>
      </c>
      <c r="AT67" s="175">
        <f>'QTY '!AC67</f>
        <v>0</v>
      </c>
      <c r="AU67" s="175">
        <f t="shared" si="56"/>
        <v>0</v>
      </c>
      <c r="AV67" s="178"/>
    </row>
    <row r="68" spans="1:48" ht="18" customHeight="1">
      <c r="A68" s="237" t="str">
        <f>+'QTY '!B68</f>
        <v>BC111-16M20-1</v>
      </c>
      <c r="B68" s="237" t="str">
        <f>+'QTY '!E68</f>
        <v>BC111-16M20-1   1001</v>
      </c>
      <c r="C68" s="209">
        <f>'QTY '!F68</f>
        <v>0</v>
      </c>
      <c r="D68" s="175">
        <f>VLOOKUP($B68,[3]Sheet1!$B$8:$CF$451,14,0)</f>
        <v>0</v>
      </c>
      <c r="E68" s="175">
        <f>VLOOKUP($B68,[3]Sheet1!$B$8:$CF$451,15,0)</f>
        <v>0</v>
      </c>
      <c r="F68" s="175">
        <f>VLOOKUP($B68,[3]Sheet1!$B$8:$CF$451,16,0)</f>
        <v>0</v>
      </c>
      <c r="G68" s="175">
        <f>VLOOKUP($B68,[3]Sheet1!$B$8:$CF$451,17,0)</f>
        <v>0</v>
      </c>
      <c r="H68" s="175">
        <f>VLOOKUP($B68,[3]Sheet1!$B$8:$CF$451,18,0)</f>
        <v>0</v>
      </c>
      <c r="I68" s="175">
        <f t="shared" si="43"/>
        <v>0</v>
      </c>
      <c r="J68" s="176">
        <f>'QTY '!Q68</f>
        <v>0</v>
      </c>
      <c r="K68" s="176">
        <f t="shared" si="44"/>
        <v>0</v>
      </c>
      <c r="L68" s="177"/>
      <c r="M68" s="175">
        <f>VLOOKUP($B68,[3]Sheet1!$B$8:$CF$451,20,0)</f>
        <v>0</v>
      </c>
      <c r="N68" s="175">
        <f>VLOOKUP($B68,[3]Sheet1!$B$8:$CF$451,21,0)</f>
        <v>0</v>
      </c>
      <c r="O68" s="175">
        <f>VLOOKUP($B68,[3]Sheet1!$B$8:$CF$451,22,0)</f>
        <v>0</v>
      </c>
      <c r="P68" s="175">
        <f>VLOOKUP($B68,[3]Sheet1!$B$8:$CF$451,23,0)</f>
        <v>0</v>
      </c>
      <c r="Q68" s="175">
        <f>VLOOKUP($B68,[3]Sheet1!$B$8:$CF$451,24,0)</f>
        <v>0</v>
      </c>
      <c r="R68" s="175">
        <f t="shared" si="45"/>
        <v>0</v>
      </c>
      <c r="S68" s="175">
        <f>'QTY '!T68</f>
        <v>0</v>
      </c>
      <c r="T68" s="176">
        <f t="shared" si="46"/>
        <v>0</v>
      </c>
      <c r="U68" s="178"/>
      <c r="V68" s="175">
        <f>+VLOOKUP($B68,[3]Sheet1!$B$8:$CF$406,26,0)</f>
        <v>0</v>
      </c>
      <c r="W68" s="175">
        <f>+VLOOKUP($B68,[3]Sheet1!$B$8:$CF$406,27,0)</f>
        <v>0</v>
      </c>
      <c r="X68" s="175">
        <f>+VLOOKUP($B68,[3]Sheet1!$B$8:$CF$406,28,0)</f>
        <v>0</v>
      </c>
      <c r="Y68" s="175">
        <f>+VLOOKUP($B68,[3]Sheet1!$B$8:$CF$406,29,0)</f>
        <v>0</v>
      </c>
      <c r="Z68" s="175">
        <f>+VLOOKUP($B68,[3]Sheet1!$B$8:$CF$406,30,0)</f>
        <v>0</v>
      </c>
      <c r="AA68" s="175">
        <f t="shared" si="47"/>
        <v>0</v>
      </c>
      <c r="AB68" s="175">
        <f>'QTY '!W68</f>
        <v>0</v>
      </c>
      <c r="AC68" s="175">
        <f t="shared" si="48"/>
        <v>0</v>
      </c>
      <c r="AD68" s="178"/>
      <c r="AE68" s="175">
        <f>+VLOOKUP($B68,[3]Sheet1!$B$8:$CF$406,32,0)</f>
        <v>0</v>
      </c>
      <c r="AF68" s="175">
        <f>+VLOOKUP($B68,[3]Sheet1!$B$8:$CF$406,33,0)</f>
        <v>0</v>
      </c>
      <c r="AG68" s="175">
        <f>+VLOOKUP($B68,[3]Sheet1!$B$8:$CF$406,34,0)</f>
        <v>0</v>
      </c>
      <c r="AH68" s="175">
        <f>+VLOOKUP($B68,[3]Sheet1!$B$8:$CF$406,35,0)</f>
        <v>0</v>
      </c>
      <c r="AI68" s="175">
        <f>+VLOOKUP($B68,[3]Sheet1!$B$8:$CF$406,36,0)</f>
        <v>0</v>
      </c>
      <c r="AJ68" s="175">
        <f t="shared" si="49"/>
        <v>0</v>
      </c>
      <c r="AK68" s="175">
        <f>'QTY '!Z68</f>
        <v>0</v>
      </c>
      <c r="AL68" s="175">
        <f t="shared" si="50"/>
        <v>0</v>
      </c>
      <c r="AM68" s="178"/>
      <c r="AN68" s="175">
        <f t="shared" si="51"/>
        <v>0</v>
      </c>
      <c r="AO68" s="175">
        <f t="shared" si="52"/>
        <v>0</v>
      </c>
      <c r="AP68" s="175">
        <f t="shared" si="53"/>
        <v>0</v>
      </c>
      <c r="AQ68" s="175">
        <f t="shared" si="54"/>
        <v>0</v>
      </c>
      <c r="AR68" s="175"/>
      <c r="AS68" s="175">
        <f t="shared" si="55"/>
        <v>0</v>
      </c>
      <c r="AT68" s="175">
        <f>'QTY '!AC68</f>
        <v>0</v>
      </c>
      <c r="AU68" s="175">
        <f t="shared" si="56"/>
        <v>0</v>
      </c>
      <c r="AV68" s="178"/>
    </row>
    <row r="69" spans="1:48" ht="18" customHeight="1">
      <c r="A69" s="237" t="str">
        <f>+'QTY '!B69</f>
        <v>BC111-16B41-1</v>
      </c>
      <c r="B69" s="237" t="str">
        <f>+'QTY '!E69</f>
        <v>BC111-16B41-1 A 0002</v>
      </c>
      <c r="C69" s="209">
        <f>'QTY '!F69</f>
        <v>0</v>
      </c>
      <c r="D69" s="175">
        <f>VLOOKUP($B69,[3]Sheet1!$B$8:$CF$451,14,0)</f>
        <v>0</v>
      </c>
      <c r="E69" s="175">
        <f>VLOOKUP($B69,[3]Sheet1!$B$8:$CF$451,15,0)</f>
        <v>0</v>
      </c>
      <c r="F69" s="175">
        <f>VLOOKUP($B69,[3]Sheet1!$B$8:$CF$451,16,0)</f>
        <v>0</v>
      </c>
      <c r="G69" s="175">
        <f>VLOOKUP($B69,[3]Sheet1!$B$8:$CF$451,17,0)</f>
        <v>0</v>
      </c>
      <c r="H69" s="175">
        <f>VLOOKUP($B69,[3]Sheet1!$B$8:$CF$451,18,0)</f>
        <v>0</v>
      </c>
      <c r="I69" s="175">
        <f t="shared" si="43"/>
        <v>0</v>
      </c>
      <c r="J69" s="176">
        <f>'QTY '!Q69</f>
        <v>0</v>
      </c>
      <c r="K69" s="176">
        <f t="shared" si="44"/>
        <v>0</v>
      </c>
      <c r="L69" s="177"/>
      <c r="M69" s="175">
        <f>VLOOKUP($B69,[3]Sheet1!$B$8:$CF$451,20,0)</f>
        <v>0</v>
      </c>
      <c r="N69" s="175">
        <f>VLOOKUP($B69,[3]Sheet1!$B$8:$CF$451,21,0)</f>
        <v>0</v>
      </c>
      <c r="O69" s="175">
        <f>VLOOKUP($B69,[3]Sheet1!$B$8:$CF$451,22,0)</f>
        <v>0</v>
      </c>
      <c r="P69" s="175">
        <f>VLOOKUP($B69,[3]Sheet1!$B$8:$CF$451,23,0)</f>
        <v>0</v>
      </c>
      <c r="Q69" s="175">
        <f>VLOOKUP($B69,[3]Sheet1!$B$8:$CF$451,24,0)</f>
        <v>0</v>
      </c>
      <c r="R69" s="175">
        <f t="shared" si="45"/>
        <v>0</v>
      </c>
      <c r="S69" s="175">
        <f>'QTY '!T69</f>
        <v>0</v>
      </c>
      <c r="T69" s="176">
        <f t="shared" si="46"/>
        <v>0</v>
      </c>
      <c r="U69" s="178"/>
      <c r="V69" s="175">
        <f>+VLOOKUP($B69,[3]Sheet1!$B$8:$CF$406,26,0)</f>
        <v>0</v>
      </c>
      <c r="W69" s="175">
        <f>+VLOOKUP($B69,[3]Sheet1!$B$8:$CF$406,27,0)</f>
        <v>0</v>
      </c>
      <c r="X69" s="175">
        <f>+VLOOKUP($B69,[3]Sheet1!$B$8:$CF$406,28,0)</f>
        <v>0</v>
      </c>
      <c r="Y69" s="175">
        <f>+VLOOKUP($B69,[3]Sheet1!$B$8:$CF$406,29,0)</f>
        <v>0</v>
      </c>
      <c r="Z69" s="175">
        <f>+VLOOKUP($B69,[3]Sheet1!$B$8:$CF$406,30,0)</f>
        <v>0</v>
      </c>
      <c r="AA69" s="175">
        <f t="shared" si="47"/>
        <v>0</v>
      </c>
      <c r="AB69" s="175">
        <f>'QTY '!W69</f>
        <v>0</v>
      </c>
      <c r="AC69" s="175">
        <f t="shared" si="48"/>
        <v>0</v>
      </c>
      <c r="AD69" s="178"/>
      <c r="AE69" s="175">
        <f>+VLOOKUP($B69,[3]Sheet1!$B$8:$CF$406,32,0)</f>
        <v>0</v>
      </c>
      <c r="AF69" s="175">
        <f>+VLOOKUP($B69,[3]Sheet1!$B$8:$CF$406,33,0)</f>
        <v>0</v>
      </c>
      <c r="AG69" s="175">
        <f>+VLOOKUP($B69,[3]Sheet1!$B$8:$CF$406,34,0)</f>
        <v>0</v>
      </c>
      <c r="AH69" s="175">
        <f>+VLOOKUP($B69,[3]Sheet1!$B$8:$CF$406,35,0)</f>
        <v>0</v>
      </c>
      <c r="AI69" s="175">
        <f>+VLOOKUP($B69,[3]Sheet1!$B$8:$CF$406,36,0)</f>
        <v>0</v>
      </c>
      <c r="AJ69" s="175">
        <f t="shared" si="49"/>
        <v>0</v>
      </c>
      <c r="AK69" s="175">
        <f>'QTY '!Z69</f>
        <v>0</v>
      </c>
      <c r="AL69" s="175">
        <f t="shared" si="50"/>
        <v>0</v>
      </c>
      <c r="AM69" s="178"/>
      <c r="AN69" s="175">
        <f t="shared" si="51"/>
        <v>0</v>
      </c>
      <c r="AO69" s="175">
        <f t="shared" si="52"/>
        <v>0</v>
      </c>
      <c r="AP69" s="175">
        <f t="shared" si="53"/>
        <v>0</v>
      </c>
      <c r="AQ69" s="175">
        <f t="shared" si="54"/>
        <v>0</v>
      </c>
      <c r="AR69" s="175"/>
      <c r="AS69" s="175">
        <f t="shared" si="55"/>
        <v>0</v>
      </c>
      <c r="AT69" s="175">
        <f>'QTY '!AC69</f>
        <v>0</v>
      </c>
      <c r="AU69" s="175">
        <f t="shared" si="56"/>
        <v>0</v>
      </c>
      <c r="AV69" s="178"/>
    </row>
    <row r="70" spans="1:48" ht="18" customHeight="1">
      <c r="A70" s="237" t="str">
        <f>+'QTY '!B70</f>
        <v>BC111-16A40-1</v>
      </c>
      <c r="B70" s="237" t="str">
        <f>+'QTY '!E70</f>
        <v>BC111-16A40-1   1001</v>
      </c>
      <c r="C70" s="209">
        <f>'QTY '!F70</f>
        <v>0</v>
      </c>
      <c r="D70" s="175">
        <f>VLOOKUP($B70,[3]Sheet1!$B$8:$CF$451,14,0)</f>
        <v>0</v>
      </c>
      <c r="E70" s="175">
        <f>VLOOKUP($B70,[3]Sheet1!$B$8:$CF$451,15,0)</f>
        <v>0</v>
      </c>
      <c r="F70" s="175">
        <f>VLOOKUP($B70,[3]Sheet1!$B$8:$CF$451,16,0)</f>
        <v>0</v>
      </c>
      <c r="G70" s="175">
        <f>VLOOKUP($B70,[3]Sheet1!$B$8:$CF$451,17,0)</f>
        <v>0</v>
      </c>
      <c r="H70" s="175">
        <f>VLOOKUP($B70,[3]Sheet1!$B$8:$CF$451,18,0)</f>
        <v>0</v>
      </c>
      <c r="I70" s="175">
        <f t="shared" si="43"/>
        <v>0</v>
      </c>
      <c r="J70" s="176">
        <f>'QTY '!Q70</f>
        <v>0</v>
      </c>
      <c r="K70" s="176">
        <f t="shared" si="44"/>
        <v>0</v>
      </c>
      <c r="L70" s="177"/>
      <c r="M70" s="175">
        <f>VLOOKUP($B70,[3]Sheet1!$B$8:$CF$451,20,0)</f>
        <v>0</v>
      </c>
      <c r="N70" s="175">
        <f>VLOOKUP($B70,[3]Sheet1!$B$8:$CF$451,21,0)</f>
        <v>0</v>
      </c>
      <c r="O70" s="175">
        <f>VLOOKUP($B70,[3]Sheet1!$B$8:$CF$451,22,0)</f>
        <v>0</v>
      </c>
      <c r="P70" s="175">
        <f>VLOOKUP($B70,[3]Sheet1!$B$8:$CF$451,23,0)</f>
        <v>0</v>
      </c>
      <c r="Q70" s="175">
        <f>VLOOKUP($B70,[3]Sheet1!$B$8:$CF$451,24,0)</f>
        <v>0</v>
      </c>
      <c r="R70" s="175">
        <f t="shared" si="45"/>
        <v>0</v>
      </c>
      <c r="S70" s="175">
        <f>'QTY '!T70</f>
        <v>0</v>
      </c>
      <c r="T70" s="176">
        <f t="shared" si="46"/>
        <v>0</v>
      </c>
      <c r="U70" s="178"/>
      <c r="V70" s="175">
        <f>+VLOOKUP($B70,[3]Sheet1!$B$8:$CF$406,26,0)</f>
        <v>0</v>
      </c>
      <c r="W70" s="175">
        <f>+VLOOKUP($B70,[3]Sheet1!$B$8:$CF$406,27,0)</f>
        <v>0</v>
      </c>
      <c r="X70" s="175">
        <f>+VLOOKUP($B70,[3]Sheet1!$B$8:$CF$406,28,0)</f>
        <v>0</v>
      </c>
      <c r="Y70" s="175">
        <f>+VLOOKUP($B70,[3]Sheet1!$B$8:$CF$406,29,0)</f>
        <v>0</v>
      </c>
      <c r="Z70" s="175">
        <f>+VLOOKUP($B70,[3]Sheet1!$B$8:$CF$406,30,0)</f>
        <v>0</v>
      </c>
      <c r="AA70" s="175">
        <f t="shared" si="47"/>
        <v>0</v>
      </c>
      <c r="AB70" s="175">
        <f>'QTY '!W70</f>
        <v>0</v>
      </c>
      <c r="AC70" s="175">
        <f t="shared" si="48"/>
        <v>0</v>
      </c>
      <c r="AD70" s="178"/>
      <c r="AE70" s="175">
        <f>+VLOOKUP($B70,[3]Sheet1!$B$8:$CF$406,32,0)</f>
        <v>0</v>
      </c>
      <c r="AF70" s="175">
        <f>+VLOOKUP($B70,[3]Sheet1!$B$8:$CF$406,33,0)</f>
        <v>0</v>
      </c>
      <c r="AG70" s="175">
        <f>+VLOOKUP($B70,[3]Sheet1!$B$8:$CF$406,34,0)</f>
        <v>0</v>
      </c>
      <c r="AH70" s="175">
        <f>+VLOOKUP($B70,[3]Sheet1!$B$8:$CF$406,35,0)</f>
        <v>0</v>
      </c>
      <c r="AI70" s="175">
        <f>+VLOOKUP($B70,[3]Sheet1!$B$8:$CF$406,36,0)</f>
        <v>0</v>
      </c>
      <c r="AJ70" s="175">
        <f t="shared" si="49"/>
        <v>0</v>
      </c>
      <c r="AK70" s="175">
        <f>'QTY '!Z70</f>
        <v>0</v>
      </c>
      <c r="AL70" s="175">
        <f t="shared" si="50"/>
        <v>0</v>
      </c>
      <c r="AM70" s="178"/>
      <c r="AN70" s="175">
        <f t="shared" si="51"/>
        <v>0</v>
      </c>
      <c r="AO70" s="175">
        <f t="shared" si="52"/>
        <v>0</v>
      </c>
      <c r="AP70" s="175">
        <f t="shared" si="53"/>
        <v>0</v>
      </c>
      <c r="AQ70" s="175">
        <f t="shared" si="54"/>
        <v>0</v>
      </c>
      <c r="AR70" s="175"/>
      <c r="AS70" s="175">
        <f t="shared" si="55"/>
        <v>0</v>
      </c>
      <c r="AT70" s="175">
        <f>'QTY '!AC70</f>
        <v>0</v>
      </c>
      <c r="AU70" s="175">
        <f t="shared" si="56"/>
        <v>0</v>
      </c>
      <c r="AV70" s="178"/>
    </row>
    <row r="71" spans="1:48" ht="18" customHeight="1">
      <c r="A71" s="237" t="str">
        <f>+'QTY '!B71</f>
        <v>BC111-16A40-2</v>
      </c>
      <c r="B71" s="237" t="str">
        <f>+'QTY '!E71</f>
        <v>BC111-16A40-2   1001</v>
      </c>
      <c r="C71" s="209">
        <f>'QTY '!F71</f>
        <v>0</v>
      </c>
      <c r="D71" s="175">
        <f>VLOOKUP($B71,[3]Sheet1!$B$8:$CF$451,14,0)</f>
        <v>0</v>
      </c>
      <c r="E71" s="175">
        <f>VLOOKUP($B71,[3]Sheet1!$B$8:$CF$451,15,0)</f>
        <v>0</v>
      </c>
      <c r="F71" s="175">
        <f>VLOOKUP($B71,[3]Sheet1!$B$8:$CF$451,16,0)</f>
        <v>0</v>
      </c>
      <c r="G71" s="175">
        <f>VLOOKUP($B71,[3]Sheet1!$B$8:$CF$451,17,0)</f>
        <v>0</v>
      </c>
      <c r="H71" s="175">
        <f>VLOOKUP($B71,[3]Sheet1!$B$8:$CF$451,18,0)</f>
        <v>0</v>
      </c>
      <c r="I71" s="175">
        <f t="shared" si="43"/>
        <v>0</v>
      </c>
      <c r="J71" s="176">
        <f>'QTY '!Q71</f>
        <v>0</v>
      </c>
      <c r="K71" s="176">
        <f t="shared" si="44"/>
        <v>0</v>
      </c>
      <c r="L71" s="177"/>
      <c r="M71" s="175">
        <f>VLOOKUP($B71,[3]Sheet1!$B$8:$CF$451,20,0)</f>
        <v>0</v>
      </c>
      <c r="N71" s="175">
        <f>VLOOKUP($B71,[3]Sheet1!$B$8:$CF$451,21,0)</f>
        <v>0</v>
      </c>
      <c r="O71" s="175">
        <f>VLOOKUP($B71,[3]Sheet1!$B$8:$CF$451,22,0)</f>
        <v>0</v>
      </c>
      <c r="P71" s="175">
        <f>VLOOKUP($B71,[3]Sheet1!$B$8:$CF$451,23,0)</f>
        <v>0</v>
      </c>
      <c r="Q71" s="175">
        <f>VLOOKUP($B71,[3]Sheet1!$B$8:$CF$451,24,0)</f>
        <v>0</v>
      </c>
      <c r="R71" s="175">
        <f t="shared" si="45"/>
        <v>0</v>
      </c>
      <c r="S71" s="175">
        <f>'QTY '!T71</f>
        <v>0</v>
      </c>
      <c r="T71" s="176">
        <f t="shared" si="46"/>
        <v>0</v>
      </c>
      <c r="U71" s="178"/>
      <c r="V71" s="175">
        <f>+VLOOKUP($B71,[3]Sheet1!$B$8:$CF$406,26,0)</f>
        <v>0</v>
      </c>
      <c r="W71" s="175">
        <f>+VLOOKUP($B71,[3]Sheet1!$B$8:$CF$406,27,0)</f>
        <v>0</v>
      </c>
      <c r="X71" s="175">
        <f>+VLOOKUP($B71,[3]Sheet1!$B$8:$CF$406,28,0)</f>
        <v>0</v>
      </c>
      <c r="Y71" s="175">
        <f>+VLOOKUP($B71,[3]Sheet1!$B$8:$CF$406,29,0)</f>
        <v>0</v>
      </c>
      <c r="Z71" s="175">
        <f>+VLOOKUP($B71,[3]Sheet1!$B$8:$CF$406,30,0)</f>
        <v>0</v>
      </c>
      <c r="AA71" s="175">
        <f t="shared" si="47"/>
        <v>0</v>
      </c>
      <c r="AB71" s="175">
        <f>'QTY '!W71</f>
        <v>0</v>
      </c>
      <c r="AC71" s="175">
        <f t="shared" si="48"/>
        <v>0</v>
      </c>
      <c r="AD71" s="178"/>
      <c r="AE71" s="175">
        <f>+VLOOKUP($B71,[3]Sheet1!$B$8:$CF$406,32,0)</f>
        <v>0</v>
      </c>
      <c r="AF71" s="175">
        <f>+VLOOKUP($B71,[3]Sheet1!$B$8:$CF$406,33,0)</f>
        <v>0</v>
      </c>
      <c r="AG71" s="175">
        <f>+VLOOKUP($B71,[3]Sheet1!$B$8:$CF$406,34,0)</f>
        <v>0</v>
      </c>
      <c r="AH71" s="175">
        <f>+VLOOKUP($B71,[3]Sheet1!$B$8:$CF$406,35,0)</f>
        <v>0</v>
      </c>
      <c r="AI71" s="175">
        <f>+VLOOKUP($B71,[3]Sheet1!$B$8:$CF$406,36,0)</f>
        <v>0</v>
      </c>
      <c r="AJ71" s="175">
        <f t="shared" si="49"/>
        <v>0</v>
      </c>
      <c r="AK71" s="175">
        <f>'QTY '!Z71</f>
        <v>0</v>
      </c>
      <c r="AL71" s="175">
        <f t="shared" si="50"/>
        <v>0</v>
      </c>
      <c r="AM71" s="178"/>
      <c r="AN71" s="175">
        <f t="shared" si="51"/>
        <v>0</v>
      </c>
      <c r="AO71" s="175">
        <f t="shared" si="52"/>
        <v>0</v>
      </c>
      <c r="AP71" s="175">
        <f t="shared" si="53"/>
        <v>0</v>
      </c>
      <c r="AQ71" s="175">
        <f t="shared" si="54"/>
        <v>0</v>
      </c>
      <c r="AR71" s="175"/>
      <c r="AS71" s="175">
        <f t="shared" si="55"/>
        <v>0</v>
      </c>
      <c r="AT71" s="175">
        <f>'QTY '!AC71</f>
        <v>0</v>
      </c>
      <c r="AU71" s="175">
        <f t="shared" si="56"/>
        <v>0</v>
      </c>
      <c r="AV71" s="178"/>
    </row>
    <row r="72" spans="1:48" ht="18" customHeight="1">
      <c r="A72" s="237" t="str">
        <f>+'QTY '!B72</f>
        <v>BC111-16D11-1</v>
      </c>
      <c r="B72" s="237" t="str">
        <f>+'QTY '!E72</f>
        <v>BC111-16D11-1 A 0002</v>
      </c>
      <c r="C72" s="209">
        <f>'QTY '!F72</f>
        <v>0</v>
      </c>
      <c r="D72" s="175">
        <f>VLOOKUP($B72,[3]Sheet1!$B$8:$CF$451,14,0)</f>
        <v>0</v>
      </c>
      <c r="E72" s="175">
        <f>VLOOKUP($B72,[3]Sheet1!$B$8:$CF$451,15,0)</f>
        <v>0</v>
      </c>
      <c r="F72" s="175">
        <f>VLOOKUP($B72,[3]Sheet1!$B$8:$CF$451,16,0)</f>
        <v>0</v>
      </c>
      <c r="G72" s="175">
        <f>VLOOKUP($B72,[3]Sheet1!$B$8:$CF$451,17,0)</f>
        <v>0</v>
      </c>
      <c r="H72" s="175">
        <f>VLOOKUP($B72,[3]Sheet1!$B$8:$CF$451,18,0)</f>
        <v>0</v>
      </c>
      <c r="I72" s="175">
        <f t="shared" si="43"/>
        <v>0</v>
      </c>
      <c r="J72" s="176">
        <f>'QTY '!Q72</f>
        <v>0</v>
      </c>
      <c r="K72" s="176">
        <f t="shared" si="44"/>
        <v>0</v>
      </c>
      <c r="L72" s="177"/>
      <c r="M72" s="175">
        <f>VLOOKUP($B72,[3]Sheet1!$B$8:$CF$451,20,0)</f>
        <v>0</v>
      </c>
      <c r="N72" s="175">
        <f>VLOOKUP($B72,[3]Sheet1!$B$8:$CF$451,21,0)</f>
        <v>0</v>
      </c>
      <c r="O72" s="175">
        <f>VLOOKUP($B72,[3]Sheet1!$B$8:$CF$451,22,0)</f>
        <v>0</v>
      </c>
      <c r="P72" s="175">
        <f>VLOOKUP($B72,[3]Sheet1!$B$8:$CF$451,23,0)</f>
        <v>0</v>
      </c>
      <c r="Q72" s="175">
        <f>VLOOKUP($B72,[3]Sheet1!$B$8:$CF$451,24,0)</f>
        <v>0</v>
      </c>
      <c r="R72" s="175">
        <f t="shared" si="45"/>
        <v>0</v>
      </c>
      <c r="S72" s="175">
        <f>'QTY '!T72</f>
        <v>0</v>
      </c>
      <c r="T72" s="176">
        <f t="shared" si="46"/>
        <v>0</v>
      </c>
      <c r="U72" s="178"/>
      <c r="V72" s="175">
        <f>+VLOOKUP($B72,[3]Sheet1!$B$8:$CF$406,26,0)</f>
        <v>0</v>
      </c>
      <c r="W72" s="175">
        <f>+VLOOKUP($B72,[3]Sheet1!$B$8:$CF$406,27,0)</f>
        <v>0</v>
      </c>
      <c r="X72" s="175">
        <f>+VLOOKUP($B72,[3]Sheet1!$B$8:$CF$406,28,0)</f>
        <v>0</v>
      </c>
      <c r="Y72" s="175">
        <f>+VLOOKUP($B72,[3]Sheet1!$B$8:$CF$406,29,0)</f>
        <v>0</v>
      </c>
      <c r="Z72" s="175">
        <f>+VLOOKUP($B72,[3]Sheet1!$B$8:$CF$406,30,0)</f>
        <v>0</v>
      </c>
      <c r="AA72" s="175">
        <f t="shared" si="47"/>
        <v>0</v>
      </c>
      <c r="AB72" s="175">
        <f>'QTY '!W72</f>
        <v>0</v>
      </c>
      <c r="AC72" s="175">
        <f t="shared" si="48"/>
        <v>0</v>
      </c>
      <c r="AD72" s="178"/>
      <c r="AE72" s="175">
        <f>+VLOOKUP($B72,[3]Sheet1!$B$8:$CF$406,32,0)</f>
        <v>0</v>
      </c>
      <c r="AF72" s="175">
        <f>+VLOOKUP($B72,[3]Sheet1!$B$8:$CF$406,33,0)</f>
        <v>0</v>
      </c>
      <c r="AG72" s="175">
        <f>+VLOOKUP($B72,[3]Sheet1!$B$8:$CF$406,34,0)</f>
        <v>0</v>
      </c>
      <c r="AH72" s="175">
        <f>+VLOOKUP($B72,[3]Sheet1!$B$8:$CF$406,35,0)</f>
        <v>0</v>
      </c>
      <c r="AI72" s="175">
        <f>+VLOOKUP($B72,[3]Sheet1!$B$8:$CF$406,36,0)</f>
        <v>0</v>
      </c>
      <c r="AJ72" s="175">
        <f t="shared" si="49"/>
        <v>0</v>
      </c>
      <c r="AK72" s="175">
        <f>'QTY '!Z72</f>
        <v>0</v>
      </c>
      <c r="AL72" s="175">
        <f t="shared" si="50"/>
        <v>0</v>
      </c>
      <c r="AM72" s="178"/>
      <c r="AN72" s="175">
        <f t="shared" si="51"/>
        <v>0</v>
      </c>
      <c r="AO72" s="175">
        <f t="shared" si="52"/>
        <v>0</v>
      </c>
      <c r="AP72" s="175">
        <f t="shared" si="53"/>
        <v>0</v>
      </c>
      <c r="AQ72" s="175">
        <f t="shared" si="54"/>
        <v>0</v>
      </c>
      <c r="AR72" s="175"/>
      <c r="AS72" s="175">
        <f t="shared" si="55"/>
        <v>0</v>
      </c>
      <c r="AT72" s="175">
        <f>'QTY '!AC72</f>
        <v>0</v>
      </c>
      <c r="AU72" s="175">
        <f t="shared" si="56"/>
        <v>0</v>
      </c>
      <c r="AV72" s="178"/>
    </row>
    <row r="73" spans="1:48" ht="18" customHeight="1">
      <c r="A73" s="237" t="str">
        <f>+'QTY '!B73</f>
        <v>BC111-4EW40-1</v>
      </c>
      <c r="B73" s="237" t="str">
        <f>+'QTY '!E73</f>
        <v>BC111-4EW40-1 C 0002</v>
      </c>
      <c r="C73" s="209">
        <f>'QTY '!F73</f>
        <v>0</v>
      </c>
      <c r="D73" s="175">
        <f>VLOOKUP($B73,[3]Sheet1!$B$8:$CF$451,14,0)</f>
        <v>480</v>
      </c>
      <c r="E73" s="175">
        <f>VLOOKUP($B73,[3]Sheet1!$B$8:$CF$451,15,0)</f>
        <v>480</v>
      </c>
      <c r="F73" s="175">
        <f>VLOOKUP($B73,[3]Sheet1!$B$8:$CF$451,16,0)</f>
        <v>700</v>
      </c>
      <c r="G73" s="175">
        <f>VLOOKUP($B73,[3]Sheet1!$B$8:$CF$451,17,0)</f>
        <v>680</v>
      </c>
      <c r="H73" s="175">
        <f>VLOOKUP($B73,[3]Sheet1!$B$8:$CF$451,18,0)</f>
        <v>0</v>
      </c>
      <c r="I73" s="175">
        <f t="shared" si="43"/>
        <v>2340</v>
      </c>
      <c r="J73" s="176">
        <f>'QTY '!Q73</f>
        <v>2340</v>
      </c>
      <c r="K73" s="176">
        <f t="shared" si="44"/>
        <v>0</v>
      </c>
      <c r="L73" s="177"/>
      <c r="M73" s="175">
        <f>VLOOKUP($B73,[3]Sheet1!$B$8:$CF$451,20,0)</f>
        <v>820</v>
      </c>
      <c r="N73" s="175">
        <f>VLOOKUP($B73,[3]Sheet1!$B$8:$CF$451,21,0)</f>
        <v>820</v>
      </c>
      <c r="O73" s="175">
        <f>VLOOKUP($B73,[3]Sheet1!$B$8:$CF$451,22,0)</f>
        <v>0</v>
      </c>
      <c r="P73" s="175">
        <f>VLOOKUP($B73,[3]Sheet1!$B$8:$CF$451,23,0)</f>
        <v>1700</v>
      </c>
      <c r="Q73" s="175">
        <f>VLOOKUP($B73,[3]Sheet1!$B$8:$CF$451,24,0)</f>
        <v>0</v>
      </c>
      <c r="R73" s="175">
        <f t="shared" si="45"/>
        <v>3340</v>
      </c>
      <c r="S73" s="175">
        <f>'QTY '!T73</f>
        <v>3340</v>
      </c>
      <c r="T73" s="176">
        <f t="shared" si="46"/>
        <v>0</v>
      </c>
      <c r="U73" s="178"/>
      <c r="V73" s="175">
        <f>+VLOOKUP($B73,[3]Sheet1!$B$8:$CF$406,26,0)</f>
        <v>1400</v>
      </c>
      <c r="W73" s="175">
        <f>+VLOOKUP($B73,[3]Sheet1!$B$8:$CF$406,27,0)</f>
        <v>1100</v>
      </c>
      <c r="X73" s="175">
        <f>+VLOOKUP($B73,[3]Sheet1!$B$8:$CF$406,28,0)</f>
        <v>1180</v>
      </c>
      <c r="Y73" s="175">
        <f>+VLOOKUP($B73,[3]Sheet1!$B$8:$CF$406,29,0)</f>
        <v>880</v>
      </c>
      <c r="Z73" s="175">
        <f>+VLOOKUP($B73,[3]Sheet1!$B$8:$CF$406,30,0)</f>
        <v>0</v>
      </c>
      <c r="AA73" s="175">
        <f t="shared" si="47"/>
        <v>4560</v>
      </c>
      <c r="AB73" s="175">
        <f>'QTY '!W73</f>
        <v>4560</v>
      </c>
      <c r="AC73" s="175">
        <f t="shared" si="48"/>
        <v>0</v>
      </c>
      <c r="AD73" s="178"/>
      <c r="AE73" s="175">
        <f>+VLOOKUP($B73,[3]Sheet1!$B$8:$CF$406,32,0)</f>
        <v>995</v>
      </c>
      <c r="AF73" s="175">
        <f>+VLOOKUP($B73,[3]Sheet1!$B$8:$CF$406,33,0)</f>
        <v>995</v>
      </c>
      <c r="AG73" s="175">
        <f>+VLOOKUP($B73,[3]Sheet1!$B$8:$CF$406,34,0)</f>
        <v>995</v>
      </c>
      <c r="AH73" s="175">
        <f>+VLOOKUP($B73,[3]Sheet1!$B$8:$CF$406,35,0)</f>
        <v>995</v>
      </c>
      <c r="AI73" s="175">
        <f>+VLOOKUP($B73,[3]Sheet1!$B$8:$CF$406,36,0)</f>
        <v>0</v>
      </c>
      <c r="AJ73" s="175">
        <f t="shared" si="49"/>
        <v>3980</v>
      </c>
      <c r="AK73" s="175">
        <f>'QTY '!Z73</f>
        <v>3980</v>
      </c>
      <c r="AL73" s="175">
        <f t="shared" si="50"/>
        <v>0</v>
      </c>
      <c r="AM73" s="178"/>
      <c r="AN73" s="175">
        <f t="shared" si="51"/>
        <v>995</v>
      </c>
      <c r="AO73" s="175">
        <f t="shared" si="52"/>
        <v>995</v>
      </c>
      <c r="AP73" s="175">
        <f t="shared" si="53"/>
        <v>995</v>
      </c>
      <c r="AQ73" s="175">
        <f t="shared" si="54"/>
        <v>995</v>
      </c>
      <c r="AR73" s="175"/>
      <c r="AS73" s="175">
        <f t="shared" si="55"/>
        <v>3980</v>
      </c>
      <c r="AT73" s="175">
        <f>'QTY '!AC73</f>
        <v>3980</v>
      </c>
      <c r="AU73" s="175">
        <f t="shared" si="56"/>
        <v>0</v>
      </c>
      <c r="AV73" s="178"/>
    </row>
    <row r="74" spans="1:48" ht="18" customHeight="1">
      <c r="A74" s="237" t="str">
        <f>+'QTY '!B74</f>
        <v>BC111-4EB50-1</v>
      </c>
      <c r="B74" s="237" t="str">
        <f>+'QTY '!E74</f>
        <v>BC111-4EB50-1 C 0002</v>
      </c>
      <c r="C74" s="209">
        <f>'QTY '!F74</f>
        <v>0</v>
      </c>
      <c r="D74" s="175">
        <f>VLOOKUP($B74,[3]Sheet1!$B$8:$CF$451,14,0)</f>
        <v>80</v>
      </c>
      <c r="E74" s="175">
        <f>VLOOKUP($B74,[3]Sheet1!$B$8:$CF$451,15,0)</f>
        <v>80</v>
      </c>
      <c r="F74" s="175">
        <f>VLOOKUP($B74,[3]Sheet1!$B$8:$CF$451,16,0)</f>
        <v>120</v>
      </c>
      <c r="G74" s="175">
        <f>VLOOKUP($B74,[3]Sheet1!$B$8:$CF$451,17,0)</f>
        <v>120</v>
      </c>
      <c r="H74" s="175">
        <f>VLOOKUP($B74,[3]Sheet1!$B$8:$CF$451,18,0)</f>
        <v>0</v>
      </c>
      <c r="I74" s="175">
        <f t="shared" si="43"/>
        <v>400</v>
      </c>
      <c r="J74" s="176">
        <f>'QTY '!Q74</f>
        <v>400</v>
      </c>
      <c r="K74" s="176">
        <f t="shared" si="44"/>
        <v>0</v>
      </c>
      <c r="L74" s="177"/>
      <c r="M74" s="175">
        <f>VLOOKUP($B74,[3]Sheet1!$B$8:$CF$451,20,0)</f>
        <v>120</v>
      </c>
      <c r="N74" s="175">
        <f>VLOOKUP($B74,[3]Sheet1!$B$8:$CF$451,21,0)</f>
        <v>120</v>
      </c>
      <c r="O74" s="175">
        <f>VLOOKUP($B74,[3]Sheet1!$B$8:$CF$451,22,0)</f>
        <v>0</v>
      </c>
      <c r="P74" s="175">
        <f>VLOOKUP($B74,[3]Sheet1!$B$8:$CF$451,23,0)</f>
        <v>240</v>
      </c>
      <c r="Q74" s="175">
        <f>VLOOKUP($B74,[3]Sheet1!$B$8:$CF$451,24,0)</f>
        <v>0</v>
      </c>
      <c r="R74" s="175">
        <f t="shared" si="45"/>
        <v>480</v>
      </c>
      <c r="S74" s="175">
        <f>'QTY '!T74</f>
        <v>480</v>
      </c>
      <c r="T74" s="176">
        <f t="shared" si="46"/>
        <v>0</v>
      </c>
      <c r="U74" s="178"/>
      <c r="V74" s="175">
        <f>+VLOOKUP($B74,[3]Sheet1!$B$8:$CF$406,26,0)</f>
        <v>200</v>
      </c>
      <c r="W74" s="175">
        <f>+VLOOKUP($B74,[3]Sheet1!$B$8:$CF$406,27,0)</f>
        <v>160</v>
      </c>
      <c r="X74" s="175">
        <f>+VLOOKUP($B74,[3]Sheet1!$B$8:$CF$406,28,0)</f>
        <v>200</v>
      </c>
      <c r="Y74" s="175">
        <f>+VLOOKUP($B74,[3]Sheet1!$B$8:$CF$406,29,0)</f>
        <v>160</v>
      </c>
      <c r="Z74" s="175">
        <f>+VLOOKUP($B74,[3]Sheet1!$B$8:$CF$406,30,0)</f>
        <v>0</v>
      </c>
      <c r="AA74" s="175">
        <f t="shared" si="47"/>
        <v>720</v>
      </c>
      <c r="AB74" s="175">
        <f>'QTY '!W74</f>
        <v>720</v>
      </c>
      <c r="AC74" s="175">
        <f t="shared" si="48"/>
        <v>0</v>
      </c>
      <c r="AD74" s="178"/>
      <c r="AE74" s="175">
        <f>+VLOOKUP($B74,[3]Sheet1!$B$8:$CF$406,32,0)</f>
        <v>160</v>
      </c>
      <c r="AF74" s="175">
        <f>+VLOOKUP($B74,[3]Sheet1!$B$8:$CF$406,33,0)</f>
        <v>160</v>
      </c>
      <c r="AG74" s="175">
        <f>+VLOOKUP($B74,[3]Sheet1!$B$8:$CF$406,34,0)</f>
        <v>160</v>
      </c>
      <c r="AH74" s="175">
        <f>+VLOOKUP($B74,[3]Sheet1!$B$8:$CF$406,35,0)</f>
        <v>160</v>
      </c>
      <c r="AI74" s="175">
        <f>+VLOOKUP($B74,[3]Sheet1!$B$8:$CF$406,36,0)</f>
        <v>0</v>
      </c>
      <c r="AJ74" s="175">
        <f t="shared" si="49"/>
        <v>640</v>
      </c>
      <c r="AK74" s="175">
        <f>'QTY '!Z74</f>
        <v>640</v>
      </c>
      <c r="AL74" s="175">
        <f t="shared" si="50"/>
        <v>0</v>
      </c>
      <c r="AM74" s="178"/>
      <c r="AN74" s="175">
        <f t="shared" si="51"/>
        <v>160</v>
      </c>
      <c r="AO74" s="175">
        <f t="shared" si="52"/>
        <v>160</v>
      </c>
      <c r="AP74" s="175">
        <f t="shared" si="53"/>
        <v>160</v>
      </c>
      <c r="AQ74" s="175">
        <f t="shared" si="54"/>
        <v>160</v>
      </c>
      <c r="AR74" s="175"/>
      <c r="AS74" s="175">
        <f t="shared" si="55"/>
        <v>640</v>
      </c>
      <c r="AT74" s="175">
        <f>'QTY '!AC74</f>
        <v>640</v>
      </c>
      <c r="AU74" s="175">
        <f t="shared" si="56"/>
        <v>0</v>
      </c>
      <c r="AV74" s="178"/>
    </row>
    <row r="75" spans="1:48" ht="18" customHeight="1">
      <c r="A75" s="237" t="str">
        <f>+'QTY '!B75</f>
        <v>BC111-4EE80-1</v>
      </c>
      <c r="B75" s="237" t="str">
        <f>+'QTY '!E75</f>
        <v>BC111-4EE80-1 C 0002</v>
      </c>
      <c r="C75" s="209">
        <f>'QTY '!F75</f>
        <v>0</v>
      </c>
      <c r="D75" s="175">
        <f>VLOOKUP($B75,[3]Sheet1!$B$8:$CF$451,14,0)</f>
        <v>620</v>
      </c>
      <c r="E75" s="175">
        <f>VLOOKUP($B75,[3]Sheet1!$B$8:$CF$451,15,0)</f>
        <v>620</v>
      </c>
      <c r="F75" s="175">
        <f>VLOOKUP($B75,[3]Sheet1!$B$8:$CF$451,16,0)</f>
        <v>620</v>
      </c>
      <c r="G75" s="175">
        <f>VLOOKUP($B75,[3]Sheet1!$B$8:$CF$451,17,0)</f>
        <v>620</v>
      </c>
      <c r="H75" s="175">
        <f>VLOOKUP($B75,[3]Sheet1!$B$8:$CF$451,18,0)</f>
        <v>0</v>
      </c>
      <c r="I75" s="175">
        <f t="shared" si="43"/>
        <v>2480</v>
      </c>
      <c r="J75" s="176">
        <f>'QTY '!Q75</f>
        <v>2480</v>
      </c>
      <c r="K75" s="176">
        <f t="shared" si="44"/>
        <v>0</v>
      </c>
      <c r="L75" s="177"/>
      <c r="M75" s="175">
        <f>VLOOKUP($B75,[3]Sheet1!$B$8:$CF$451,20,0)</f>
        <v>700</v>
      </c>
      <c r="N75" s="175">
        <f>VLOOKUP($B75,[3]Sheet1!$B$8:$CF$451,21,0)</f>
        <v>580</v>
      </c>
      <c r="O75" s="175">
        <f>VLOOKUP($B75,[3]Sheet1!$B$8:$CF$451,22,0)</f>
        <v>0</v>
      </c>
      <c r="P75" s="175">
        <f>VLOOKUP($B75,[3]Sheet1!$B$8:$CF$451,23,0)</f>
        <v>1060</v>
      </c>
      <c r="Q75" s="175">
        <f>VLOOKUP($B75,[3]Sheet1!$B$8:$CF$451,24,0)</f>
        <v>0</v>
      </c>
      <c r="R75" s="175">
        <f t="shared" si="45"/>
        <v>2340</v>
      </c>
      <c r="S75" s="175">
        <f>'QTY '!T75</f>
        <v>2340</v>
      </c>
      <c r="T75" s="176">
        <f t="shared" si="46"/>
        <v>0</v>
      </c>
      <c r="U75" s="178"/>
      <c r="V75" s="175">
        <f>+VLOOKUP($B75,[3]Sheet1!$B$8:$CF$406,26,0)</f>
        <v>860</v>
      </c>
      <c r="W75" s="175">
        <f>+VLOOKUP($B75,[3]Sheet1!$B$8:$CF$406,27,0)</f>
        <v>700</v>
      </c>
      <c r="X75" s="175">
        <f>+VLOOKUP($B75,[3]Sheet1!$B$8:$CF$406,28,0)</f>
        <v>720</v>
      </c>
      <c r="Y75" s="175">
        <f>+VLOOKUP($B75,[3]Sheet1!$B$8:$CF$406,29,0)</f>
        <v>580</v>
      </c>
      <c r="Z75" s="175">
        <f>+VLOOKUP($B75,[3]Sheet1!$B$8:$CF$406,30,0)</f>
        <v>0</v>
      </c>
      <c r="AA75" s="175">
        <f t="shared" si="47"/>
        <v>2860</v>
      </c>
      <c r="AB75" s="175">
        <f>'QTY '!W75</f>
        <v>2860</v>
      </c>
      <c r="AC75" s="175">
        <f t="shared" si="48"/>
        <v>0</v>
      </c>
      <c r="AD75" s="178"/>
      <c r="AE75" s="175">
        <f>+VLOOKUP($B75,[3]Sheet1!$B$8:$CF$406,32,0)</f>
        <v>640</v>
      </c>
      <c r="AF75" s="175">
        <f>+VLOOKUP($B75,[3]Sheet1!$B$8:$CF$406,33,0)</f>
        <v>640</v>
      </c>
      <c r="AG75" s="175">
        <f>+VLOOKUP($B75,[3]Sheet1!$B$8:$CF$406,34,0)</f>
        <v>640</v>
      </c>
      <c r="AH75" s="175">
        <f>+VLOOKUP($B75,[3]Sheet1!$B$8:$CF$406,35,0)</f>
        <v>640</v>
      </c>
      <c r="AI75" s="175">
        <f>+VLOOKUP($B75,[3]Sheet1!$B$8:$CF$406,36,0)</f>
        <v>0</v>
      </c>
      <c r="AJ75" s="175">
        <f t="shared" si="49"/>
        <v>2560</v>
      </c>
      <c r="AK75" s="175">
        <f>'QTY '!Z75</f>
        <v>2560</v>
      </c>
      <c r="AL75" s="175">
        <f t="shared" si="50"/>
        <v>0</v>
      </c>
      <c r="AM75" s="178"/>
      <c r="AN75" s="175">
        <f t="shared" si="51"/>
        <v>640</v>
      </c>
      <c r="AO75" s="175">
        <f t="shared" si="52"/>
        <v>640</v>
      </c>
      <c r="AP75" s="175">
        <f t="shared" si="53"/>
        <v>640</v>
      </c>
      <c r="AQ75" s="175">
        <f t="shared" si="54"/>
        <v>640</v>
      </c>
      <c r="AR75" s="175"/>
      <c r="AS75" s="175">
        <f t="shared" si="55"/>
        <v>2560</v>
      </c>
      <c r="AT75" s="175">
        <f>'QTY '!AC75</f>
        <v>2560</v>
      </c>
      <c r="AU75" s="175">
        <f t="shared" si="56"/>
        <v>0</v>
      </c>
      <c r="AV75" s="178"/>
    </row>
    <row r="76" spans="1:48" ht="18" customHeight="1">
      <c r="A76" s="237" t="str">
        <f>+'QTY '!B76</f>
        <v>BC111-47V60-1</v>
      </c>
      <c r="B76" s="237" t="str">
        <f>+'QTY '!E76</f>
        <v>BC111-47V60-1 C 0002</v>
      </c>
      <c r="C76" s="209">
        <f>'QTY '!F76</f>
        <v>0</v>
      </c>
      <c r="D76" s="175">
        <f>VLOOKUP($B76,[3]Sheet1!$B$8:$CF$451,14,0)</f>
        <v>240</v>
      </c>
      <c r="E76" s="175">
        <f>VLOOKUP($B76,[3]Sheet1!$B$8:$CF$451,15,0)</f>
        <v>240</v>
      </c>
      <c r="F76" s="175">
        <f>VLOOKUP($B76,[3]Sheet1!$B$8:$CF$451,16,0)</f>
        <v>280</v>
      </c>
      <c r="G76" s="175">
        <f>VLOOKUP($B76,[3]Sheet1!$B$8:$CF$451,17,0)</f>
        <v>280</v>
      </c>
      <c r="H76" s="175">
        <f>VLOOKUP($B76,[3]Sheet1!$B$8:$CF$451,18,0)</f>
        <v>0</v>
      </c>
      <c r="I76" s="175">
        <f t="shared" si="43"/>
        <v>1040</v>
      </c>
      <c r="J76" s="176">
        <f>'QTY '!Q76</f>
        <v>1040</v>
      </c>
      <c r="K76" s="176">
        <f t="shared" si="44"/>
        <v>0</v>
      </c>
      <c r="L76" s="177"/>
      <c r="M76" s="175">
        <f>VLOOKUP($B76,[3]Sheet1!$B$8:$CF$451,20,0)</f>
        <v>280</v>
      </c>
      <c r="N76" s="175">
        <f>VLOOKUP($B76,[3]Sheet1!$B$8:$CF$451,21,0)</f>
        <v>240</v>
      </c>
      <c r="O76" s="175">
        <f>VLOOKUP($B76,[3]Sheet1!$B$8:$CF$451,22,0)</f>
        <v>0</v>
      </c>
      <c r="P76" s="175">
        <f>VLOOKUP($B76,[3]Sheet1!$B$8:$CF$451,23,0)</f>
        <v>400</v>
      </c>
      <c r="Q76" s="175">
        <f>VLOOKUP($B76,[3]Sheet1!$B$8:$CF$451,24,0)</f>
        <v>0</v>
      </c>
      <c r="R76" s="175">
        <f t="shared" si="45"/>
        <v>920</v>
      </c>
      <c r="S76" s="175">
        <f>'QTY '!T76</f>
        <v>920</v>
      </c>
      <c r="T76" s="176">
        <f t="shared" si="46"/>
        <v>0</v>
      </c>
      <c r="U76" s="178"/>
      <c r="V76" s="175">
        <f>+VLOOKUP($B76,[3]Sheet1!$B$8:$CF$406,26,0)</f>
        <v>360</v>
      </c>
      <c r="W76" s="175">
        <f>+VLOOKUP($B76,[3]Sheet1!$B$8:$CF$406,27,0)</f>
        <v>240</v>
      </c>
      <c r="X76" s="175">
        <f>+VLOOKUP($B76,[3]Sheet1!$B$8:$CF$406,28,0)</f>
        <v>320</v>
      </c>
      <c r="Y76" s="175">
        <f>+VLOOKUP($B76,[3]Sheet1!$B$8:$CF$406,29,0)</f>
        <v>200</v>
      </c>
      <c r="Z76" s="175">
        <f>+VLOOKUP($B76,[3]Sheet1!$B$8:$CF$406,30,0)</f>
        <v>0</v>
      </c>
      <c r="AA76" s="175">
        <f t="shared" si="47"/>
        <v>1120</v>
      </c>
      <c r="AB76" s="175">
        <f>'QTY '!W76</f>
        <v>1120</v>
      </c>
      <c r="AC76" s="175">
        <f t="shared" si="48"/>
        <v>0</v>
      </c>
      <c r="AD76" s="178"/>
      <c r="AE76" s="175">
        <f>+VLOOKUP($B76,[3]Sheet1!$B$8:$CF$406,32,0)</f>
        <v>260</v>
      </c>
      <c r="AF76" s="175">
        <f>+VLOOKUP($B76,[3]Sheet1!$B$8:$CF$406,33,0)</f>
        <v>260</v>
      </c>
      <c r="AG76" s="175">
        <f>+VLOOKUP($B76,[3]Sheet1!$B$8:$CF$406,34,0)</f>
        <v>260</v>
      </c>
      <c r="AH76" s="175">
        <f>+VLOOKUP($B76,[3]Sheet1!$B$8:$CF$406,35,0)</f>
        <v>260</v>
      </c>
      <c r="AI76" s="175">
        <f>+VLOOKUP($B76,[3]Sheet1!$B$8:$CF$406,36,0)</f>
        <v>0</v>
      </c>
      <c r="AJ76" s="175">
        <f t="shared" si="49"/>
        <v>1040</v>
      </c>
      <c r="AK76" s="175">
        <f>'QTY '!Z76</f>
        <v>1040</v>
      </c>
      <c r="AL76" s="175">
        <f t="shared" si="50"/>
        <v>0</v>
      </c>
      <c r="AM76" s="178"/>
      <c r="AN76" s="175">
        <f t="shared" si="51"/>
        <v>260</v>
      </c>
      <c r="AO76" s="175">
        <f t="shared" si="52"/>
        <v>260</v>
      </c>
      <c r="AP76" s="175">
        <f t="shared" si="53"/>
        <v>260</v>
      </c>
      <c r="AQ76" s="175">
        <f t="shared" si="54"/>
        <v>260</v>
      </c>
      <c r="AR76" s="175"/>
      <c r="AS76" s="175">
        <f t="shared" si="55"/>
        <v>1040</v>
      </c>
      <c r="AT76" s="175">
        <f>'QTY '!AC76</f>
        <v>1040</v>
      </c>
      <c r="AU76" s="175">
        <f t="shared" si="56"/>
        <v>0</v>
      </c>
      <c r="AV76" s="178"/>
    </row>
    <row r="77" spans="1:48" ht="18" customHeight="1">
      <c r="A77" s="237" t="str">
        <f>+'QTY '!B77</f>
        <v>JN111-62064-1</v>
      </c>
      <c r="B77" s="237" t="str">
        <f>+'QTY '!E77</f>
        <v>JN111-62064-1   0001</v>
      </c>
      <c r="C77" s="209">
        <f>'QTY '!F77</f>
        <v>0</v>
      </c>
      <c r="D77" s="175">
        <f>VLOOKUP($B77,[3]Sheet1!$B$8:$CF$451,14,0)</f>
        <v>0</v>
      </c>
      <c r="E77" s="175">
        <f>VLOOKUP($B77,[3]Sheet1!$B$8:$CF$451,15,0)</f>
        <v>0</v>
      </c>
      <c r="F77" s="175">
        <f>VLOOKUP($B77,[3]Sheet1!$B$8:$CF$451,16,0)</f>
        <v>0</v>
      </c>
      <c r="G77" s="175">
        <f>VLOOKUP($B77,[3]Sheet1!$B$8:$CF$451,17,0)</f>
        <v>0</v>
      </c>
      <c r="H77" s="175">
        <f>VLOOKUP($B77,[3]Sheet1!$B$8:$CF$451,18,0)</f>
        <v>0</v>
      </c>
      <c r="I77" s="175">
        <f t="shared" si="43"/>
        <v>0</v>
      </c>
      <c r="J77" s="176">
        <f>'QTY '!Q77</f>
        <v>0</v>
      </c>
      <c r="K77" s="176">
        <f t="shared" si="44"/>
        <v>0</v>
      </c>
      <c r="L77" s="177"/>
      <c r="M77" s="175">
        <f>VLOOKUP($B77,[3]Sheet1!$B$8:$CF$451,20,0)</f>
        <v>0</v>
      </c>
      <c r="N77" s="175">
        <f>VLOOKUP($B77,[3]Sheet1!$B$8:$CF$451,21,0)</f>
        <v>0</v>
      </c>
      <c r="O77" s="175">
        <f>VLOOKUP($B77,[3]Sheet1!$B$8:$CF$451,22,0)</f>
        <v>0</v>
      </c>
      <c r="P77" s="175">
        <f>VLOOKUP($B77,[3]Sheet1!$B$8:$CF$451,23,0)</f>
        <v>0</v>
      </c>
      <c r="Q77" s="175">
        <f>VLOOKUP($B77,[3]Sheet1!$B$8:$CF$451,24,0)</f>
        <v>0</v>
      </c>
      <c r="R77" s="175">
        <f t="shared" si="45"/>
        <v>0</v>
      </c>
      <c r="S77" s="175">
        <f>'QTY '!T77</f>
        <v>0</v>
      </c>
      <c r="T77" s="176">
        <f t="shared" si="46"/>
        <v>0</v>
      </c>
      <c r="U77" s="178"/>
      <c r="V77" s="175">
        <f>+VLOOKUP($B77,[3]Sheet1!$B$8:$CF$406,26,0)</f>
        <v>0</v>
      </c>
      <c r="W77" s="175">
        <f>+VLOOKUP($B77,[3]Sheet1!$B$8:$CF$406,27,0)</f>
        <v>0</v>
      </c>
      <c r="X77" s="175">
        <f>+VLOOKUP($B77,[3]Sheet1!$B$8:$CF$406,28,0)</f>
        <v>0</v>
      </c>
      <c r="Y77" s="175">
        <f>+VLOOKUP($B77,[3]Sheet1!$B$8:$CF$406,29,0)</f>
        <v>0</v>
      </c>
      <c r="Z77" s="175">
        <f>+VLOOKUP($B77,[3]Sheet1!$B$8:$CF$406,30,0)</f>
        <v>0</v>
      </c>
      <c r="AA77" s="175">
        <f t="shared" si="47"/>
        <v>0</v>
      </c>
      <c r="AB77" s="175">
        <f>'QTY '!W77</f>
        <v>0</v>
      </c>
      <c r="AC77" s="175">
        <f t="shared" si="48"/>
        <v>0</v>
      </c>
      <c r="AD77" s="178"/>
      <c r="AE77" s="175">
        <f>+VLOOKUP($B77,[3]Sheet1!$B$8:$CF$406,32,0)</f>
        <v>0</v>
      </c>
      <c r="AF77" s="175">
        <f>+VLOOKUP($B77,[3]Sheet1!$B$8:$CF$406,33,0)</f>
        <v>0</v>
      </c>
      <c r="AG77" s="175">
        <f>+VLOOKUP($B77,[3]Sheet1!$B$8:$CF$406,34,0)</f>
        <v>0</v>
      </c>
      <c r="AH77" s="175">
        <f>+VLOOKUP($B77,[3]Sheet1!$B$8:$CF$406,35,0)</f>
        <v>0</v>
      </c>
      <c r="AI77" s="175">
        <f>+VLOOKUP($B77,[3]Sheet1!$B$8:$CF$406,36,0)</f>
        <v>0</v>
      </c>
      <c r="AJ77" s="175">
        <f t="shared" si="49"/>
        <v>0</v>
      </c>
      <c r="AK77" s="175">
        <f>'QTY '!Z77</f>
        <v>0</v>
      </c>
      <c r="AL77" s="175">
        <f t="shared" si="50"/>
        <v>0</v>
      </c>
      <c r="AM77" s="178"/>
      <c r="AN77" s="175">
        <f t="shared" si="51"/>
        <v>0</v>
      </c>
      <c r="AO77" s="175">
        <f t="shared" si="52"/>
        <v>0</v>
      </c>
      <c r="AP77" s="175">
        <f t="shared" si="53"/>
        <v>0</v>
      </c>
      <c r="AQ77" s="175">
        <f t="shared" si="54"/>
        <v>0</v>
      </c>
      <c r="AR77" s="175"/>
      <c r="AS77" s="175">
        <f t="shared" si="55"/>
        <v>0</v>
      </c>
      <c r="AT77" s="175">
        <f>'QTY '!AC77</f>
        <v>0</v>
      </c>
      <c r="AU77" s="175">
        <f t="shared" si="56"/>
        <v>0</v>
      </c>
      <c r="AV77" s="178"/>
    </row>
    <row r="78" spans="1:48" ht="18" customHeight="1">
      <c r="A78" s="237" t="str">
        <f>+'QTY '!B78</f>
        <v>JN111-62064-3</v>
      </c>
      <c r="B78" s="237" t="str">
        <f>+'QTY '!E78</f>
        <v>JN111-62064-3   0001</v>
      </c>
      <c r="C78" s="209">
        <f>'QTY '!F78</f>
        <v>0</v>
      </c>
      <c r="D78" s="175">
        <f>VLOOKUP($B78,[3]Sheet1!$B$8:$CF$451,14,0)</f>
        <v>0</v>
      </c>
      <c r="E78" s="175">
        <f>VLOOKUP($B78,[3]Sheet1!$B$8:$CF$451,15,0)</f>
        <v>0</v>
      </c>
      <c r="F78" s="175">
        <f>VLOOKUP($B78,[3]Sheet1!$B$8:$CF$451,16,0)</f>
        <v>0</v>
      </c>
      <c r="G78" s="175">
        <f>VLOOKUP($B78,[3]Sheet1!$B$8:$CF$451,17,0)</f>
        <v>0</v>
      </c>
      <c r="H78" s="175">
        <f>VLOOKUP($B78,[3]Sheet1!$B$8:$CF$451,18,0)</f>
        <v>0</v>
      </c>
      <c r="I78" s="175">
        <f t="shared" si="43"/>
        <v>0</v>
      </c>
      <c r="J78" s="176">
        <f>'QTY '!Q78</f>
        <v>0</v>
      </c>
      <c r="K78" s="176">
        <f t="shared" si="44"/>
        <v>0</v>
      </c>
      <c r="L78" s="177"/>
      <c r="M78" s="175">
        <f>VLOOKUP($B78,[3]Sheet1!$B$8:$CF$451,20,0)</f>
        <v>0</v>
      </c>
      <c r="N78" s="175">
        <f>VLOOKUP($B78,[3]Sheet1!$B$8:$CF$451,21,0)</f>
        <v>0</v>
      </c>
      <c r="O78" s="175">
        <f>VLOOKUP($B78,[3]Sheet1!$B$8:$CF$451,22,0)</f>
        <v>0</v>
      </c>
      <c r="P78" s="175">
        <f>VLOOKUP($B78,[3]Sheet1!$B$8:$CF$451,23,0)</f>
        <v>0</v>
      </c>
      <c r="Q78" s="175">
        <f>VLOOKUP($B78,[3]Sheet1!$B$8:$CF$451,24,0)</f>
        <v>0</v>
      </c>
      <c r="R78" s="175">
        <f t="shared" si="45"/>
        <v>0</v>
      </c>
      <c r="S78" s="175">
        <f>'QTY '!T78</f>
        <v>0</v>
      </c>
      <c r="T78" s="176">
        <f t="shared" si="46"/>
        <v>0</v>
      </c>
      <c r="U78" s="178"/>
      <c r="V78" s="175">
        <f>+VLOOKUP($B78,[3]Sheet1!$B$8:$CF$406,26,0)</f>
        <v>0</v>
      </c>
      <c r="W78" s="175">
        <f>+VLOOKUP($B78,[3]Sheet1!$B$8:$CF$406,27,0)</f>
        <v>0</v>
      </c>
      <c r="X78" s="175">
        <f>+VLOOKUP($B78,[3]Sheet1!$B$8:$CF$406,28,0)</f>
        <v>0</v>
      </c>
      <c r="Y78" s="175">
        <f>+VLOOKUP($B78,[3]Sheet1!$B$8:$CF$406,29,0)</f>
        <v>0</v>
      </c>
      <c r="Z78" s="175">
        <f>+VLOOKUP($B78,[3]Sheet1!$B$8:$CF$406,30,0)</f>
        <v>0</v>
      </c>
      <c r="AA78" s="175">
        <f t="shared" si="47"/>
        <v>0</v>
      </c>
      <c r="AB78" s="175">
        <f>'QTY '!W78</f>
        <v>0</v>
      </c>
      <c r="AC78" s="175">
        <f t="shared" si="48"/>
        <v>0</v>
      </c>
      <c r="AD78" s="178"/>
      <c r="AE78" s="175">
        <f>+VLOOKUP($B78,[3]Sheet1!$B$8:$CF$406,32,0)</f>
        <v>0</v>
      </c>
      <c r="AF78" s="175">
        <f>+VLOOKUP($B78,[3]Sheet1!$B$8:$CF$406,33,0)</f>
        <v>0</v>
      </c>
      <c r="AG78" s="175">
        <f>+VLOOKUP($B78,[3]Sheet1!$B$8:$CF$406,34,0)</f>
        <v>0</v>
      </c>
      <c r="AH78" s="175">
        <f>+VLOOKUP($B78,[3]Sheet1!$B$8:$CF$406,35,0)</f>
        <v>0</v>
      </c>
      <c r="AI78" s="175">
        <f>+VLOOKUP($B78,[3]Sheet1!$B$8:$CF$406,36,0)</f>
        <v>0</v>
      </c>
      <c r="AJ78" s="175">
        <f t="shared" si="49"/>
        <v>0</v>
      </c>
      <c r="AK78" s="175">
        <f>'QTY '!Z78</f>
        <v>0</v>
      </c>
      <c r="AL78" s="175">
        <f t="shared" si="50"/>
        <v>0</v>
      </c>
      <c r="AM78" s="178"/>
      <c r="AN78" s="175">
        <f t="shared" si="51"/>
        <v>0</v>
      </c>
      <c r="AO78" s="175">
        <f t="shared" si="52"/>
        <v>0</v>
      </c>
      <c r="AP78" s="175">
        <f t="shared" si="53"/>
        <v>0</v>
      </c>
      <c r="AQ78" s="175">
        <f t="shared" si="54"/>
        <v>0</v>
      </c>
      <c r="AR78" s="175"/>
      <c r="AS78" s="175">
        <f t="shared" si="55"/>
        <v>0</v>
      </c>
      <c r="AT78" s="175">
        <f>'QTY '!AC78</f>
        <v>0</v>
      </c>
      <c r="AU78" s="175">
        <f t="shared" si="56"/>
        <v>0</v>
      </c>
      <c r="AV78" s="178"/>
    </row>
    <row r="79" spans="1:48" ht="18" customHeight="1">
      <c r="A79" s="237" t="str">
        <f>+'QTY '!B79</f>
        <v>JN111-62215-1</v>
      </c>
      <c r="B79" s="237" t="str">
        <f>+'QTY '!E79</f>
        <v>JN111-62215-1   0001</v>
      </c>
      <c r="C79" s="209">
        <f>'QTY '!F79</f>
        <v>0</v>
      </c>
      <c r="D79" s="175">
        <f>VLOOKUP($B79,[3]Sheet1!$B$8:$CF$451,14,0)</f>
        <v>0</v>
      </c>
      <c r="E79" s="175">
        <f>VLOOKUP($B79,[3]Sheet1!$B$8:$CF$451,15,0)</f>
        <v>0</v>
      </c>
      <c r="F79" s="175">
        <f>VLOOKUP($B79,[3]Sheet1!$B$8:$CF$451,16,0)</f>
        <v>0</v>
      </c>
      <c r="G79" s="175">
        <f>VLOOKUP($B79,[3]Sheet1!$B$8:$CF$451,17,0)</f>
        <v>0</v>
      </c>
      <c r="H79" s="175">
        <f>VLOOKUP($B79,[3]Sheet1!$B$8:$CF$451,18,0)</f>
        <v>0</v>
      </c>
      <c r="I79" s="175">
        <f t="shared" si="43"/>
        <v>0</v>
      </c>
      <c r="J79" s="176">
        <f>'QTY '!Q79</f>
        <v>0</v>
      </c>
      <c r="K79" s="176">
        <f t="shared" si="44"/>
        <v>0</v>
      </c>
      <c r="L79" s="177"/>
      <c r="M79" s="175">
        <f>VLOOKUP($B79,[3]Sheet1!$B$8:$CF$451,20,0)</f>
        <v>0</v>
      </c>
      <c r="N79" s="175">
        <f>VLOOKUP($B79,[3]Sheet1!$B$8:$CF$451,21,0)</f>
        <v>0</v>
      </c>
      <c r="O79" s="175">
        <f>VLOOKUP($B79,[3]Sheet1!$B$8:$CF$451,22,0)</f>
        <v>0</v>
      </c>
      <c r="P79" s="175">
        <f>VLOOKUP($B79,[3]Sheet1!$B$8:$CF$451,23,0)</f>
        <v>0</v>
      </c>
      <c r="Q79" s="175">
        <f>VLOOKUP($B79,[3]Sheet1!$B$8:$CF$451,24,0)</f>
        <v>0</v>
      </c>
      <c r="R79" s="175">
        <f t="shared" si="45"/>
        <v>0</v>
      </c>
      <c r="S79" s="175">
        <f>'QTY '!T79</f>
        <v>0</v>
      </c>
      <c r="T79" s="176">
        <f t="shared" si="46"/>
        <v>0</v>
      </c>
      <c r="U79" s="178"/>
      <c r="V79" s="175">
        <f>+VLOOKUP($B79,[3]Sheet1!$B$8:$CF$406,26,0)</f>
        <v>0</v>
      </c>
      <c r="W79" s="175">
        <f>+VLOOKUP($B79,[3]Sheet1!$B$8:$CF$406,27,0)</f>
        <v>0</v>
      </c>
      <c r="X79" s="175">
        <f>+VLOOKUP($B79,[3]Sheet1!$B$8:$CF$406,28,0)</f>
        <v>0</v>
      </c>
      <c r="Y79" s="175">
        <f>+VLOOKUP($B79,[3]Sheet1!$B$8:$CF$406,29,0)</f>
        <v>0</v>
      </c>
      <c r="Z79" s="175">
        <f>+VLOOKUP($B79,[3]Sheet1!$B$8:$CF$406,30,0)</f>
        <v>0</v>
      </c>
      <c r="AA79" s="175">
        <f t="shared" si="47"/>
        <v>0</v>
      </c>
      <c r="AB79" s="175">
        <f>'QTY '!W79</f>
        <v>0</v>
      </c>
      <c r="AC79" s="175">
        <f t="shared" si="48"/>
        <v>0</v>
      </c>
      <c r="AD79" s="178"/>
      <c r="AE79" s="175">
        <f>+VLOOKUP($B79,[3]Sheet1!$B$8:$CF$406,32,0)</f>
        <v>12.5</v>
      </c>
      <c r="AF79" s="175">
        <f>+VLOOKUP($B79,[3]Sheet1!$B$8:$CF$406,33,0)</f>
        <v>12.5</v>
      </c>
      <c r="AG79" s="175">
        <f>+VLOOKUP($B79,[3]Sheet1!$B$8:$CF$406,34,0)</f>
        <v>12.5</v>
      </c>
      <c r="AH79" s="175">
        <f>+VLOOKUP($B79,[3]Sheet1!$B$8:$CF$406,35,0)</f>
        <v>12.5</v>
      </c>
      <c r="AI79" s="175">
        <f>+VLOOKUP($B79,[3]Sheet1!$B$8:$CF$406,36,0)</f>
        <v>0</v>
      </c>
      <c r="AJ79" s="175">
        <f t="shared" si="49"/>
        <v>50</v>
      </c>
      <c r="AK79" s="175">
        <f>'QTY '!Z79</f>
        <v>50</v>
      </c>
      <c r="AL79" s="175">
        <f t="shared" si="50"/>
        <v>0</v>
      </c>
      <c r="AM79" s="178"/>
      <c r="AN79" s="175">
        <f t="shared" si="51"/>
        <v>12.5</v>
      </c>
      <c r="AO79" s="175">
        <f t="shared" si="52"/>
        <v>12.5</v>
      </c>
      <c r="AP79" s="175">
        <f t="shared" si="53"/>
        <v>12.5</v>
      </c>
      <c r="AQ79" s="175">
        <f t="shared" si="54"/>
        <v>12.5</v>
      </c>
      <c r="AR79" s="175"/>
      <c r="AS79" s="175">
        <f t="shared" si="55"/>
        <v>50</v>
      </c>
      <c r="AT79" s="175">
        <f>'QTY '!AC79</f>
        <v>50</v>
      </c>
      <c r="AU79" s="175">
        <f t="shared" si="56"/>
        <v>0</v>
      </c>
      <c r="AV79" s="178"/>
    </row>
    <row r="80" spans="1:48" ht="18" customHeight="1">
      <c r="A80" s="237" t="str">
        <f>+'QTY '!B80</f>
        <v>JN111-62215-3</v>
      </c>
      <c r="B80" s="237" t="str">
        <f>+'QTY '!E80</f>
        <v>JN111-62215-3   0001</v>
      </c>
      <c r="C80" s="209">
        <f>'QTY '!F80</f>
        <v>0</v>
      </c>
      <c r="D80" s="175">
        <f>VLOOKUP($B80,[3]Sheet1!$B$8:$CF$451,14,0)</f>
        <v>0</v>
      </c>
      <c r="E80" s="175">
        <f>VLOOKUP($B80,[3]Sheet1!$B$8:$CF$451,15,0)</f>
        <v>0</v>
      </c>
      <c r="F80" s="175">
        <f>VLOOKUP($B80,[3]Sheet1!$B$8:$CF$451,16,0)</f>
        <v>0</v>
      </c>
      <c r="G80" s="175">
        <f>VLOOKUP($B80,[3]Sheet1!$B$8:$CF$451,17,0)</f>
        <v>50</v>
      </c>
      <c r="H80" s="175">
        <f>VLOOKUP($B80,[3]Sheet1!$B$8:$CF$451,18,0)</f>
        <v>0</v>
      </c>
      <c r="I80" s="175">
        <f t="shared" si="43"/>
        <v>50</v>
      </c>
      <c r="J80" s="176">
        <f>'QTY '!Q80</f>
        <v>50</v>
      </c>
      <c r="K80" s="176">
        <f t="shared" si="44"/>
        <v>0</v>
      </c>
      <c r="L80" s="177"/>
      <c r="M80" s="175">
        <f>VLOOKUP($B80,[3]Sheet1!$B$8:$CF$451,20,0)</f>
        <v>0</v>
      </c>
      <c r="N80" s="175">
        <f>VLOOKUP($B80,[3]Sheet1!$B$8:$CF$451,21,0)</f>
        <v>0</v>
      </c>
      <c r="O80" s="175">
        <f>VLOOKUP($B80,[3]Sheet1!$B$8:$CF$451,22,0)</f>
        <v>0</v>
      </c>
      <c r="P80" s="175">
        <f>VLOOKUP($B80,[3]Sheet1!$B$8:$CF$451,23,0)</f>
        <v>0</v>
      </c>
      <c r="Q80" s="175">
        <f>VLOOKUP($B80,[3]Sheet1!$B$8:$CF$451,24,0)</f>
        <v>0</v>
      </c>
      <c r="R80" s="175">
        <f t="shared" si="45"/>
        <v>0</v>
      </c>
      <c r="S80" s="175">
        <f>'QTY '!T80</f>
        <v>0</v>
      </c>
      <c r="T80" s="176">
        <f t="shared" si="46"/>
        <v>0</v>
      </c>
      <c r="U80" s="178"/>
      <c r="V80" s="175">
        <f>+VLOOKUP($B80,[3]Sheet1!$B$8:$CF$406,26,0)</f>
        <v>0</v>
      </c>
      <c r="W80" s="175">
        <f>+VLOOKUP($B80,[3]Sheet1!$B$8:$CF$406,27,0)</f>
        <v>0</v>
      </c>
      <c r="X80" s="175">
        <f>+VLOOKUP($B80,[3]Sheet1!$B$8:$CF$406,28,0)</f>
        <v>0</v>
      </c>
      <c r="Y80" s="175">
        <f>+VLOOKUP($B80,[3]Sheet1!$B$8:$CF$406,29,0)</f>
        <v>0</v>
      </c>
      <c r="Z80" s="175">
        <f>+VLOOKUP($B80,[3]Sheet1!$B$8:$CF$406,30,0)</f>
        <v>0</v>
      </c>
      <c r="AA80" s="175">
        <f t="shared" si="47"/>
        <v>0</v>
      </c>
      <c r="AB80" s="175">
        <f>'QTY '!W80</f>
        <v>0</v>
      </c>
      <c r="AC80" s="175">
        <f t="shared" si="48"/>
        <v>0</v>
      </c>
      <c r="AD80" s="178"/>
      <c r="AE80" s="175">
        <f>+VLOOKUP($B80,[3]Sheet1!$B$8:$CF$406,32,0)</f>
        <v>0</v>
      </c>
      <c r="AF80" s="175">
        <f>+VLOOKUP($B80,[3]Sheet1!$B$8:$CF$406,33,0)</f>
        <v>0</v>
      </c>
      <c r="AG80" s="175">
        <f>+VLOOKUP($B80,[3]Sheet1!$B$8:$CF$406,34,0)</f>
        <v>0</v>
      </c>
      <c r="AH80" s="175">
        <f>+VLOOKUP($B80,[3]Sheet1!$B$8:$CF$406,35,0)</f>
        <v>0</v>
      </c>
      <c r="AI80" s="175">
        <f>+VLOOKUP($B80,[3]Sheet1!$B$8:$CF$406,36,0)</f>
        <v>0</v>
      </c>
      <c r="AJ80" s="175">
        <f t="shared" si="49"/>
        <v>0</v>
      </c>
      <c r="AK80" s="175">
        <f>'QTY '!Z80</f>
        <v>0</v>
      </c>
      <c r="AL80" s="175">
        <f t="shared" si="50"/>
        <v>0</v>
      </c>
      <c r="AM80" s="178"/>
      <c r="AN80" s="175">
        <f t="shared" si="51"/>
        <v>0</v>
      </c>
      <c r="AO80" s="175">
        <f t="shared" si="52"/>
        <v>0</v>
      </c>
      <c r="AP80" s="175">
        <f t="shared" si="53"/>
        <v>0</v>
      </c>
      <c r="AQ80" s="175">
        <f t="shared" si="54"/>
        <v>0</v>
      </c>
      <c r="AR80" s="175"/>
      <c r="AS80" s="175">
        <f t="shared" si="55"/>
        <v>0</v>
      </c>
      <c r="AT80" s="175">
        <f>'QTY '!AC80</f>
        <v>0</v>
      </c>
      <c r="AU80" s="175">
        <f t="shared" si="56"/>
        <v>0</v>
      </c>
      <c r="AV80" s="178"/>
    </row>
    <row r="81" spans="1:48" ht="18" customHeight="1">
      <c r="A81" s="237" t="str">
        <f>+'QTY '!B81</f>
        <v>BC111-62064-2</v>
      </c>
      <c r="B81" s="237" t="str">
        <f>+'QTY '!E81</f>
        <v>BC111-62064-2   0001</v>
      </c>
      <c r="C81" s="209">
        <f>'QTY '!F81</f>
        <v>0</v>
      </c>
      <c r="D81" s="175">
        <f>VLOOKUP($B81,[3]Sheet1!$B$8:$CF$451,14,0)</f>
        <v>0</v>
      </c>
      <c r="E81" s="175">
        <f>VLOOKUP($B81,[3]Sheet1!$B$8:$CF$451,15,0)</f>
        <v>0</v>
      </c>
      <c r="F81" s="175">
        <f>VLOOKUP($B81,[3]Sheet1!$B$8:$CF$451,16,0)</f>
        <v>0</v>
      </c>
      <c r="G81" s="175">
        <f>VLOOKUP($B81,[3]Sheet1!$B$8:$CF$451,17,0)</f>
        <v>0</v>
      </c>
      <c r="H81" s="175">
        <f>VLOOKUP($B81,[3]Sheet1!$B$8:$CF$451,18,0)</f>
        <v>0</v>
      </c>
      <c r="I81" s="175">
        <f t="shared" si="43"/>
        <v>0</v>
      </c>
      <c r="J81" s="176">
        <f>'QTY '!Q81</f>
        <v>0</v>
      </c>
      <c r="K81" s="176">
        <f t="shared" si="44"/>
        <v>0</v>
      </c>
      <c r="L81" s="177"/>
      <c r="M81" s="175">
        <f>VLOOKUP($B81,[3]Sheet1!$B$8:$CF$451,20,0)</f>
        <v>0</v>
      </c>
      <c r="N81" s="175">
        <f>VLOOKUP($B81,[3]Sheet1!$B$8:$CF$451,21,0)</f>
        <v>0</v>
      </c>
      <c r="O81" s="175">
        <f>VLOOKUP($B81,[3]Sheet1!$B$8:$CF$451,22,0)</f>
        <v>0</v>
      </c>
      <c r="P81" s="175">
        <f>VLOOKUP($B81,[3]Sheet1!$B$8:$CF$451,23,0)</f>
        <v>0</v>
      </c>
      <c r="Q81" s="175">
        <f>VLOOKUP($B81,[3]Sheet1!$B$8:$CF$451,24,0)</f>
        <v>0</v>
      </c>
      <c r="R81" s="175">
        <f t="shared" si="45"/>
        <v>0</v>
      </c>
      <c r="S81" s="175">
        <f>'QTY '!T81</f>
        <v>0</v>
      </c>
      <c r="T81" s="176">
        <f t="shared" si="46"/>
        <v>0</v>
      </c>
      <c r="U81" s="178"/>
      <c r="V81" s="175">
        <f>+VLOOKUP($B81,[3]Sheet1!$B$8:$CF$406,26,0)</f>
        <v>0</v>
      </c>
      <c r="W81" s="175">
        <f>+VLOOKUP($B81,[3]Sheet1!$B$8:$CF$406,27,0)</f>
        <v>0</v>
      </c>
      <c r="X81" s="175">
        <f>+VLOOKUP($B81,[3]Sheet1!$B$8:$CF$406,28,0)</f>
        <v>0</v>
      </c>
      <c r="Y81" s="175">
        <f>+VLOOKUP($B81,[3]Sheet1!$B$8:$CF$406,29,0)</f>
        <v>0</v>
      </c>
      <c r="Z81" s="175">
        <f>+VLOOKUP($B81,[3]Sheet1!$B$8:$CF$406,30,0)</f>
        <v>0</v>
      </c>
      <c r="AA81" s="175">
        <f t="shared" si="47"/>
        <v>0</v>
      </c>
      <c r="AB81" s="175">
        <f>'QTY '!W81</f>
        <v>0</v>
      </c>
      <c r="AC81" s="175">
        <f t="shared" si="48"/>
        <v>0</v>
      </c>
      <c r="AD81" s="178"/>
      <c r="AE81" s="175">
        <f>+VLOOKUP($B81,[3]Sheet1!$B$8:$CF$406,32,0)</f>
        <v>0</v>
      </c>
      <c r="AF81" s="175">
        <f>+VLOOKUP($B81,[3]Sheet1!$B$8:$CF$406,33,0)</f>
        <v>0</v>
      </c>
      <c r="AG81" s="175">
        <f>+VLOOKUP($B81,[3]Sheet1!$B$8:$CF$406,34,0)</f>
        <v>0</v>
      </c>
      <c r="AH81" s="175">
        <f>+VLOOKUP($B81,[3]Sheet1!$B$8:$CF$406,35,0)</f>
        <v>0</v>
      </c>
      <c r="AI81" s="175">
        <f>+VLOOKUP($B81,[3]Sheet1!$B$8:$CF$406,36,0)</f>
        <v>0</v>
      </c>
      <c r="AJ81" s="175">
        <f t="shared" si="49"/>
        <v>0</v>
      </c>
      <c r="AK81" s="175">
        <f>'QTY '!Z81</f>
        <v>0</v>
      </c>
      <c r="AL81" s="175">
        <f t="shared" si="50"/>
        <v>0</v>
      </c>
      <c r="AM81" s="178"/>
      <c r="AN81" s="175">
        <f t="shared" si="51"/>
        <v>0</v>
      </c>
      <c r="AO81" s="175">
        <f t="shared" si="52"/>
        <v>0</v>
      </c>
      <c r="AP81" s="175">
        <f t="shared" si="53"/>
        <v>0</v>
      </c>
      <c r="AQ81" s="175">
        <f t="shared" si="54"/>
        <v>0</v>
      </c>
      <c r="AR81" s="175"/>
      <c r="AS81" s="175">
        <f t="shared" si="55"/>
        <v>0</v>
      </c>
      <c r="AT81" s="175">
        <f>'QTY '!AC81</f>
        <v>0</v>
      </c>
      <c r="AU81" s="175">
        <f t="shared" si="56"/>
        <v>0</v>
      </c>
      <c r="AV81" s="178"/>
    </row>
    <row r="82" spans="1:48" ht="18" customHeight="1">
      <c r="A82" s="237" t="str">
        <f>+'QTY '!B82</f>
        <v>BC111-62215-2</v>
      </c>
      <c r="B82" s="237" t="str">
        <f>+'QTY '!E82</f>
        <v>BC111-62215-2   0001</v>
      </c>
      <c r="C82" s="209">
        <f>'QTY '!F82</f>
        <v>0</v>
      </c>
      <c r="D82" s="175">
        <f>VLOOKUP($B82,[3]Sheet1!$B$8:$CF$451,14,0)</f>
        <v>20</v>
      </c>
      <c r="E82" s="175">
        <f>VLOOKUP($B82,[3]Sheet1!$B$8:$CF$451,15,0)</f>
        <v>0</v>
      </c>
      <c r="F82" s="175">
        <f>VLOOKUP($B82,[3]Sheet1!$B$8:$CF$451,16,0)</f>
        <v>20</v>
      </c>
      <c r="G82" s="175">
        <f>VLOOKUP($B82,[3]Sheet1!$B$8:$CF$451,17,0)</f>
        <v>0</v>
      </c>
      <c r="H82" s="175">
        <f>VLOOKUP($B82,[3]Sheet1!$B$8:$CF$451,18,0)</f>
        <v>0</v>
      </c>
      <c r="I82" s="175">
        <f t="shared" si="43"/>
        <v>40</v>
      </c>
      <c r="J82" s="176">
        <f>'QTY '!Q82</f>
        <v>40</v>
      </c>
      <c r="K82" s="176">
        <f t="shared" si="44"/>
        <v>0</v>
      </c>
      <c r="L82" s="177"/>
      <c r="M82" s="175">
        <f>VLOOKUP($B82,[3]Sheet1!$B$8:$CF$451,20,0)</f>
        <v>0</v>
      </c>
      <c r="N82" s="175">
        <f>VLOOKUP($B82,[3]Sheet1!$B$8:$CF$451,21,0)</f>
        <v>0</v>
      </c>
      <c r="O82" s="175">
        <f>VLOOKUP($B82,[3]Sheet1!$B$8:$CF$451,22,0)</f>
        <v>0</v>
      </c>
      <c r="P82" s="175">
        <f>VLOOKUP($B82,[3]Sheet1!$B$8:$CF$451,23,0)</f>
        <v>20</v>
      </c>
      <c r="Q82" s="175">
        <f>VLOOKUP($B82,[3]Sheet1!$B$8:$CF$451,24,0)</f>
        <v>0</v>
      </c>
      <c r="R82" s="175">
        <f t="shared" si="45"/>
        <v>20</v>
      </c>
      <c r="S82" s="175">
        <f>'QTY '!T82</f>
        <v>20</v>
      </c>
      <c r="T82" s="176">
        <f t="shared" si="46"/>
        <v>0</v>
      </c>
      <c r="U82" s="178"/>
      <c r="V82" s="175">
        <f>+VLOOKUP($B82,[3]Sheet1!$B$8:$CF$406,26,0)</f>
        <v>0</v>
      </c>
      <c r="W82" s="175">
        <f>+VLOOKUP($B82,[3]Sheet1!$B$8:$CF$406,27,0)</f>
        <v>0</v>
      </c>
      <c r="X82" s="175">
        <f>+VLOOKUP($B82,[3]Sheet1!$B$8:$CF$406,28,0)</f>
        <v>20</v>
      </c>
      <c r="Y82" s="175">
        <f>+VLOOKUP($B82,[3]Sheet1!$B$8:$CF$406,29,0)</f>
        <v>0</v>
      </c>
      <c r="Z82" s="175">
        <f>+VLOOKUP($B82,[3]Sheet1!$B$8:$CF$406,30,0)</f>
        <v>0</v>
      </c>
      <c r="AA82" s="175">
        <f t="shared" si="47"/>
        <v>20</v>
      </c>
      <c r="AB82" s="175">
        <f>'QTY '!W82</f>
        <v>20</v>
      </c>
      <c r="AC82" s="175">
        <f t="shared" si="48"/>
        <v>0</v>
      </c>
      <c r="AD82" s="178"/>
      <c r="AE82" s="175">
        <f>+VLOOKUP($B82,[3]Sheet1!$B$8:$CF$406,32,0)</f>
        <v>5</v>
      </c>
      <c r="AF82" s="175">
        <f>+VLOOKUP($B82,[3]Sheet1!$B$8:$CF$406,33,0)</f>
        <v>5</v>
      </c>
      <c r="AG82" s="175">
        <f>+VLOOKUP($B82,[3]Sheet1!$B$8:$CF$406,34,0)</f>
        <v>5</v>
      </c>
      <c r="AH82" s="175">
        <f>+VLOOKUP($B82,[3]Sheet1!$B$8:$CF$406,35,0)</f>
        <v>5</v>
      </c>
      <c r="AI82" s="175">
        <f>+VLOOKUP($B82,[3]Sheet1!$B$8:$CF$406,36,0)</f>
        <v>0</v>
      </c>
      <c r="AJ82" s="175">
        <f t="shared" si="49"/>
        <v>20</v>
      </c>
      <c r="AK82" s="175">
        <f>'QTY '!Z82</f>
        <v>20</v>
      </c>
      <c r="AL82" s="175">
        <f t="shared" si="50"/>
        <v>0</v>
      </c>
      <c r="AM82" s="178"/>
      <c r="AN82" s="175">
        <f t="shared" si="51"/>
        <v>5</v>
      </c>
      <c r="AO82" s="175">
        <f t="shared" si="52"/>
        <v>5</v>
      </c>
      <c r="AP82" s="175">
        <f t="shared" si="53"/>
        <v>5</v>
      </c>
      <c r="AQ82" s="175">
        <f t="shared" si="54"/>
        <v>5</v>
      </c>
      <c r="AR82" s="175"/>
      <c r="AS82" s="175">
        <f t="shared" si="55"/>
        <v>20</v>
      </c>
      <c r="AT82" s="175">
        <f>'QTY '!AC82</f>
        <v>20</v>
      </c>
      <c r="AU82" s="175">
        <f t="shared" si="56"/>
        <v>0</v>
      </c>
      <c r="AV82" s="178"/>
    </row>
    <row r="83" spans="1:48" ht="18" customHeight="1">
      <c r="A83" s="237" t="str">
        <f>+'QTY '!B83</f>
        <v>BC115-5CC80-1</v>
      </c>
      <c r="B83" s="237" t="str">
        <f>+'QTY '!E83</f>
        <v>BC115-5CC80-1   0001</v>
      </c>
      <c r="C83" s="209">
        <f>'QTY '!F83</f>
        <v>0</v>
      </c>
      <c r="D83" s="175">
        <f>VLOOKUP($B83,[3]Sheet1!$B$8:$CF$451,14,0)</f>
        <v>540</v>
      </c>
      <c r="E83" s="175">
        <f>VLOOKUP($B83,[3]Sheet1!$B$8:$CF$451,15,0)</f>
        <v>780</v>
      </c>
      <c r="F83" s="175">
        <f>VLOOKUP($B83,[3]Sheet1!$B$8:$CF$451,16,0)</f>
        <v>900</v>
      </c>
      <c r="G83" s="175">
        <f>VLOOKUP($B83,[3]Sheet1!$B$8:$CF$451,17,0)</f>
        <v>900</v>
      </c>
      <c r="H83" s="175">
        <f>VLOOKUP($B83,[3]Sheet1!$B$8:$CF$451,18,0)</f>
        <v>0</v>
      </c>
      <c r="I83" s="175">
        <f t="shared" si="43"/>
        <v>3120</v>
      </c>
      <c r="J83" s="176">
        <f>'QTY '!Q83</f>
        <v>3120</v>
      </c>
      <c r="K83" s="176">
        <f t="shared" si="44"/>
        <v>0</v>
      </c>
      <c r="L83" s="177"/>
      <c r="M83" s="175">
        <f>VLOOKUP($B83,[3]Sheet1!$B$8:$CF$451,20,0)</f>
        <v>1080</v>
      </c>
      <c r="N83" s="175">
        <f>VLOOKUP($B83,[3]Sheet1!$B$8:$CF$451,21,0)</f>
        <v>600</v>
      </c>
      <c r="O83" s="175">
        <f>VLOOKUP($B83,[3]Sheet1!$B$8:$CF$451,22,0)</f>
        <v>0</v>
      </c>
      <c r="P83" s="175">
        <f>VLOOKUP($B83,[3]Sheet1!$B$8:$CF$451,23,0)</f>
        <v>780</v>
      </c>
      <c r="Q83" s="175">
        <f>VLOOKUP($B83,[3]Sheet1!$B$8:$CF$451,24,0)</f>
        <v>0</v>
      </c>
      <c r="R83" s="175">
        <f t="shared" si="45"/>
        <v>2460</v>
      </c>
      <c r="S83" s="175">
        <f>'QTY '!T83</f>
        <v>2460</v>
      </c>
      <c r="T83" s="176">
        <f t="shared" si="46"/>
        <v>0</v>
      </c>
      <c r="U83" s="178"/>
      <c r="V83" s="175">
        <f>+VLOOKUP($B83,[3]Sheet1!$B$8:$CF$406,26,0)</f>
        <v>540</v>
      </c>
      <c r="W83" s="175">
        <f>+VLOOKUP($B83,[3]Sheet1!$B$8:$CF$406,27,0)</f>
        <v>480</v>
      </c>
      <c r="X83" s="175">
        <f>+VLOOKUP($B83,[3]Sheet1!$B$8:$CF$406,28,0)</f>
        <v>480</v>
      </c>
      <c r="Y83" s="175">
        <f>+VLOOKUP($B83,[3]Sheet1!$B$8:$CF$406,29,0)</f>
        <v>360</v>
      </c>
      <c r="Z83" s="175">
        <f>+VLOOKUP($B83,[3]Sheet1!$B$8:$CF$406,30,0)</f>
        <v>0</v>
      </c>
      <c r="AA83" s="175">
        <f t="shared" si="47"/>
        <v>1860</v>
      </c>
      <c r="AB83" s="175">
        <f>'QTY '!W83</f>
        <v>1860</v>
      </c>
      <c r="AC83" s="175">
        <f t="shared" si="48"/>
        <v>0</v>
      </c>
      <c r="AD83" s="178"/>
      <c r="AE83" s="175">
        <f>+VLOOKUP($B83,[3]Sheet1!$B$8:$CF$406,32,0)</f>
        <v>360</v>
      </c>
      <c r="AF83" s="175">
        <f>+VLOOKUP($B83,[3]Sheet1!$B$8:$CF$406,33,0)</f>
        <v>360</v>
      </c>
      <c r="AG83" s="175">
        <f>+VLOOKUP($B83,[3]Sheet1!$B$8:$CF$406,34,0)</f>
        <v>360</v>
      </c>
      <c r="AH83" s="175">
        <f>+VLOOKUP($B83,[3]Sheet1!$B$8:$CF$406,35,0)</f>
        <v>360</v>
      </c>
      <c r="AI83" s="175">
        <f>+VLOOKUP($B83,[3]Sheet1!$B$8:$CF$406,36,0)</f>
        <v>0</v>
      </c>
      <c r="AJ83" s="175">
        <f t="shared" si="49"/>
        <v>1440</v>
      </c>
      <c r="AK83" s="175">
        <f>'QTY '!Z83</f>
        <v>1440</v>
      </c>
      <c r="AL83" s="175">
        <f t="shared" si="50"/>
        <v>0</v>
      </c>
      <c r="AM83" s="178"/>
      <c r="AN83" s="175">
        <f t="shared" si="51"/>
        <v>360</v>
      </c>
      <c r="AO83" s="175">
        <f t="shared" si="52"/>
        <v>360</v>
      </c>
      <c r="AP83" s="175">
        <f t="shared" si="53"/>
        <v>360</v>
      </c>
      <c r="AQ83" s="175">
        <f t="shared" si="54"/>
        <v>360</v>
      </c>
      <c r="AR83" s="175"/>
      <c r="AS83" s="175">
        <f t="shared" si="55"/>
        <v>1440</v>
      </c>
      <c r="AT83" s="175">
        <f>'QTY '!AC83</f>
        <v>1440</v>
      </c>
      <c r="AU83" s="175">
        <f t="shared" si="56"/>
        <v>0</v>
      </c>
      <c r="AV83" s="178"/>
    </row>
    <row r="84" spans="1:48" ht="18" customHeight="1">
      <c r="A84" s="237" t="str">
        <f>+'QTY '!B84</f>
        <v>BC115-5CC80-2</v>
      </c>
      <c r="B84" s="237" t="str">
        <f>+'QTY '!E84</f>
        <v>BC115-5CC80-2   0001</v>
      </c>
      <c r="C84" s="209">
        <f>'QTY '!F84</f>
        <v>0</v>
      </c>
      <c r="D84" s="175">
        <f>VLOOKUP($B84,[3]Sheet1!$B$8:$CF$451,14,0)</f>
        <v>480</v>
      </c>
      <c r="E84" s="175">
        <f>VLOOKUP($B84,[3]Sheet1!$B$8:$CF$451,15,0)</f>
        <v>780</v>
      </c>
      <c r="F84" s="175">
        <f>VLOOKUP($B84,[3]Sheet1!$B$8:$CF$451,16,0)</f>
        <v>900</v>
      </c>
      <c r="G84" s="175">
        <f>VLOOKUP($B84,[3]Sheet1!$B$8:$CF$451,17,0)</f>
        <v>900</v>
      </c>
      <c r="H84" s="175">
        <f>VLOOKUP($B84,[3]Sheet1!$B$8:$CF$451,18,0)</f>
        <v>0</v>
      </c>
      <c r="I84" s="175">
        <f t="shared" si="43"/>
        <v>3060</v>
      </c>
      <c r="J84" s="176">
        <f>'QTY '!Q84</f>
        <v>3060</v>
      </c>
      <c r="K84" s="176">
        <f t="shared" si="44"/>
        <v>0</v>
      </c>
      <c r="L84" s="177"/>
      <c r="M84" s="175">
        <f>VLOOKUP($B84,[3]Sheet1!$B$8:$CF$451,20,0)</f>
        <v>1080</v>
      </c>
      <c r="N84" s="175">
        <f>VLOOKUP($B84,[3]Sheet1!$B$8:$CF$451,21,0)</f>
        <v>600</v>
      </c>
      <c r="O84" s="175">
        <f>VLOOKUP($B84,[3]Sheet1!$B$8:$CF$451,22,0)</f>
        <v>0</v>
      </c>
      <c r="P84" s="175">
        <f>VLOOKUP($B84,[3]Sheet1!$B$8:$CF$451,23,0)</f>
        <v>780</v>
      </c>
      <c r="Q84" s="175">
        <f>VLOOKUP($B84,[3]Sheet1!$B$8:$CF$451,24,0)</f>
        <v>0</v>
      </c>
      <c r="R84" s="175">
        <f t="shared" si="45"/>
        <v>2460</v>
      </c>
      <c r="S84" s="175">
        <f>'QTY '!T84</f>
        <v>2460</v>
      </c>
      <c r="T84" s="176">
        <f t="shared" si="46"/>
        <v>0</v>
      </c>
      <c r="U84" s="178"/>
      <c r="V84" s="175">
        <f>+VLOOKUP($B84,[3]Sheet1!$B$8:$CF$406,26,0)</f>
        <v>540</v>
      </c>
      <c r="W84" s="175">
        <f>+VLOOKUP($B84,[3]Sheet1!$B$8:$CF$406,27,0)</f>
        <v>480</v>
      </c>
      <c r="X84" s="175">
        <f>+VLOOKUP($B84,[3]Sheet1!$B$8:$CF$406,28,0)</f>
        <v>480</v>
      </c>
      <c r="Y84" s="175">
        <f>+VLOOKUP($B84,[3]Sheet1!$B$8:$CF$406,29,0)</f>
        <v>360</v>
      </c>
      <c r="Z84" s="175">
        <f>+VLOOKUP($B84,[3]Sheet1!$B$8:$CF$406,30,0)</f>
        <v>0</v>
      </c>
      <c r="AA84" s="175">
        <f t="shared" si="47"/>
        <v>1860</v>
      </c>
      <c r="AB84" s="175">
        <f>'QTY '!W84</f>
        <v>1860</v>
      </c>
      <c r="AC84" s="175">
        <f t="shared" si="48"/>
        <v>0</v>
      </c>
      <c r="AD84" s="178"/>
      <c r="AE84" s="175">
        <f>+VLOOKUP($B84,[3]Sheet1!$B$8:$CF$406,32,0)</f>
        <v>360</v>
      </c>
      <c r="AF84" s="175">
        <f>+VLOOKUP($B84,[3]Sheet1!$B$8:$CF$406,33,0)</f>
        <v>360</v>
      </c>
      <c r="AG84" s="175">
        <f>+VLOOKUP($B84,[3]Sheet1!$B$8:$CF$406,34,0)</f>
        <v>360</v>
      </c>
      <c r="AH84" s="175">
        <f>+VLOOKUP($B84,[3]Sheet1!$B$8:$CF$406,35,0)</f>
        <v>360</v>
      </c>
      <c r="AI84" s="175">
        <f>+VLOOKUP($B84,[3]Sheet1!$B$8:$CF$406,36,0)</f>
        <v>0</v>
      </c>
      <c r="AJ84" s="175">
        <f t="shared" si="49"/>
        <v>1440</v>
      </c>
      <c r="AK84" s="175">
        <f>'QTY '!Z84</f>
        <v>1440</v>
      </c>
      <c r="AL84" s="175">
        <f t="shared" si="50"/>
        <v>0</v>
      </c>
      <c r="AM84" s="178"/>
      <c r="AN84" s="175">
        <f t="shared" si="51"/>
        <v>360</v>
      </c>
      <c r="AO84" s="175">
        <f t="shared" si="52"/>
        <v>360</v>
      </c>
      <c r="AP84" s="175">
        <f t="shared" si="53"/>
        <v>360</v>
      </c>
      <c r="AQ84" s="175">
        <f t="shared" si="54"/>
        <v>360</v>
      </c>
      <c r="AR84" s="175"/>
      <c r="AS84" s="175">
        <f t="shared" si="55"/>
        <v>1440</v>
      </c>
      <c r="AT84" s="175">
        <f>'QTY '!AC84</f>
        <v>1440</v>
      </c>
      <c r="AU84" s="175">
        <f t="shared" si="56"/>
        <v>0</v>
      </c>
      <c r="AV84" s="178"/>
    </row>
  </sheetData>
  <mergeCells count="8">
    <mergeCell ref="AE6:AM7"/>
    <mergeCell ref="AN6:AV7"/>
    <mergeCell ref="D6:L7"/>
    <mergeCell ref="A6:A8"/>
    <mergeCell ref="B6:B8"/>
    <mergeCell ref="C6:C8"/>
    <mergeCell ref="V6:AD7"/>
    <mergeCell ref="M6:U7"/>
  </mergeCells>
  <phoneticPr fontId="31"/>
  <conditionalFormatting sqref="I9 D9:G9 M9:S9 Z10:Z54 U9:AV9 AI10:AI54 Q10:Q84">
    <cfRule type="expression" dxfId="521" priority="1157">
      <formula>D9=#REF!</formula>
    </cfRule>
  </conditionalFormatting>
  <conditionalFormatting sqref="I9 D9:G9 M9:S9 Z10:Z54 U9:AV9 AI10:AI54 Q10:Q84">
    <cfRule type="expression" priority="1158">
      <formula>D9=#REF!</formula>
    </cfRule>
  </conditionalFormatting>
  <conditionalFormatting sqref="I9 D9:G9 M9:S9 Z10:Z54 U9:AV9 AI10:AI54 Q10:Q84">
    <cfRule type="expression" dxfId="520" priority="1159">
      <formula>D9=#REF!</formula>
    </cfRule>
  </conditionalFormatting>
  <conditionalFormatting sqref="AU9 AL9 AC9 AU56:AU84 AL56:AL84 AC56:AC84">
    <cfRule type="cellIs" dxfId="519" priority="1156" stopIfTrue="1" operator="equal">
      <formula>AD9</formula>
    </cfRule>
  </conditionalFormatting>
  <conditionalFormatting sqref="L9">
    <cfRule type="cellIs" dxfId="518" priority="1160" stopIfTrue="1" operator="equal">
      <formula>#REF!</formula>
    </cfRule>
    <cfRule type="cellIs" dxfId="517" priority="1161" stopIfTrue="1" operator="equal">
      <formula>#REF!=#REF!</formula>
    </cfRule>
  </conditionalFormatting>
  <conditionalFormatting sqref="K9">
    <cfRule type="cellIs" dxfId="516" priority="1162" stopIfTrue="1" operator="equal">
      <formula>$L9</formula>
    </cfRule>
    <cfRule type="cellIs" dxfId="515" priority="1163" stopIfTrue="1" operator="equal">
      <formula>#REF!</formula>
    </cfRule>
  </conditionalFormatting>
  <conditionalFormatting sqref="T9">
    <cfRule type="cellIs" dxfId="514" priority="1164" stopIfTrue="1" operator="equal">
      <formula>U9</formula>
    </cfRule>
    <cfRule type="cellIs" dxfId="513" priority="1165" stopIfTrue="1" operator="equal">
      <formula>$L9</formula>
    </cfRule>
    <cfRule type="cellIs" dxfId="512" priority="1166" stopIfTrue="1" operator="equal">
      <formula>#REF!</formula>
    </cfRule>
  </conditionalFormatting>
  <conditionalFormatting sqref="D9:G9">
    <cfRule type="expression" dxfId="511" priority="265">
      <formula>D9=#REF!</formula>
    </cfRule>
  </conditionalFormatting>
  <conditionalFormatting sqref="D9:G9">
    <cfRule type="expression" priority="266">
      <formula>D9=#REF!</formula>
    </cfRule>
  </conditionalFormatting>
  <conditionalFormatting sqref="D9:G9">
    <cfRule type="expression" dxfId="510" priority="267">
      <formula>D9=#REF!</formula>
    </cfRule>
  </conditionalFormatting>
  <conditionalFormatting sqref="G9">
    <cfRule type="expression" dxfId="509" priority="203">
      <formula>G9=#REF!</formula>
    </cfRule>
  </conditionalFormatting>
  <conditionalFormatting sqref="G9">
    <cfRule type="expression" priority="204">
      <formula>G9=#REF!</formula>
    </cfRule>
  </conditionalFormatting>
  <conditionalFormatting sqref="G9">
    <cfRule type="expression" dxfId="508" priority="205">
      <formula>G9=#REF!</formula>
    </cfRule>
  </conditionalFormatting>
  <conditionalFormatting sqref="I10:I46 M10:P46 U10:Y47 D10:G46 D47:E47 AA10:AH47 AJ10:AV47 R10:S47">
    <cfRule type="expression" dxfId="507" priority="193">
      <formula>D10=#REF!</formula>
    </cfRule>
  </conditionalFormatting>
  <conditionalFormatting sqref="I10:I46 M10:P46 U10:Y47 D10:G46 D47:E47 AA10:AH47 AJ10:AV47 R10:S47">
    <cfRule type="expression" priority="194">
      <formula>D10=#REF!</formula>
    </cfRule>
  </conditionalFormatting>
  <conditionalFormatting sqref="I10:I46 M10:P46 U10:Y47 D10:G46 D47:E47 AA10:AH47 AJ10:AV47 R10:S47">
    <cfRule type="expression" dxfId="506" priority="195">
      <formula>D10=#REF!</formula>
    </cfRule>
  </conditionalFormatting>
  <conditionalFormatting sqref="AU10:AU47 AL10:AL47 AC10:AC47">
    <cfRule type="cellIs" dxfId="505" priority="192" stopIfTrue="1" operator="equal">
      <formula>AD10</formula>
    </cfRule>
  </conditionalFormatting>
  <conditionalFormatting sqref="L10:L47">
    <cfRule type="cellIs" dxfId="504" priority="196" stopIfTrue="1" operator="equal">
      <formula>#REF!</formula>
    </cfRule>
    <cfRule type="cellIs" dxfId="503" priority="197" stopIfTrue="1" operator="equal">
      <formula>#REF!=#REF!</formula>
    </cfRule>
  </conditionalFormatting>
  <conditionalFormatting sqref="K10:K47">
    <cfRule type="cellIs" dxfId="502" priority="198" stopIfTrue="1" operator="equal">
      <formula>$L10</formula>
    </cfRule>
    <cfRule type="cellIs" dxfId="501" priority="199" stopIfTrue="1" operator="equal">
      <formula>#REF!</formula>
    </cfRule>
  </conditionalFormatting>
  <conditionalFormatting sqref="T10:T47">
    <cfRule type="cellIs" dxfId="500" priority="200" stopIfTrue="1" operator="equal">
      <formula>U10</formula>
    </cfRule>
    <cfRule type="cellIs" dxfId="499" priority="201" stopIfTrue="1" operator="equal">
      <formula>$L10</formula>
    </cfRule>
    <cfRule type="cellIs" dxfId="498" priority="202" stopIfTrue="1" operator="equal">
      <formula>#REF!</formula>
    </cfRule>
  </conditionalFormatting>
  <conditionalFormatting sqref="H10:H46">
    <cfRule type="expression" dxfId="497" priority="189">
      <formula>H10=#REF!</formula>
    </cfRule>
  </conditionalFormatting>
  <conditionalFormatting sqref="H10:H46">
    <cfRule type="expression" priority="190">
      <formula>H10=#REF!</formula>
    </cfRule>
  </conditionalFormatting>
  <conditionalFormatting sqref="H10:H46">
    <cfRule type="expression" dxfId="496" priority="191">
      <formula>H10=#REF!</formula>
    </cfRule>
  </conditionalFormatting>
  <conditionalFormatting sqref="D10:G46 D47:E47">
    <cfRule type="expression" dxfId="495" priority="186">
      <formula>D10=#REF!</formula>
    </cfRule>
  </conditionalFormatting>
  <conditionalFormatting sqref="D10:G46 D47:E47">
    <cfRule type="expression" priority="187">
      <formula>D10=#REF!</formula>
    </cfRule>
  </conditionalFormatting>
  <conditionalFormatting sqref="D10:G46 D47:E47">
    <cfRule type="expression" dxfId="494" priority="188">
      <formula>D10=#REF!</formula>
    </cfRule>
  </conditionalFormatting>
  <conditionalFormatting sqref="G10:G46">
    <cfRule type="expression" dxfId="493" priority="183">
      <formula>G10=#REF!</formula>
    </cfRule>
  </conditionalFormatting>
  <conditionalFormatting sqref="G10:G46">
    <cfRule type="expression" priority="184">
      <formula>G10=#REF!</formula>
    </cfRule>
  </conditionalFormatting>
  <conditionalFormatting sqref="G10:G46">
    <cfRule type="expression" dxfId="492" priority="185">
      <formula>G10=#REF!</formula>
    </cfRule>
  </conditionalFormatting>
  <conditionalFormatting sqref="F47:I47">
    <cfRule type="expression" dxfId="491" priority="171">
      <formula>F47=#REF!</formula>
    </cfRule>
  </conditionalFormatting>
  <conditionalFormatting sqref="F47:I47">
    <cfRule type="expression" priority="172">
      <formula>F47=#REF!</formula>
    </cfRule>
  </conditionalFormatting>
  <conditionalFormatting sqref="F47:I47">
    <cfRule type="expression" dxfId="490" priority="173">
      <formula>F47=#REF!</formula>
    </cfRule>
  </conditionalFormatting>
  <conditionalFormatting sqref="F47:I47">
    <cfRule type="expression" dxfId="489" priority="168">
      <formula>F47=#REF!</formula>
    </cfRule>
  </conditionalFormatting>
  <conditionalFormatting sqref="F47:I47">
    <cfRule type="expression" priority="169">
      <formula>F47=#REF!</formula>
    </cfRule>
  </conditionalFormatting>
  <conditionalFormatting sqref="F47:I47">
    <cfRule type="expression" dxfId="488" priority="170">
      <formula>F47=#REF!</formula>
    </cfRule>
  </conditionalFormatting>
  <conditionalFormatting sqref="M47">
    <cfRule type="expression" dxfId="487" priority="165">
      <formula>M47=#REF!</formula>
    </cfRule>
  </conditionalFormatting>
  <conditionalFormatting sqref="M47">
    <cfRule type="expression" priority="166">
      <formula>M47=#REF!</formula>
    </cfRule>
  </conditionalFormatting>
  <conditionalFormatting sqref="M47">
    <cfRule type="expression" dxfId="486" priority="167">
      <formula>M47=#REF!</formula>
    </cfRule>
  </conditionalFormatting>
  <conditionalFormatting sqref="M47">
    <cfRule type="expression" dxfId="485" priority="162">
      <formula>M47=#REF!</formula>
    </cfRule>
  </conditionalFormatting>
  <conditionalFormatting sqref="M47">
    <cfRule type="expression" priority="163">
      <formula>M47=#REF!</formula>
    </cfRule>
  </conditionalFormatting>
  <conditionalFormatting sqref="M47">
    <cfRule type="expression" dxfId="484" priority="164">
      <formula>M47=#REF!</formula>
    </cfRule>
  </conditionalFormatting>
  <conditionalFormatting sqref="N47:P47">
    <cfRule type="expression" dxfId="483" priority="159">
      <formula>N47=#REF!</formula>
    </cfRule>
  </conditionalFormatting>
  <conditionalFormatting sqref="N47:P47">
    <cfRule type="expression" priority="160">
      <formula>N47=#REF!</formula>
    </cfRule>
  </conditionalFormatting>
  <conditionalFormatting sqref="N47:P47">
    <cfRule type="expression" dxfId="482" priority="161">
      <formula>N47=#REF!</formula>
    </cfRule>
  </conditionalFormatting>
  <conditionalFormatting sqref="N47:P47">
    <cfRule type="expression" dxfId="481" priority="156">
      <formula>N47=#REF!</formula>
    </cfRule>
  </conditionalFormatting>
  <conditionalFormatting sqref="N47:P47">
    <cfRule type="expression" priority="157">
      <formula>N47=#REF!</formula>
    </cfRule>
  </conditionalFormatting>
  <conditionalFormatting sqref="N47:P47">
    <cfRule type="expression" dxfId="480" priority="158">
      <formula>N47=#REF!</formula>
    </cfRule>
  </conditionalFormatting>
  <conditionalFormatting sqref="U48:Y51 D48:E51 R48:S51 AA48:AH51 AJ48:AV51">
    <cfRule type="expression" dxfId="479" priority="146">
      <formula>D48=#REF!</formula>
    </cfRule>
  </conditionalFormatting>
  <conditionalFormatting sqref="U48:Y51 D48:E51 R48:S51 AA48:AH51 AJ48:AV51">
    <cfRule type="expression" priority="147">
      <formula>D48=#REF!</formula>
    </cfRule>
  </conditionalFormatting>
  <conditionalFormatting sqref="U48:Y51 D48:E51 R48:S51 AA48:AH51 AJ48:AV51">
    <cfRule type="expression" dxfId="478" priority="148">
      <formula>D48=#REF!</formula>
    </cfRule>
  </conditionalFormatting>
  <conditionalFormatting sqref="AU48:AU51 AL48:AL51 AC48:AC51">
    <cfRule type="cellIs" dxfId="477" priority="145" stopIfTrue="1" operator="equal">
      <formula>AD48</formula>
    </cfRule>
  </conditionalFormatting>
  <conditionalFormatting sqref="L48:L51">
    <cfRule type="cellIs" dxfId="476" priority="149" stopIfTrue="1" operator="equal">
      <formula>#REF!</formula>
    </cfRule>
    <cfRule type="cellIs" dxfId="475" priority="150" stopIfTrue="1" operator="equal">
      <formula>#REF!=#REF!</formula>
    </cfRule>
  </conditionalFormatting>
  <conditionalFormatting sqref="K48:K51">
    <cfRule type="cellIs" dxfId="474" priority="151" stopIfTrue="1" operator="equal">
      <formula>$L48</formula>
    </cfRule>
    <cfRule type="cellIs" dxfId="473" priority="152" stopIfTrue="1" operator="equal">
      <formula>#REF!</formula>
    </cfRule>
  </conditionalFormatting>
  <conditionalFormatting sqref="T48:T51">
    <cfRule type="cellIs" dxfId="472" priority="153" stopIfTrue="1" operator="equal">
      <formula>U48</formula>
    </cfRule>
    <cfRule type="cellIs" dxfId="471" priority="154" stopIfTrue="1" operator="equal">
      <formula>$L48</formula>
    </cfRule>
    <cfRule type="cellIs" dxfId="470" priority="155" stopIfTrue="1" operator="equal">
      <formula>#REF!</formula>
    </cfRule>
  </conditionalFormatting>
  <conditionalFormatting sqref="D48:E51">
    <cfRule type="expression" dxfId="469" priority="142">
      <formula>D48=#REF!</formula>
    </cfRule>
  </conditionalFormatting>
  <conditionalFormatting sqref="D48:E51">
    <cfRule type="expression" priority="143">
      <formula>D48=#REF!</formula>
    </cfRule>
  </conditionalFormatting>
  <conditionalFormatting sqref="D48:E51">
    <cfRule type="expression" dxfId="468" priority="144">
      <formula>D48=#REF!</formula>
    </cfRule>
  </conditionalFormatting>
  <conditionalFormatting sqref="F48:I51">
    <cfRule type="expression" dxfId="467" priority="139">
      <formula>F48=#REF!</formula>
    </cfRule>
  </conditionalFormatting>
  <conditionalFormatting sqref="F48:I51">
    <cfRule type="expression" priority="140">
      <formula>F48=#REF!</formula>
    </cfRule>
  </conditionalFormatting>
  <conditionalFormatting sqref="F48:I51">
    <cfRule type="expression" dxfId="466" priority="141">
      <formula>F48=#REF!</formula>
    </cfRule>
  </conditionalFormatting>
  <conditionalFormatting sqref="F48:I51">
    <cfRule type="expression" dxfId="465" priority="136">
      <formula>F48=#REF!</formula>
    </cfRule>
  </conditionalFormatting>
  <conditionalFormatting sqref="F48:I51">
    <cfRule type="expression" priority="137">
      <formula>F48=#REF!</formula>
    </cfRule>
  </conditionalFormatting>
  <conditionalFormatting sqref="F48:I51">
    <cfRule type="expression" dxfId="464" priority="138">
      <formula>F48=#REF!</formula>
    </cfRule>
  </conditionalFormatting>
  <conditionalFormatting sqref="M48:M51">
    <cfRule type="expression" dxfId="463" priority="133">
      <formula>M48=#REF!</formula>
    </cfRule>
  </conditionalFormatting>
  <conditionalFormatting sqref="M48:M51">
    <cfRule type="expression" priority="134">
      <formula>M48=#REF!</formula>
    </cfRule>
  </conditionalFormatting>
  <conditionalFormatting sqref="M48:M51">
    <cfRule type="expression" dxfId="462" priority="135">
      <formula>M48=#REF!</formula>
    </cfRule>
  </conditionalFormatting>
  <conditionalFormatting sqref="M48:M51">
    <cfRule type="expression" dxfId="461" priority="130">
      <formula>M48=#REF!</formula>
    </cfRule>
  </conditionalFormatting>
  <conditionalFormatting sqref="M48:M51">
    <cfRule type="expression" priority="131">
      <formula>M48=#REF!</formula>
    </cfRule>
  </conditionalFormatting>
  <conditionalFormatting sqref="M48:M51">
    <cfRule type="expression" dxfId="460" priority="132">
      <formula>M48=#REF!</formula>
    </cfRule>
  </conditionalFormatting>
  <conditionalFormatting sqref="N48:P51">
    <cfRule type="expression" dxfId="459" priority="127">
      <formula>N48=#REF!</formula>
    </cfRule>
  </conditionalFormatting>
  <conditionalFormatting sqref="N48:P51">
    <cfRule type="expression" priority="128">
      <formula>N48=#REF!</formula>
    </cfRule>
  </conditionalFormatting>
  <conditionalFormatting sqref="N48:P51">
    <cfRule type="expression" dxfId="458" priority="129">
      <formula>N48=#REF!</formula>
    </cfRule>
  </conditionalFormatting>
  <conditionalFormatting sqref="N48:P51">
    <cfRule type="expression" dxfId="457" priority="124">
      <formula>N48=#REF!</formula>
    </cfRule>
  </conditionalFormatting>
  <conditionalFormatting sqref="N48:P51">
    <cfRule type="expression" priority="125">
      <formula>N48=#REF!</formula>
    </cfRule>
  </conditionalFormatting>
  <conditionalFormatting sqref="N48:P51">
    <cfRule type="expression" dxfId="456" priority="126">
      <formula>N48=#REF!</formula>
    </cfRule>
  </conditionalFormatting>
  <conditionalFormatting sqref="U52:Y54 D52:E54 R52:S54 AA52:AH54 AJ52:AV54">
    <cfRule type="expression" dxfId="455" priority="114">
      <formula>D52=#REF!</formula>
    </cfRule>
  </conditionalFormatting>
  <conditionalFormatting sqref="U52:Y54 D52:E54 R52:S54 AA52:AH54 AJ52:AV54">
    <cfRule type="expression" priority="115">
      <formula>D52=#REF!</formula>
    </cfRule>
  </conditionalFormatting>
  <conditionalFormatting sqref="U52:Y54 D52:E54 R52:S54 AA52:AH54 AJ52:AV54">
    <cfRule type="expression" dxfId="454" priority="116">
      <formula>D52=#REF!</formula>
    </cfRule>
  </conditionalFormatting>
  <conditionalFormatting sqref="AU52:AU54 AL52:AL54 AC52:AC54">
    <cfRule type="cellIs" dxfId="453" priority="113" stopIfTrue="1" operator="equal">
      <formula>AD52</formula>
    </cfRule>
  </conditionalFormatting>
  <conditionalFormatting sqref="L52:L54">
    <cfRule type="cellIs" dxfId="452" priority="117" stopIfTrue="1" operator="equal">
      <formula>#REF!</formula>
    </cfRule>
    <cfRule type="cellIs" dxfId="451" priority="118" stopIfTrue="1" operator="equal">
      <formula>#REF!=#REF!</formula>
    </cfRule>
  </conditionalFormatting>
  <conditionalFormatting sqref="K52:K54 K56:K84">
    <cfRule type="cellIs" dxfId="450" priority="119" stopIfTrue="1" operator="equal">
      <formula>$L52</formula>
    </cfRule>
    <cfRule type="cellIs" dxfId="449" priority="120" stopIfTrue="1" operator="equal">
      <formula>#REF!</formula>
    </cfRule>
  </conditionalFormatting>
  <conditionalFormatting sqref="T52:T54 T56:T84">
    <cfRule type="cellIs" dxfId="448" priority="121" stopIfTrue="1" operator="equal">
      <formula>U52</formula>
    </cfRule>
    <cfRule type="cellIs" dxfId="447" priority="122" stopIfTrue="1" operator="equal">
      <formula>$L52</formula>
    </cfRule>
    <cfRule type="cellIs" dxfId="446" priority="123" stopIfTrue="1" operator="equal">
      <formula>#REF!</formula>
    </cfRule>
  </conditionalFormatting>
  <conditionalFormatting sqref="D52:E54">
    <cfRule type="expression" dxfId="445" priority="110">
      <formula>D52=#REF!</formula>
    </cfRule>
  </conditionalFormatting>
  <conditionalFormatting sqref="D52:E54">
    <cfRule type="expression" priority="111">
      <formula>D52=#REF!</formula>
    </cfRule>
  </conditionalFormatting>
  <conditionalFormatting sqref="D52:E54">
    <cfRule type="expression" dxfId="444" priority="112">
      <formula>D52=#REF!</formula>
    </cfRule>
  </conditionalFormatting>
  <conditionalFormatting sqref="F52:I54">
    <cfRule type="expression" dxfId="443" priority="107">
      <formula>F52=#REF!</formula>
    </cfRule>
  </conditionalFormatting>
  <conditionalFormatting sqref="F52:I54">
    <cfRule type="expression" priority="108">
      <formula>F52=#REF!</formula>
    </cfRule>
  </conditionalFormatting>
  <conditionalFormatting sqref="F52:I54">
    <cfRule type="expression" dxfId="442" priority="109">
      <formula>F52=#REF!</formula>
    </cfRule>
  </conditionalFormatting>
  <conditionalFormatting sqref="F52:I54">
    <cfRule type="expression" dxfId="441" priority="104">
      <formula>F52=#REF!</formula>
    </cfRule>
  </conditionalFormatting>
  <conditionalFormatting sqref="F52:I54">
    <cfRule type="expression" priority="105">
      <formula>F52=#REF!</formula>
    </cfRule>
  </conditionalFormatting>
  <conditionalFormatting sqref="F52:I54">
    <cfRule type="expression" dxfId="440" priority="106">
      <formula>F52=#REF!</formula>
    </cfRule>
  </conditionalFormatting>
  <conditionalFormatting sqref="M52:M54">
    <cfRule type="expression" dxfId="439" priority="101">
      <formula>M52=#REF!</formula>
    </cfRule>
  </conditionalFormatting>
  <conditionalFormatting sqref="M52:M54">
    <cfRule type="expression" priority="102">
      <formula>M52=#REF!</formula>
    </cfRule>
  </conditionalFormatting>
  <conditionalFormatting sqref="M52:M54">
    <cfRule type="expression" dxfId="438" priority="103">
      <formula>M52=#REF!</formula>
    </cfRule>
  </conditionalFormatting>
  <conditionalFormatting sqref="M52:M54">
    <cfRule type="expression" dxfId="437" priority="98">
      <formula>M52=#REF!</formula>
    </cfRule>
  </conditionalFormatting>
  <conditionalFormatting sqref="M52:M54">
    <cfRule type="expression" priority="99">
      <formula>M52=#REF!</formula>
    </cfRule>
  </conditionalFormatting>
  <conditionalFormatting sqref="M52:M54">
    <cfRule type="expression" dxfId="436" priority="100">
      <formula>M52=#REF!</formula>
    </cfRule>
  </conditionalFormatting>
  <conditionalFormatting sqref="N52:P54">
    <cfRule type="expression" dxfId="435" priority="95">
      <formula>N52=#REF!</formula>
    </cfRule>
  </conditionalFormatting>
  <conditionalFormatting sqref="N52:P54">
    <cfRule type="expression" priority="96">
      <formula>N52=#REF!</formula>
    </cfRule>
  </conditionalFormatting>
  <conditionalFormatting sqref="N52:P54">
    <cfRule type="expression" dxfId="434" priority="97">
      <formula>N52=#REF!</formula>
    </cfRule>
  </conditionalFormatting>
  <conditionalFormatting sqref="N52:P54">
    <cfRule type="expression" dxfId="433" priority="92">
      <formula>N52=#REF!</formula>
    </cfRule>
  </conditionalFormatting>
  <conditionalFormatting sqref="N52:P54">
    <cfRule type="expression" priority="93">
      <formula>N52=#REF!</formula>
    </cfRule>
  </conditionalFormatting>
  <conditionalFormatting sqref="N52:P54">
    <cfRule type="expression" dxfId="432" priority="94">
      <formula>N52=#REF!</formula>
    </cfRule>
  </conditionalFormatting>
  <conditionalFormatting sqref="H9">
    <cfRule type="expression" dxfId="431" priority="89">
      <formula>H9=#REF!</formula>
    </cfRule>
  </conditionalFormatting>
  <conditionalFormatting sqref="H9">
    <cfRule type="expression" priority="90">
      <formula>H9=#REF!</formula>
    </cfRule>
  </conditionalFormatting>
  <conditionalFormatting sqref="H9">
    <cfRule type="expression" dxfId="430" priority="91">
      <formula>H9=#REF!</formula>
    </cfRule>
  </conditionalFormatting>
  <conditionalFormatting sqref="H9">
    <cfRule type="expression" dxfId="429" priority="86">
      <formula>H9=#REF!</formula>
    </cfRule>
  </conditionalFormatting>
  <conditionalFormatting sqref="H9">
    <cfRule type="expression" priority="87">
      <formula>H9=#REF!</formula>
    </cfRule>
  </conditionalFormatting>
  <conditionalFormatting sqref="H9">
    <cfRule type="expression" dxfId="428" priority="88">
      <formula>H9=#REF!</formula>
    </cfRule>
  </conditionalFormatting>
  <conditionalFormatting sqref="H9">
    <cfRule type="expression" dxfId="427" priority="83">
      <formula>H9=#REF!</formula>
    </cfRule>
  </conditionalFormatting>
  <conditionalFormatting sqref="H9">
    <cfRule type="expression" priority="84">
      <formula>H9=#REF!</formula>
    </cfRule>
  </conditionalFormatting>
  <conditionalFormatting sqref="H9">
    <cfRule type="expression" dxfId="426" priority="85">
      <formula>H9=#REF!</formula>
    </cfRule>
  </conditionalFormatting>
  <conditionalFormatting sqref="E9">
    <cfRule type="expression" dxfId="425" priority="80">
      <formula>E9=#REF!</formula>
    </cfRule>
  </conditionalFormatting>
  <conditionalFormatting sqref="E9">
    <cfRule type="expression" priority="81">
      <formula>E9=#REF!</formula>
    </cfRule>
  </conditionalFormatting>
  <conditionalFormatting sqref="E9">
    <cfRule type="expression" dxfId="424" priority="82">
      <formula>E9=#REF!</formula>
    </cfRule>
  </conditionalFormatting>
  <conditionalFormatting sqref="F9">
    <cfRule type="expression" dxfId="423" priority="77">
      <formula>F9=#REF!</formula>
    </cfRule>
  </conditionalFormatting>
  <conditionalFormatting sqref="F9">
    <cfRule type="expression" priority="78">
      <formula>F9=#REF!</formula>
    </cfRule>
  </conditionalFormatting>
  <conditionalFormatting sqref="F9">
    <cfRule type="expression" dxfId="422" priority="79">
      <formula>F9=#REF!</formula>
    </cfRule>
  </conditionalFormatting>
  <conditionalFormatting sqref="F9">
    <cfRule type="expression" dxfId="421" priority="74">
      <formula>F9=#REF!</formula>
    </cfRule>
  </conditionalFormatting>
  <conditionalFormatting sqref="F9">
    <cfRule type="expression" priority="75">
      <formula>F9=#REF!</formula>
    </cfRule>
  </conditionalFormatting>
  <conditionalFormatting sqref="F9">
    <cfRule type="expression" dxfId="420" priority="76">
      <formula>F9=#REF!</formula>
    </cfRule>
  </conditionalFormatting>
  <conditionalFormatting sqref="F9">
    <cfRule type="expression" dxfId="419" priority="71">
      <formula>F9=#REF!</formula>
    </cfRule>
  </conditionalFormatting>
  <conditionalFormatting sqref="F9">
    <cfRule type="expression" priority="72">
      <formula>F9=#REF!</formula>
    </cfRule>
  </conditionalFormatting>
  <conditionalFormatting sqref="F9">
    <cfRule type="expression" dxfId="418" priority="73">
      <formula>F9=#REF!</formula>
    </cfRule>
  </conditionalFormatting>
  <conditionalFormatting sqref="N55:P55">
    <cfRule type="expression" dxfId="417" priority="36">
      <formula>N55=#REF!</formula>
    </cfRule>
  </conditionalFormatting>
  <conditionalFormatting sqref="Z55 AI55">
    <cfRule type="expression" dxfId="416" priority="68">
      <formula>Z55=#REF!</formula>
    </cfRule>
  </conditionalFormatting>
  <conditionalFormatting sqref="Z55 AI55">
    <cfRule type="expression" priority="69">
      <formula>Z55=#REF!</formula>
    </cfRule>
  </conditionalFormatting>
  <conditionalFormatting sqref="Z55 AI55">
    <cfRule type="expression" dxfId="415" priority="70">
      <formula>Z55=#REF!</formula>
    </cfRule>
  </conditionalFormatting>
  <conditionalFormatting sqref="U55:Y55 D55:E55 R55:S55 AA55:AH55 AJ55:AV55">
    <cfRule type="expression" dxfId="414" priority="58">
      <formula>D55=#REF!</formula>
    </cfRule>
  </conditionalFormatting>
  <conditionalFormatting sqref="U55:Y55 D55:E55 R55:S55 AA55:AH55 AJ55:AV55">
    <cfRule type="expression" priority="59">
      <formula>D55=#REF!</formula>
    </cfRule>
  </conditionalFormatting>
  <conditionalFormatting sqref="U55:Y55 D55:E55 R55:S55 AA55:AH55 AJ55:AV55">
    <cfRule type="expression" dxfId="413" priority="60">
      <formula>D55=#REF!</formula>
    </cfRule>
  </conditionalFormatting>
  <conditionalFormatting sqref="AU55 AL55 AC55">
    <cfRule type="cellIs" dxfId="412" priority="57" stopIfTrue="1" operator="equal">
      <formula>AD55</formula>
    </cfRule>
  </conditionalFormatting>
  <conditionalFormatting sqref="L55">
    <cfRule type="cellIs" dxfId="411" priority="61" stopIfTrue="1" operator="equal">
      <formula>#REF!</formula>
    </cfRule>
    <cfRule type="cellIs" dxfId="410" priority="62" stopIfTrue="1" operator="equal">
      <formula>#REF!=#REF!</formula>
    </cfRule>
  </conditionalFormatting>
  <conditionalFormatting sqref="K55">
    <cfRule type="cellIs" dxfId="409" priority="63" stopIfTrue="1" operator="equal">
      <formula>$L55</formula>
    </cfRule>
    <cfRule type="cellIs" dxfId="408" priority="64" stopIfTrue="1" operator="equal">
      <formula>#REF!</formula>
    </cfRule>
  </conditionalFormatting>
  <conditionalFormatting sqref="T55">
    <cfRule type="cellIs" dxfId="407" priority="65" stopIfTrue="1" operator="equal">
      <formula>U55</formula>
    </cfRule>
    <cfRule type="cellIs" dxfId="406" priority="66" stopIfTrue="1" operator="equal">
      <formula>$L55</formula>
    </cfRule>
    <cfRule type="cellIs" dxfId="405" priority="67" stopIfTrue="1" operator="equal">
      <formula>#REF!</formula>
    </cfRule>
  </conditionalFormatting>
  <conditionalFormatting sqref="D55:E55">
    <cfRule type="expression" dxfId="404" priority="54">
      <formula>D55=#REF!</formula>
    </cfRule>
  </conditionalFormatting>
  <conditionalFormatting sqref="D55:E55">
    <cfRule type="expression" priority="55">
      <formula>D55=#REF!</formula>
    </cfRule>
  </conditionalFormatting>
  <conditionalFormatting sqref="D55:E55">
    <cfRule type="expression" dxfId="403" priority="56">
      <formula>D55=#REF!</formula>
    </cfRule>
  </conditionalFormatting>
  <conditionalFormatting sqref="F55:I55">
    <cfRule type="expression" dxfId="402" priority="51">
      <formula>F55=#REF!</formula>
    </cfRule>
  </conditionalFormatting>
  <conditionalFormatting sqref="F55:I55">
    <cfRule type="expression" priority="52">
      <formula>F55=#REF!</formula>
    </cfRule>
  </conditionalFormatting>
  <conditionalFormatting sqref="F55:I55">
    <cfRule type="expression" dxfId="401" priority="53">
      <formula>F55=#REF!</formula>
    </cfRule>
  </conditionalFormatting>
  <conditionalFormatting sqref="F55:I55">
    <cfRule type="expression" dxfId="400" priority="48">
      <formula>F55=#REF!</formula>
    </cfRule>
  </conditionalFormatting>
  <conditionalFormatting sqref="F55:I55">
    <cfRule type="expression" priority="49">
      <formula>F55=#REF!</formula>
    </cfRule>
  </conditionalFormatting>
  <conditionalFormatting sqref="F55:I55">
    <cfRule type="expression" dxfId="399" priority="50">
      <formula>F55=#REF!</formula>
    </cfRule>
  </conditionalFormatting>
  <conditionalFormatting sqref="M55">
    <cfRule type="expression" dxfId="398" priority="45">
      <formula>M55=#REF!</formula>
    </cfRule>
  </conditionalFormatting>
  <conditionalFormatting sqref="M55">
    <cfRule type="expression" priority="46">
      <formula>M55=#REF!</formula>
    </cfRule>
  </conditionalFormatting>
  <conditionalFormatting sqref="M55">
    <cfRule type="expression" dxfId="397" priority="47">
      <formula>M55=#REF!</formula>
    </cfRule>
  </conditionalFormatting>
  <conditionalFormatting sqref="M55">
    <cfRule type="expression" dxfId="396" priority="42">
      <formula>M55=#REF!</formula>
    </cfRule>
  </conditionalFormatting>
  <conditionalFormatting sqref="M55">
    <cfRule type="expression" priority="43">
      <formula>M55=#REF!</formula>
    </cfRule>
  </conditionalFormatting>
  <conditionalFormatting sqref="M55">
    <cfRule type="expression" dxfId="395" priority="44">
      <formula>M55=#REF!</formula>
    </cfRule>
  </conditionalFormatting>
  <conditionalFormatting sqref="N55:P55">
    <cfRule type="expression" dxfId="394" priority="39">
      <formula>N55=#REF!</formula>
    </cfRule>
  </conditionalFormatting>
  <conditionalFormatting sqref="N55:P55">
    <cfRule type="expression" priority="40">
      <formula>N55=#REF!</formula>
    </cfRule>
  </conditionalFormatting>
  <conditionalFormatting sqref="N55:P55">
    <cfRule type="expression" dxfId="393" priority="41">
      <formula>N55=#REF!</formula>
    </cfRule>
  </conditionalFormatting>
  <conditionalFormatting sqref="N56:P84">
    <cfRule type="expression" dxfId="392" priority="1">
      <formula>N56=#REF!</formula>
    </cfRule>
  </conditionalFormatting>
  <conditionalFormatting sqref="N55:P55">
    <cfRule type="expression" priority="37">
      <formula>N55=#REF!</formula>
    </cfRule>
  </conditionalFormatting>
  <conditionalFormatting sqref="N55:P55">
    <cfRule type="expression" dxfId="391" priority="38">
      <formula>N55=#REF!</formula>
    </cfRule>
  </conditionalFormatting>
  <conditionalFormatting sqref="Z56:Z84 AI56:AI84">
    <cfRule type="expression" dxfId="390" priority="33">
      <formula>Z56=#REF!</formula>
    </cfRule>
  </conditionalFormatting>
  <conditionalFormatting sqref="Z56:Z84 AI56:AI84">
    <cfRule type="expression" priority="34">
      <formula>Z56=#REF!</formula>
    </cfRule>
  </conditionalFormatting>
  <conditionalFormatting sqref="Z56:Z84 AI56:AI84">
    <cfRule type="expression" dxfId="389" priority="35">
      <formula>Z56=#REF!</formula>
    </cfRule>
  </conditionalFormatting>
  <conditionalFormatting sqref="U56:Y84 D56:E84 R56:S84 AA56:AH84 AJ56:AV84">
    <cfRule type="expression" dxfId="388" priority="23">
      <formula>D56=#REF!</formula>
    </cfRule>
  </conditionalFormatting>
  <conditionalFormatting sqref="U56:Y84 D56:E84 R56:S84 AA56:AH84 AJ56:AV84">
    <cfRule type="expression" priority="24">
      <formula>D56=#REF!</formula>
    </cfRule>
  </conditionalFormatting>
  <conditionalFormatting sqref="U56:Y84 D56:E84 R56:S84 AA56:AH84 AJ56:AV84">
    <cfRule type="expression" dxfId="387" priority="25">
      <formula>D56=#REF!</formula>
    </cfRule>
  </conditionalFormatting>
  <conditionalFormatting sqref="L56:L84">
    <cfRule type="cellIs" dxfId="386" priority="26" stopIfTrue="1" operator="equal">
      <formula>#REF!</formula>
    </cfRule>
    <cfRule type="cellIs" dxfId="385" priority="27" stopIfTrue="1" operator="equal">
      <formula>#REF!=#REF!</formula>
    </cfRule>
  </conditionalFormatting>
  <conditionalFormatting sqref="D56:E84">
    <cfRule type="expression" dxfId="384" priority="19">
      <formula>D56=#REF!</formula>
    </cfRule>
  </conditionalFormatting>
  <conditionalFormatting sqref="D56:E84">
    <cfRule type="expression" priority="20">
      <formula>D56=#REF!</formula>
    </cfRule>
  </conditionalFormatting>
  <conditionalFormatting sqref="D56:E84">
    <cfRule type="expression" dxfId="383" priority="21">
      <formula>D56=#REF!</formula>
    </cfRule>
  </conditionalFormatting>
  <conditionalFormatting sqref="F56:I84">
    <cfRule type="expression" dxfId="382" priority="16">
      <formula>F56=#REF!</formula>
    </cfRule>
  </conditionalFormatting>
  <conditionalFormatting sqref="F56:I84">
    <cfRule type="expression" priority="17">
      <formula>F56=#REF!</formula>
    </cfRule>
  </conditionalFormatting>
  <conditionalFormatting sqref="F56:I84">
    <cfRule type="expression" dxfId="381" priority="18">
      <formula>F56=#REF!</formula>
    </cfRule>
  </conditionalFormatting>
  <conditionalFormatting sqref="F56:I84">
    <cfRule type="expression" dxfId="380" priority="13">
      <formula>F56=#REF!</formula>
    </cfRule>
  </conditionalFormatting>
  <conditionalFormatting sqref="F56:I84">
    <cfRule type="expression" priority="14">
      <formula>F56=#REF!</formula>
    </cfRule>
  </conditionalFormatting>
  <conditionalFormatting sqref="F56:I84">
    <cfRule type="expression" dxfId="379" priority="15">
      <formula>F56=#REF!</formula>
    </cfRule>
  </conditionalFormatting>
  <conditionalFormatting sqref="M56:M84">
    <cfRule type="expression" dxfId="378" priority="10">
      <formula>M56=#REF!</formula>
    </cfRule>
  </conditionalFormatting>
  <conditionalFormatting sqref="M56:M84">
    <cfRule type="expression" priority="11">
      <formula>M56=#REF!</formula>
    </cfRule>
  </conditionalFormatting>
  <conditionalFormatting sqref="M56:M84">
    <cfRule type="expression" dxfId="377" priority="12">
      <formula>M56=#REF!</formula>
    </cfRule>
  </conditionalFormatting>
  <conditionalFormatting sqref="M56:M84">
    <cfRule type="expression" dxfId="376" priority="7">
      <formula>M56=#REF!</formula>
    </cfRule>
  </conditionalFormatting>
  <conditionalFormatting sqref="M56:M84">
    <cfRule type="expression" priority="8">
      <formula>M56=#REF!</formula>
    </cfRule>
  </conditionalFormatting>
  <conditionalFormatting sqref="M56:M84">
    <cfRule type="expression" dxfId="375" priority="9">
      <formula>M56=#REF!</formula>
    </cfRule>
  </conditionalFormatting>
  <conditionalFormatting sqref="N56:P84">
    <cfRule type="expression" dxfId="374" priority="4">
      <formula>N56=#REF!</formula>
    </cfRule>
  </conditionalFormatting>
  <conditionalFormatting sqref="N56:P84">
    <cfRule type="expression" priority="5">
      <formula>N56=#REF!</formula>
    </cfRule>
  </conditionalFormatting>
  <conditionalFormatting sqref="N56:P84">
    <cfRule type="expression" dxfId="373" priority="6">
      <formula>N56=#REF!</formula>
    </cfRule>
  </conditionalFormatting>
  <conditionalFormatting sqref="N56:P84">
    <cfRule type="expression" priority="2">
      <formula>N56=#REF!</formula>
    </cfRule>
  </conditionalFormatting>
  <conditionalFormatting sqref="N56:P84">
    <cfRule type="expression" dxfId="372" priority="3">
      <formula>N56=#REF!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BB90"/>
  <sheetViews>
    <sheetView tabSelected="1" zoomScale="85" zoomScaleNormal="85" workbookViewId="0">
      <pane xSplit="3" ySplit="8" topLeftCell="D81" activePane="bottomRight" state="frozen"/>
      <selection pane="topRight" activeCell="D1" sqref="D1"/>
      <selection pane="bottomLeft" activeCell="A10" sqref="A10"/>
      <selection pane="bottomRight" activeCell="R93" sqref="R93"/>
    </sheetView>
  </sheetViews>
  <sheetFormatPr defaultRowHeight="12.75"/>
  <cols>
    <col min="1" max="1" width="23.7109375" style="181" bestFit="1" customWidth="1"/>
    <col min="2" max="2" width="28.42578125" style="181" bestFit="1" customWidth="1"/>
    <col min="3" max="3" width="17.140625" style="181" customWidth="1"/>
    <col min="4" max="4" width="10.42578125" style="56" customWidth="1"/>
    <col min="5" max="8" width="11" style="56" bestFit="1" customWidth="1"/>
    <col min="9" max="9" width="11.42578125" style="56" customWidth="1"/>
    <col min="10" max="10" width="11.42578125" style="181" customWidth="1"/>
    <col min="11" max="12" width="9.85546875" style="181" customWidth="1"/>
    <col min="13" max="16" width="11" style="56" bestFit="1" customWidth="1"/>
    <col min="17" max="19" width="11.7109375" style="56" customWidth="1"/>
    <col min="20" max="24" width="9.85546875" style="56" customWidth="1"/>
    <col min="25" max="25" width="12" style="56" customWidth="1"/>
    <col min="26" max="26" width="11.85546875" style="56" customWidth="1"/>
    <col min="27" max="27" width="11" style="56" customWidth="1"/>
    <col min="28" max="28" width="11.7109375" style="56" customWidth="1"/>
    <col min="29" max="35" width="9.85546875" style="56" customWidth="1"/>
    <col min="36" max="36" width="11" style="56" customWidth="1"/>
    <col min="37" max="37" width="11.5703125" style="56" customWidth="1"/>
    <col min="38" max="39" width="9.85546875" style="56" customWidth="1"/>
    <col min="40" max="42" width="11" style="56" bestFit="1" customWidth="1"/>
    <col min="43" max="44" width="9.85546875" style="56" customWidth="1"/>
    <col min="45" max="45" width="11.42578125" style="56" customWidth="1"/>
    <col min="46" max="46" width="12" style="56" customWidth="1"/>
    <col min="47" max="48" width="9.85546875" style="56" customWidth="1"/>
    <col min="49" max="16384" width="9.140625" style="56"/>
  </cols>
  <sheetData>
    <row r="1" spans="1:54" ht="17.25" customHeight="1">
      <c r="A1" s="151"/>
      <c r="B1" s="184">
        <v>1</v>
      </c>
      <c r="C1" s="184">
        <f>+B1+1</f>
        <v>2</v>
      </c>
      <c r="D1" s="184">
        <f t="shared" ref="D1:AR1" si="0">+C1+1</f>
        <v>3</v>
      </c>
      <c r="E1" s="184">
        <f t="shared" si="0"/>
        <v>4</v>
      </c>
      <c r="F1" s="184">
        <f t="shared" si="0"/>
        <v>5</v>
      </c>
      <c r="G1" s="184">
        <f t="shared" si="0"/>
        <v>6</v>
      </c>
      <c r="H1" s="184">
        <f t="shared" si="0"/>
        <v>7</v>
      </c>
      <c r="I1" s="184">
        <f t="shared" si="0"/>
        <v>8</v>
      </c>
      <c r="J1" s="184">
        <f t="shared" si="0"/>
        <v>9</v>
      </c>
      <c r="K1" s="184">
        <f t="shared" si="0"/>
        <v>10</v>
      </c>
      <c r="L1" s="184">
        <f t="shared" si="0"/>
        <v>11</v>
      </c>
      <c r="M1" s="184">
        <f t="shared" si="0"/>
        <v>12</v>
      </c>
      <c r="N1" s="184">
        <f t="shared" si="0"/>
        <v>13</v>
      </c>
      <c r="O1" s="184">
        <f t="shared" si="0"/>
        <v>14</v>
      </c>
      <c r="P1" s="184">
        <f t="shared" si="0"/>
        <v>15</v>
      </c>
      <c r="Q1" s="184">
        <f t="shared" si="0"/>
        <v>16</v>
      </c>
      <c r="R1" s="184">
        <f t="shared" si="0"/>
        <v>17</v>
      </c>
      <c r="S1" s="184">
        <f t="shared" si="0"/>
        <v>18</v>
      </c>
      <c r="T1" s="184">
        <f t="shared" si="0"/>
        <v>19</v>
      </c>
      <c r="U1" s="184">
        <f t="shared" si="0"/>
        <v>20</v>
      </c>
      <c r="V1" s="184">
        <f t="shared" si="0"/>
        <v>21</v>
      </c>
      <c r="W1" s="184">
        <f t="shared" si="0"/>
        <v>22</v>
      </c>
      <c r="X1" s="184">
        <f t="shared" si="0"/>
        <v>23</v>
      </c>
      <c r="Y1" s="184">
        <f t="shared" si="0"/>
        <v>24</v>
      </c>
      <c r="Z1" s="184">
        <f t="shared" si="0"/>
        <v>25</v>
      </c>
      <c r="AA1" s="184">
        <f t="shared" si="0"/>
        <v>26</v>
      </c>
      <c r="AB1" s="184">
        <f t="shared" si="0"/>
        <v>27</v>
      </c>
      <c r="AC1" s="184">
        <f t="shared" si="0"/>
        <v>28</v>
      </c>
      <c r="AD1" s="184">
        <f t="shared" si="0"/>
        <v>29</v>
      </c>
      <c r="AE1" s="184">
        <f t="shared" si="0"/>
        <v>30</v>
      </c>
      <c r="AF1" s="184">
        <f t="shared" si="0"/>
        <v>31</v>
      </c>
      <c r="AG1" s="184">
        <f t="shared" si="0"/>
        <v>32</v>
      </c>
      <c r="AH1" s="184">
        <f t="shared" si="0"/>
        <v>33</v>
      </c>
      <c r="AI1" s="184">
        <f t="shared" si="0"/>
        <v>34</v>
      </c>
      <c r="AJ1" s="184">
        <f t="shared" si="0"/>
        <v>35</v>
      </c>
      <c r="AK1" s="184">
        <f t="shared" si="0"/>
        <v>36</v>
      </c>
      <c r="AL1" s="184">
        <f t="shared" si="0"/>
        <v>37</v>
      </c>
      <c r="AM1" s="184">
        <f t="shared" si="0"/>
        <v>38</v>
      </c>
      <c r="AN1" s="184">
        <f t="shared" si="0"/>
        <v>39</v>
      </c>
      <c r="AO1" s="184">
        <f t="shared" si="0"/>
        <v>40</v>
      </c>
      <c r="AP1" s="184">
        <f t="shared" si="0"/>
        <v>41</v>
      </c>
      <c r="AQ1" s="184">
        <f t="shared" si="0"/>
        <v>42</v>
      </c>
      <c r="AR1" s="184">
        <f t="shared" si="0"/>
        <v>43</v>
      </c>
      <c r="AS1" s="153"/>
      <c r="AT1" s="153"/>
      <c r="AU1" s="153"/>
      <c r="AV1" s="153"/>
    </row>
    <row r="2" spans="1:54" ht="18" customHeight="1">
      <c r="A2" s="154" t="str">
        <f>'[14]Qty &amp; UMH GUM'!A2</f>
        <v xml:space="preserve">S/R NO     : </v>
      </c>
      <c r="B2" s="207">
        <f>'QTY '!B2</f>
        <v>0</v>
      </c>
      <c r="C2" s="156"/>
      <c r="D2" s="157"/>
      <c r="E2" s="158"/>
      <c r="F2" s="158"/>
      <c r="G2" s="158"/>
      <c r="H2" s="158"/>
      <c r="I2" s="158"/>
      <c r="J2" s="159"/>
      <c r="K2" s="159"/>
      <c r="L2" s="159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8"/>
      <c r="AP2" s="158"/>
      <c r="AQ2" s="158"/>
      <c r="AR2" s="158"/>
      <c r="AS2" s="158"/>
      <c r="AT2" s="158"/>
      <c r="AU2" s="158"/>
      <c r="AV2" s="158"/>
    </row>
    <row r="3" spans="1:54" ht="14.25" customHeight="1">
      <c r="A3" s="154" t="str">
        <f>'[14]Qty &amp; UMH GUM'!A4</f>
        <v xml:space="preserve">DATE        :  </v>
      </c>
      <c r="B3" s="160">
        <f ca="1">'QTY '!B4</f>
        <v>46094.692917476852</v>
      </c>
      <c r="C3" s="156"/>
      <c r="D3" s="153"/>
      <c r="E3" s="153"/>
      <c r="F3" s="153"/>
      <c r="G3" s="153"/>
      <c r="H3" s="153"/>
      <c r="I3" s="153"/>
      <c r="J3" s="159"/>
      <c r="K3" s="159"/>
      <c r="L3" s="159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3"/>
    </row>
    <row r="4" spans="1:54" ht="12" customHeight="1">
      <c r="A4" s="161"/>
      <c r="B4" s="155"/>
      <c r="C4" s="156"/>
      <c r="D4" s="162">
        <f>'AS400 JEMBATAN'!D4</f>
        <v>4</v>
      </c>
      <c r="E4" s="162"/>
      <c r="F4" s="162"/>
      <c r="G4" s="162"/>
      <c r="H4" s="162"/>
      <c r="I4" s="162"/>
      <c r="J4" s="163"/>
      <c r="K4" s="163"/>
      <c r="L4" s="163"/>
      <c r="M4" s="162">
        <f>'AS400 JEMBATAN'!M4</f>
        <v>5</v>
      </c>
      <c r="N4" s="162"/>
      <c r="O4" s="162"/>
      <c r="P4" s="162"/>
      <c r="Q4" s="162"/>
      <c r="R4" s="162"/>
      <c r="S4" s="162"/>
      <c r="T4" s="162"/>
      <c r="U4" s="162"/>
      <c r="V4" s="162">
        <f>'AS400 JEMBATAN'!V4</f>
        <v>4</v>
      </c>
      <c r="W4" s="162"/>
      <c r="X4" s="162"/>
      <c r="Y4" s="162"/>
      <c r="Z4" s="162"/>
      <c r="AA4" s="162"/>
      <c r="AB4" s="162"/>
      <c r="AC4" s="162"/>
      <c r="AD4" s="162"/>
      <c r="AE4" s="162">
        <f>+'AS400 JEMBATAN'!AE4</f>
        <v>4</v>
      </c>
      <c r="AF4" s="162"/>
      <c r="AG4" s="162"/>
      <c r="AH4" s="162"/>
      <c r="AI4" s="162"/>
      <c r="AJ4" s="162"/>
      <c r="AK4" s="162"/>
      <c r="AL4" s="162"/>
      <c r="AM4" s="162"/>
      <c r="AN4" s="162">
        <f>+'AS400 JEMBATAN'!AN4</f>
        <v>5</v>
      </c>
      <c r="AO4" s="162"/>
      <c r="AP4" s="162"/>
      <c r="AQ4" s="162"/>
      <c r="AR4" s="162"/>
      <c r="AS4" s="162"/>
      <c r="AT4" s="162"/>
      <c r="AU4" s="162"/>
      <c r="AV4" s="162"/>
    </row>
    <row r="5" spans="1:54" ht="19.5" customHeight="1" thickBot="1">
      <c r="A5" s="159" t="s">
        <v>103</v>
      </c>
      <c r="B5" s="164">
        <f ca="1">NOW()</f>
        <v>46094.692917476852</v>
      </c>
      <c r="C5" s="164"/>
      <c r="D5" s="165" t="s">
        <v>104</v>
      </c>
      <c r="E5" s="165"/>
      <c r="F5" s="165"/>
      <c r="G5" s="165"/>
      <c r="H5" s="165"/>
      <c r="I5" s="165"/>
      <c r="J5" s="164"/>
      <c r="K5" s="164"/>
      <c r="L5" s="164"/>
      <c r="M5" s="165" t="s">
        <v>105</v>
      </c>
      <c r="N5" s="165"/>
      <c r="O5" s="165"/>
      <c r="P5" s="165"/>
      <c r="Q5" s="165"/>
      <c r="R5" s="165"/>
      <c r="S5" s="165"/>
      <c r="T5" s="165"/>
      <c r="U5" s="165"/>
      <c r="V5" s="165" t="s">
        <v>106</v>
      </c>
      <c r="W5" s="165"/>
      <c r="X5" s="165"/>
      <c r="Y5" s="165"/>
      <c r="Z5" s="165"/>
      <c r="AA5" s="165"/>
      <c r="AB5" s="165"/>
      <c r="AC5" s="165"/>
      <c r="AD5" s="165"/>
      <c r="AE5" s="165" t="s">
        <v>107</v>
      </c>
      <c r="AF5" s="165"/>
      <c r="AG5" s="165"/>
      <c r="AH5" s="165"/>
      <c r="AI5" s="165"/>
      <c r="AJ5" s="165"/>
      <c r="AK5" s="165"/>
      <c r="AL5" s="165"/>
      <c r="AM5" s="165"/>
      <c r="AN5" s="165" t="s">
        <v>108</v>
      </c>
      <c r="AO5" s="165"/>
      <c r="AP5" s="165"/>
      <c r="AQ5" s="165"/>
      <c r="AR5" s="165"/>
      <c r="AS5" s="165"/>
      <c r="AT5" s="165"/>
      <c r="AU5" s="165"/>
      <c r="AV5" s="165"/>
    </row>
    <row r="6" spans="1:54" ht="12.75" customHeight="1" thickTop="1" thickBot="1">
      <c r="A6" s="349" t="s">
        <v>3</v>
      </c>
      <c r="B6" s="350" t="s">
        <v>7</v>
      </c>
      <c r="C6" s="351" t="s">
        <v>34</v>
      </c>
      <c r="D6" s="352" t="str">
        <f>'AS400 JEMBATAN'!D6:L7</f>
        <v>APR</v>
      </c>
      <c r="E6" s="344"/>
      <c r="F6" s="344"/>
      <c r="G6" s="344"/>
      <c r="H6" s="344"/>
      <c r="I6" s="344"/>
      <c r="J6" s="344"/>
      <c r="K6" s="344"/>
      <c r="L6" s="345"/>
      <c r="M6" s="352" t="str">
        <f>'AS400 JEMBATAN'!M6:U7</f>
        <v>MAY</v>
      </c>
      <c r="N6" s="344"/>
      <c r="O6" s="344"/>
      <c r="P6" s="344"/>
      <c r="Q6" s="344"/>
      <c r="R6" s="344"/>
      <c r="S6" s="344"/>
      <c r="T6" s="344"/>
      <c r="U6" s="345"/>
      <c r="V6" s="352" t="str">
        <f>'AS400 JEMBATAN'!V6:AD7</f>
        <v>JUN</v>
      </c>
      <c r="W6" s="344"/>
      <c r="X6" s="344"/>
      <c r="Y6" s="344"/>
      <c r="Z6" s="344"/>
      <c r="AA6" s="344"/>
      <c r="AB6" s="344"/>
      <c r="AC6" s="344"/>
      <c r="AD6" s="345"/>
      <c r="AE6" s="352" t="str">
        <f>'AS400 JEMBATAN'!AE6:AM7</f>
        <v>JUL</v>
      </c>
      <c r="AF6" s="344"/>
      <c r="AG6" s="344"/>
      <c r="AH6" s="344"/>
      <c r="AI6" s="344"/>
      <c r="AJ6" s="344"/>
      <c r="AK6" s="344"/>
      <c r="AL6" s="344"/>
      <c r="AM6" s="345"/>
      <c r="AN6" s="352" t="str">
        <f>'AS400 JEMBATAN'!AN6:AV7</f>
        <v>AUG</v>
      </c>
      <c r="AO6" s="344"/>
      <c r="AP6" s="344"/>
      <c r="AQ6" s="344"/>
      <c r="AR6" s="344"/>
      <c r="AS6" s="344"/>
      <c r="AT6" s="344"/>
      <c r="AU6" s="344"/>
      <c r="AV6" s="345"/>
      <c r="AW6" s="166"/>
      <c r="AX6" s="167"/>
      <c r="AY6" s="167"/>
      <c r="AZ6" s="167"/>
      <c r="BA6" s="167"/>
      <c r="BB6" s="188"/>
    </row>
    <row r="7" spans="1:54" ht="16.5" customHeight="1" thickTop="1" thickBot="1">
      <c r="A7" s="349"/>
      <c r="B7" s="350"/>
      <c r="C7" s="351"/>
      <c r="D7" s="353"/>
      <c r="E7" s="347"/>
      <c r="F7" s="347"/>
      <c r="G7" s="347"/>
      <c r="H7" s="347"/>
      <c r="I7" s="347"/>
      <c r="J7" s="347"/>
      <c r="K7" s="347"/>
      <c r="L7" s="348"/>
      <c r="M7" s="353"/>
      <c r="N7" s="347"/>
      <c r="O7" s="347"/>
      <c r="P7" s="347"/>
      <c r="Q7" s="347"/>
      <c r="R7" s="347"/>
      <c r="S7" s="347"/>
      <c r="T7" s="347"/>
      <c r="U7" s="348"/>
      <c r="V7" s="353"/>
      <c r="W7" s="347"/>
      <c r="X7" s="347"/>
      <c r="Y7" s="347"/>
      <c r="Z7" s="347"/>
      <c r="AA7" s="347"/>
      <c r="AB7" s="347"/>
      <c r="AC7" s="347"/>
      <c r="AD7" s="348"/>
      <c r="AE7" s="353"/>
      <c r="AF7" s="347"/>
      <c r="AG7" s="347"/>
      <c r="AH7" s="347"/>
      <c r="AI7" s="347"/>
      <c r="AJ7" s="347"/>
      <c r="AK7" s="347"/>
      <c r="AL7" s="347"/>
      <c r="AM7" s="348"/>
      <c r="AN7" s="353"/>
      <c r="AO7" s="347"/>
      <c r="AP7" s="347"/>
      <c r="AQ7" s="347"/>
      <c r="AR7" s="347"/>
      <c r="AS7" s="347"/>
      <c r="AT7" s="347"/>
      <c r="AU7" s="347"/>
      <c r="AV7" s="348"/>
      <c r="AW7" s="166"/>
      <c r="AX7" s="167"/>
      <c r="AY7" s="167"/>
      <c r="AZ7" s="167"/>
      <c r="BA7" s="167"/>
      <c r="BB7" s="188"/>
    </row>
    <row r="8" spans="1:54" ht="19.5" thickTop="1" thickBot="1">
      <c r="A8" s="349"/>
      <c r="B8" s="350"/>
      <c r="C8" s="351"/>
      <c r="D8" s="168">
        <v>1</v>
      </c>
      <c r="E8" s="168">
        <v>2</v>
      </c>
      <c r="F8" s="168">
        <v>3</v>
      </c>
      <c r="G8" s="168">
        <v>4</v>
      </c>
      <c r="H8" s="168">
        <v>5</v>
      </c>
      <c r="I8" s="169" t="s">
        <v>109</v>
      </c>
      <c r="J8" s="170" t="s">
        <v>110</v>
      </c>
      <c r="K8" s="170" t="s">
        <v>0</v>
      </c>
      <c r="L8" s="171"/>
      <c r="M8" s="172">
        <v>1</v>
      </c>
      <c r="N8" s="168">
        <v>2</v>
      </c>
      <c r="O8" s="168">
        <v>3</v>
      </c>
      <c r="P8" s="168">
        <v>4</v>
      </c>
      <c r="Q8" s="168">
        <v>5</v>
      </c>
      <c r="R8" s="169" t="s">
        <v>109</v>
      </c>
      <c r="S8" s="169" t="s">
        <v>110</v>
      </c>
      <c r="T8" s="170" t="s">
        <v>0</v>
      </c>
      <c r="U8" s="171" t="s">
        <v>111</v>
      </c>
      <c r="V8" s="172">
        <v>1</v>
      </c>
      <c r="W8" s="168">
        <v>2</v>
      </c>
      <c r="X8" s="168">
        <v>3</v>
      </c>
      <c r="Y8" s="168">
        <v>4</v>
      </c>
      <c r="Z8" s="168">
        <v>5</v>
      </c>
      <c r="AA8" s="169" t="s">
        <v>109</v>
      </c>
      <c r="AB8" s="169" t="s">
        <v>110</v>
      </c>
      <c r="AC8" s="170" t="s">
        <v>0</v>
      </c>
      <c r="AD8" s="171" t="s">
        <v>111</v>
      </c>
      <c r="AE8" s="172">
        <v>1</v>
      </c>
      <c r="AF8" s="168">
        <v>2</v>
      </c>
      <c r="AG8" s="168">
        <v>3</v>
      </c>
      <c r="AH8" s="168">
        <v>4</v>
      </c>
      <c r="AI8" s="168">
        <v>5</v>
      </c>
      <c r="AJ8" s="169" t="s">
        <v>109</v>
      </c>
      <c r="AK8" s="169" t="s">
        <v>110</v>
      </c>
      <c r="AL8" s="170" t="s">
        <v>0</v>
      </c>
      <c r="AM8" s="171" t="s">
        <v>111</v>
      </c>
      <c r="AN8" s="172">
        <v>1</v>
      </c>
      <c r="AO8" s="168">
        <v>2</v>
      </c>
      <c r="AP8" s="168">
        <v>3</v>
      </c>
      <c r="AQ8" s="168">
        <v>4</v>
      </c>
      <c r="AR8" s="168">
        <v>5</v>
      </c>
      <c r="AS8" s="169" t="s">
        <v>109</v>
      </c>
      <c r="AT8" s="169" t="s">
        <v>110</v>
      </c>
      <c r="AU8" s="170" t="s">
        <v>0</v>
      </c>
      <c r="AV8" s="171" t="s">
        <v>111</v>
      </c>
      <c r="AW8" s="173">
        <f>+J6</f>
        <v>0</v>
      </c>
      <c r="AX8" s="174">
        <f>+S6</f>
        <v>0</v>
      </c>
      <c r="AY8" s="174">
        <f>+AB6</f>
        <v>0</v>
      </c>
      <c r="AZ8" s="174">
        <f>+AK6</f>
        <v>0</v>
      </c>
      <c r="BA8" s="174">
        <f>+AT6</f>
        <v>0</v>
      </c>
      <c r="BB8" s="188"/>
    </row>
    <row r="9" spans="1:54" ht="18" customHeight="1" thickTop="1" thickBot="1">
      <c r="A9" s="210" t="str">
        <f>+'AS400 JEMBATAN'!A9</f>
        <v>BC121-6B370-1</v>
      </c>
      <c r="B9" s="200" t="str">
        <f>+'AS400 JEMBATAN'!B9</f>
        <v>BC121-6B370-1 B 0001</v>
      </c>
      <c r="C9" s="187" t="str">
        <f>'AS400 JEMBATAN'!C9</f>
        <v>120D</v>
      </c>
      <c r="D9" s="175">
        <f>ROUNDUP(IF('AS400 JEMBATAN'!$J9&gt;='AS400 JEMBATAN'!$I9,'AS400 JEMBATAN'!D9,$J9/$D$4)+$L9,0)</f>
        <v>660</v>
      </c>
      <c r="E9" s="175">
        <f>ROUNDUP(IF('AS400 JEMBATAN'!$J9&gt;='AS400 JEMBATAN'!$I9,'AS400 JEMBATAN'!E9,$J9/$D$4)+$L9,0)</f>
        <v>690</v>
      </c>
      <c r="F9" s="175">
        <f>ROUNDUP(IF('AS400 JEMBATAN'!$J9&gt;='AS400 JEMBATAN'!$I9,'AS400 JEMBATAN'!F9,$J9/$D$4)+$L9,0)</f>
        <v>600</v>
      </c>
      <c r="G9" s="175">
        <f>ROUNDUP(IF('AS400 JEMBATAN'!$J9&gt;='AS400 JEMBATAN'!$I9,'AS400 JEMBATAN'!G9,$J9/$D$4)+$L9,0)</f>
        <v>570</v>
      </c>
      <c r="H9" s="175"/>
      <c r="I9" s="175">
        <f>SUM(D9:H9)</f>
        <v>2520</v>
      </c>
      <c r="J9" s="176">
        <f>'QTY '!Q9</f>
        <v>2520</v>
      </c>
      <c r="K9" s="176">
        <f>ROUNDUP((J9-I9)/$D$4,0)</f>
        <v>0</v>
      </c>
      <c r="L9" s="177"/>
      <c r="M9" s="175">
        <f>ROUNDUP(IF('AS400 JEMBATAN'!$S9&gt;='AS400 JEMBATAN'!$R9,'AS400 JEMBATAN'!M9,$S9/$M$4)+$U9,0)</f>
        <v>690</v>
      </c>
      <c r="N9" s="175">
        <f>ROUNDUP(IF('AS400 JEMBATAN'!$S9&gt;='AS400 JEMBATAN'!$R9,'AS400 JEMBATAN'!N9,$S9/$M$4)+$U9,0)</f>
        <v>480</v>
      </c>
      <c r="O9" s="175">
        <f>ROUNDUP(IF('AS400 JEMBATAN'!$S9&gt;='AS400 JEMBATAN'!$R9,'AS400 JEMBATAN'!O9,$S9/$M$4)+$U9,0)</f>
        <v>0</v>
      </c>
      <c r="P9" s="175">
        <f>ROUNDUP(IF('AS400 JEMBATAN'!$S9&gt;='AS400 JEMBATAN'!$R9,'AS400 JEMBATAN'!P9,$S9/$M$4)+$U9,0)</f>
        <v>780</v>
      </c>
      <c r="Q9" s="175">
        <f>ROUNDUP(IF('AS400 JEMBATAN'!$S9&gt;='AS400 JEMBATAN'!$R9,'AS400 JEMBATAN'!Q9,$S9/$M$4)+$U9,0)</f>
        <v>0</v>
      </c>
      <c r="R9" s="175">
        <f>SUM(M9:Q9)</f>
        <v>1950</v>
      </c>
      <c r="S9" s="175">
        <f>'QTY '!T9</f>
        <v>1950</v>
      </c>
      <c r="T9" s="176">
        <f>ROUNDUP((S9-R9)/$M$4,0)</f>
        <v>0</v>
      </c>
      <c r="U9" s="178"/>
      <c r="V9" s="175">
        <f>ROUNDUP(IF('AS400 JEMBATAN'!$AB9&gt;='AS400 JEMBATAN'!$AA9,'AS400 JEMBATAN'!V9,$AB9/$V$4)+$AD9,0)</f>
        <v>660</v>
      </c>
      <c r="W9" s="175">
        <f>ROUNDUP(IF('AS400 JEMBATAN'!$AB9&gt;='AS400 JEMBATAN'!$AA9,'AS400 JEMBATAN'!W9,$AB9/$V$4)+$AD9,0)</f>
        <v>510</v>
      </c>
      <c r="X9" s="175">
        <f>ROUNDUP(IF('AS400 JEMBATAN'!$AB9&gt;='AS400 JEMBATAN'!$AA9,'AS400 JEMBATAN'!X9,$AB9/$V$4)+$AD9,0)</f>
        <v>660</v>
      </c>
      <c r="Y9" s="175">
        <f>ROUNDUP(IF('AS400 JEMBATAN'!$AB9&gt;='AS400 JEMBATAN'!$AA9,'AS400 JEMBATAN'!Y9,$AB9/$V$4)+$AD9,0)</f>
        <v>720</v>
      </c>
      <c r="Z9" s="175">
        <f>ROUNDUP(IF('AS400 JEMBATAN'!$AB9&gt;='AS400 JEMBATAN'!$AA9,'AS400 JEMBATAN'!Z9,$AB9/$V$4)+$AD9,0)</f>
        <v>0</v>
      </c>
      <c r="AA9" s="175">
        <f>SUM(V9:Z9)</f>
        <v>2550</v>
      </c>
      <c r="AB9" s="175">
        <f>'QTY '!W9</f>
        <v>2550</v>
      </c>
      <c r="AC9" s="175">
        <f>ROUNDUP((AB9-AA9)/$V$4,0)</f>
        <v>0</v>
      </c>
      <c r="AD9" s="183"/>
      <c r="AE9" s="175">
        <f>ROUNDUP(IF('AS400 JEMBATAN'!$AK9&gt;='AS400 JEMBATAN'!$AJ9,'AS400 JEMBATAN'!AE9,$AK9/$AE$4)+$AM9,0)</f>
        <v>735</v>
      </c>
      <c r="AF9" s="175">
        <f>ROUNDUP(IF('AS400 JEMBATAN'!$AK9&gt;='AS400 JEMBATAN'!$AJ9,'AS400 JEMBATAN'!AF9,$AK9/$AE$4)+$AM9,0)</f>
        <v>735</v>
      </c>
      <c r="AG9" s="175">
        <f>ROUNDUP(IF('AS400 JEMBATAN'!$AK9&gt;='AS400 JEMBATAN'!$AJ9,'AS400 JEMBATAN'!AG9,$AK9/$AE$4)+$AM9,0)</f>
        <v>735</v>
      </c>
      <c r="AH9" s="175">
        <f>ROUNDUP(IF('AS400 JEMBATAN'!$AK9&gt;='AS400 JEMBATAN'!$AJ9,'AS400 JEMBATAN'!AH9,$AK9/$AE$4)+$AM9,0)</f>
        <v>735</v>
      </c>
      <c r="AI9" s="175"/>
      <c r="AJ9" s="175">
        <f>SUM(AE9:AI9)</f>
        <v>2940</v>
      </c>
      <c r="AK9" s="175">
        <f>'QTY '!Z9</f>
        <v>2940</v>
      </c>
      <c r="AL9" s="175">
        <f>ROUNDUP((AK9-AJ9)/$AE$4,0)</f>
        <v>0</v>
      </c>
      <c r="AM9" s="178"/>
      <c r="AN9" s="179">
        <f>+'AS400 JEMBATAN'!AN9</f>
        <v>735</v>
      </c>
      <c r="AO9" s="179">
        <f>+'AS400 JEMBATAN'!AO9</f>
        <v>735</v>
      </c>
      <c r="AP9" s="179">
        <f>+'AS400 JEMBATAN'!AP9</f>
        <v>735</v>
      </c>
      <c r="AQ9" s="179">
        <f>+'AS400 JEMBATAN'!AQ9</f>
        <v>735</v>
      </c>
      <c r="AR9" s="175"/>
      <c r="AS9" s="175">
        <f>SUM(AN9:AR9)</f>
        <v>2940</v>
      </c>
      <c r="AT9" s="175">
        <f>'QTY '!AC9</f>
        <v>2940</v>
      </c>
      <c r="AU9" s="175">
        <f t="shared" ref="AU9:AU47" si="1">ROUNDUP((AT9-AS9)/$AN$4,0)</f>
        <v>0</v>
      </c>
      <c r="AV9" s="175">
        <v>0</v>
      </c>
      <c r="AW9" s="180">
        <f>+D9*D$8</f>
        <v>660</v>
      </c>
      <c r="AX9" s="180">
        <f>+M9*M$8</f>
        <v>690</v>
      </c>
      <c r="AY9" s="180">
        <f>+V9*V$8</f>
        <v>660</v>
      </c>
      <c r="AZ9" s="180">
        <f>+AE9*AE$8</f>
        <v>735</v>
      </c>
      <c r="BA9" s="180">
        <f>+AN9*AN$8</f>
        <v>735</v>
      </c>
      <c r="BB9" s="56" t="e">
        <f>#REF!+1</f>
        <v>#REF!</v>
      </c>
    </row>
    <row r="10" spans="1:54" ht="18" customHeight="1" thickTop="1" thickBot="1">
      <c r="A10" s="210" t="str">
        <f>+'AS400 JEMBATAN'!A10</f>
        <v>BC121-6B370-2</v>
      </c>
      <c r="B10" s="200" t="str">
        <f>+'AS400 JEMBATAN'!B10</f>
        <v>BC121-6B370-2 B 0001</v>
      </c>
      <c r="C10" s="187" t="str">
        <f>'AS400 JEMBATAN'!C10</f>
        <v>120D</v>
      </c>
      <c r="D10" s="175">
        <f>ROUNDUP(IF('AS400 JEMBATAN'!$J10&gt;='AS400 JEMBATAN'!$I10,'AS400 JEMBATAN'!D10,$J10/$D$4)+$L10,0)</f>
        <v>660</v>
      </c>
      <c r="E10" s="175">
        <f>ROUNDUP(IF('AS400 JEMBATAN'!$J10&gt;='AS400 JEMBATAN'!$I10,'AS400 JEMBATAN'!E10,$J10/$D$4)+$L10,0)</f>
        <v>690</v>
      </c>
      <c r="F10" s="175">
        <f>ROUNDUP(IF('AS400 JEMBATAN'!$J10&gt;='AS400 JEMBATAN'!$I10,'AS400 JEMBATAN'!F10,$J10/$D$4)+$L10,0)</f>
        <v>600</v>
      </c>
      <c r="G10" s="175">
        <f>ROUNDUP(IF('AS400 JEMBATAN'!$J10&gt;='AS400 JEMBATAN'!$I10,'AS400 JEMBATAN'!G10,$J10/$D$4)+$L10,0)</f>
        <v>570</v>
      </c>
      <c r="H10" s="175"/>
      <c r="I10" s="175">
        <f t="shared" ref="I10:I47" si="2">SUM(D10:H10)</f>
        <v>2520</v>
      </c>
      <c r="J10" s="176">
        <f>'QTY '!Q10</f>
        <v>2520</v>
      </c>
      <c r="K10" s="176">
        <f t="shared" ref="K10:K47" si="3">ROUNDUP((J10-I10)/$D$4,0)</f>
        <v>0</v>
      </c>
      <c r="L10" s="177"/>
      <c r="M10" s="175">
        <f>ROUNDUP(IF('AS400 JEMBATAN'!$S10&gt;='AS400 JEMBATAN'!$R10,'AS400 JEMBATAN'!M10,$S10/$M$4)+$U10,0)</f>
        <v>690</v>
      </c>
      <c r="N10" s="175">
        <f>ROUNDUP(IF('AS400 JEMBATAN'!$S10&gt;='AS400 JEMBATAN'!$R10,'AS400 JEMBATAN'!N10,$S10/$M$4)+$U10,0)</f>
        <v>480</v>
      </c>
      <c r="O10" s="175">
        <f>ROUNDUP(IF('AS400 JEMBATAN'!$S10&gt;='AS400 JEMBATAN'!$R10,'AS400 JEMBATAN'!O10,$S10/$M$4)+$U10,0)</f>
        <v>0</v>
      </c>
      <c r="P10" s="175">
        <f>ROUNDUP(IF('AS400 JEMBATAN'!$S10&gt;='AS400 JEMBATAN'!$R10,'AS400 JEMBATAN'!P10,$S10/$M$4)+$U10,0)</f>
        <v>780</v>
      </c>
      <c r="Q10" s="175">
        <f>ROUNDUP(IF('AS400 JEMBATAN'!$S10&gt;='AS400 JEMBATAN'!$R10,'AS400 JEMBATAN'!Q10,$S10/$M$4)+$U10,0)</f>
        <v>0</v>
      </c>
      <c r="R10" s="175">
        <f t="shared" ref="R10:R47" si="4">SUM(M10:Q10)</f>
        <v>1950</v>
      </c>
      <c r="S10" s="175">
        <f>'QTY '!T10</f>
        <v>1950</v>
      </c>
      <c r="T10" s="176">
        <f t="shared" ref="T10:T47" si="5">ROUNDUP((S10-R10)/$M$4,0)</f>
        <v>0</v>
      </c>
      <c r="U10" s="178"/>
      <c r="V10" s="175">
        <f>ROUNDUP(IF('AS400 JEMBATAN'!$AB10&gt;='AS400 JEMBATAN'!$AA10,'AS400 JEMBATAN'!V10,$AB10/$V$4)+$AD10,0)</f>
        <v>660</v>
      </c>
      <c r="W10" s="175">
        <f>ROUNDUP(IF('AS400 JEMBATAN'!$AB10&gt;='AS400 JEMBATAN'!$AA10,'AS400 JEMBATAN'!W10,$AB10/$V$4)+$AD10,0)</f>
        <v>510</v>
      </c>
      <c r="X10" s="175">
        <f>ROUNDUP(IF('AS400 JEMBATAN'!$AB10&gt;='AS400 JEMBATAN'!$AA10,'AS400 JEMBATAN'!X10,$AB10/$V$4)+$AD10,0)</f>
        <v>660</v>
      </c>
      <c r="Y10" s="175">
        <f>ROUNDUP(IF('AS400 JEMBATAN'!$AB10&gt;='AS400 JEMBATAN'!$AA10,'AS400 JEMBATAN'!Y10,$AB10/$V$4)+$AD10,0)</f>
        <v>720</v>
      </c>
      <c r="Z10" s="175">
        <f>ROUNDUP(IF('AS400 JEMBATAN'!$AB10&gt;='AS400 JEMBATAN'!$AA10,'AS400 JEMBATAN'!Z10,$AB10/$V$4)+$AD10,0)</f>
        <v>0</v>
      </c>
      <c r="AA10" s="175">
        <f t="shared" ref="AA10:AA47" si="6">SUM(V10:Z10)</f>
        <v>2550</v>
      </c>
      <c r="AB10" s="175">
        <f>'QTY '!W10</f>
        <v>2550</v>
      </c>
      <c r="AC10" s="175">
        <f t="shared" ref="AC10:AC47" si="7">ROUNDUP((AB10-AA10)/$V$4,0)</f>
        <v>0</v>
      </c>
      <c r="AD10" s="183"/>
      <c r="AE10" s="175">
        <f>ROUNDUP(IF('AS400 JEMBATAN'!$AK10&gt;='AS400 JEMBATAN'!$AJ10,'AS400 JEMBATAN'!AE10,$AK10/$AE$4)+$AM10,0)</f>
        <v>735</v>
      </c>
      <c r="AF10" s="175">
        <f>ROUNDUP(IF('AS400 JEMBATAN'!$AK10&gt;='AS400 JEMBATAN'!$AJ10,'AS400 JEMBATAN'!AF10,$AK10/$AE$4)+$AM10,0)</f>
        <v>735</v>
      </c>
      <c r="AG10" s="175">
        <f>ROUNDUP(IF('AS400 JEMBATAN'!$AK10&gt;='AS400 JEMBATAN'!$AJ10,'AS400 JEMBATAN'!AG10,$AK10/$AE$4)+$AM10,0)</f>
        <v>735</v>
      </c>
      <c r="AH10" s="175">
        <f>ROUNDUP(IF('AS400 JEMBATAN'!$AK10&gt;='AS400 JEMBATAN'!$AJ10,'AS400 JEMBATAN'!AH10,$AK10/$AE$4)+$AM10,0)</f>
        <v>735</v>
      </c>
      <c r="AI10" s="175"/>
      <c r="AJ10" s="175">
        <f t="shared" ref="AJ10:AJ47" si="8">SUM(AE10:AI10)</f>
        <v>2940</v>
      </c>
      <c r="AK10" s="175">
        <f>'QTY '!Z10</f>
        <v>2940</v>
      </c>
      <c r="AL10" s="175">
        <f t="shared" ref="AL10:AL47" si="9">ROUNDUP((AK10-AJ10)/$AE$4,0)</f>
        <v>0</v>
      </c>
      <c r="AM10" s="178"/>
      <c r="AN10" s="179">
        <f>+'AS400 JEMBATAN'!AN10</f>
        <v>735</v>
      </c>
      <c r="AO10" s="179">
        <f>+'AS400 JEMBATAN'!AO10</f>
        <v>735</v>
      </c>
      <c r="AP10" s="179">
        <f>+'AS400 JEMBATAN'!AP10</f>
        <v>735</v>
      </c>
      <c r="AQ10" s="179">
        <f>+'AS400 JEMBATAN'!AQ10</f>
        <v>735</v>
      </c>
      <c r="AR10" s="175"/>
      <c r="AS10" s="175">
        <f t="shared" ref="AS10:AS47" si="10">SUM(AN10:AR10)</f>
        <v>2940</v>
      </c>
      <c r="AT10" s="175">
        <f>'QTY '!AC10</f>
        <v>2940</v>
      </c>
      <c r="AU10" s="175">
        <f t="shared" si="1"/>
        <v>0</v>
      </c>
      <c r="AV10" s="175">
        <v>0</v>
      </c>
      <c r="AW10" s="180">
        <f t="shared" ref="AW10:AW17" si="11">+D10*D$8</f>
        <v>660</v>
      </c>
      <c r="AX10" s="180">
        <f t="shared" ref="AX10:AX17" si="12">+M10*M$8</f>
        <v>690</v>
      </c>
      <c r="AY10" s="180">
        <f t="shared" ref="AY10:AY17" si="13">+V10*V$8</f>
        <v>660</v>
      </c>
      <c r="AZ10" s="180">
        <f t="shared" ref="AZ10:AZ17" si="14">+AE10*AE$8</f>
        <v>735</v>
      </c>
      <c r="BA10" s="180">
        <f t="shared" ref="BA10:BA17" si="15">+AN10*AN$8</f>
        <v>735</v>
      </c>
      <c r="BB10" s="56" t="e">
        <f>#REF!+1</f>
        <v>#REF!</v>
      </c>
    </row>
    <row r="11" spans="1:54" ht="18" customHeight="1" thickTop="1" thickBot="1">
      <c r="A11" s="210" t="str">
        <f>+'AS400 JEMBATAN'!A11</f>
        <v>BC121-6B220-1</v>
      </c>
      <c r="B11" s="200" t="str">
        <f>+'AS400 JEMBATAN'!B11</f>
        <v>BC121-6B220-1 B 0001</v>
      </c>
      <c r="C11" s="187" t="str">
        <f>'AS400 JEMBATAN'!C11</f>
        <v>120D</v>
      </c>
      <c r="D11" s="175">
        <f>ROUNDUP(IF('AS400 JEMBATAN'!$J11&gt;='AS400 JEMBATAN'!$I11,'AS400 JEMBATAN'!D11,$J11/$D$4)+$L11,0)</f>
        <v>560</v>
      </c>
      <c r="E11" s="175">
        <f>ROUNDUP(IF('AS400 JEMBATAN'!$J11&gt;='AS400 JEMBATAN'!$I11,'AS400 JEMBATAN'!E11,$J11/$D$4)+$L11,0)</f>
        <v>640</v>
      </c>
      <c r="F11" s="175">
        <f>ROUNDUP(IF('AS400 JEMBATAN'!$J11&gt;='AS400 JEMBATAN'!$I11,'AS400 JEMBATAN'!F11,$J11/$D$4)+$L11,0)</f>
        <v>720</v>
      </c>
      <c r="G11" s="175">
        <f>ROUNDUP(IF('AS400 JEMBATAN'!$J11&gt;='AS400 JEMBATAN'!$I11,'AS400 JEMBATAN'!G11,$J11/$D$4)+$L11,0)</f>
        <v>720</v>
      </c>
      <c r="H11" s="175"/>
      <c r="I11" s="175">
        <f t="shared" si="2"/>
        <v>2640</v>
      </c>
      <c r="J11" s="176">
        <f>'QTY '!Q11</f>
        <v>2640</v>
      </c>
      <c r="K11" s="176">
        <f t="shared" si="3"/>
        <v>0</v>
      </c>
      <c r="L11" s="177"/>
      <c r="M11" s="175">
        <f>ROUNDUP(IF('AS400 JEMBATAN'!$S11&gt;='AS400 JEMBATAN'!$R11,'AS400 JEMBATAN'!M11,$S11/$M$4)+$U11,0)</f>
        <v>800</v>
      </c>
      <c r="N11" s="175">
        <f>ROUNDUP(IF('AS400 JEMBATAN'!$S11&gt;='AS400 JEMBATAN'!$R11,'AS400 JEMBATAN'!N11,$S11/$M$4)+$U11,0)</f>
        <v>640</v>
      </c>
      <c r="O11" s="175">
        <f>ROUNDUP(IF('AS400 JEMBATAN'!$S11&gt;='AS400 JEMBATAN'!$R11,'AS400 JEMBATAN'!O11,$S11/$M$4)+$U11,0)</f>
        <v>0</v>
      </c>
      <c r="P11" s="175">
        <f>ROUNDUP(IF('AS400 JEMBATAN'!$S11&gt;='AS400 JEMBATAN'!$R11,'AS400 JEMBATAN'!P11,$S11/$M$4)+$U11,0)</f>
        <v>880</v>
      </c>
      <c r="Q11" s="175">
        <f>ROUNDUP(IF('AS400 JEMBATAN'!$S11&gt;='AS400 JEMBATAN'!$R11,'AS400 JEMBATAN'!Q11,$S11/$M$4)+$U11,0)</f>
        <v>0</v>
      </c>
      <c r="R11" s="175">
        <f t="shared" si="4"/>
        <v>2320</v>
      </c>
      <c r="S11" s="175">
        <f>'QTY '!T11</f>
        <v>2320</v>
      </c>
      <c r="T11" s="176">
        <f t="shared" si="5"/>
        <v>0</v>
      </c>
      <c r="U11" s="178"/>
      <c r="V11" s="175">
        <f>ROUNDUP(IF('AS400 JEMBATAN'!$AB11&gt;='AS400 JEMBATAN'!$AA11,'AS400 JEMBATAN'!V11,$AB11/$V$4)+$AD11,0)</f>
        <v>800</v>
      </c>
      <c r="W11" s="175">
        <f>ROUNDUP(IF('AS400 JEMBATAN'!$AB11&gt;='AS400 JEMBATAN'!$AA11,'AS400 JEMBATAN'!W11,$AB11/$V$4)+$AD11,0)</f>
        <v>560</v>
      </c>
      <c r="X11" s="175">
        <f>ROUNDUP(IF('AS400 JEMBATAN'!$AB11&gt;='AS400 JEMBATAN'!$AA11,'AS400 JEMBATAN'!X11,$AB11/$V$4)+$AD11,0)</f>
        <v>800</v>
      </c>
      <c r="Y11" s="175">
        <f>ROUNDUP(IF('AS400 JEMBATAN'!$AB11&gt;='AS400 JEMBATAN'!$AA11,'AS400 JEMBATAN'!Y11,$AB11/$V$4)+$AD11,0)</f>
        <v>800</v>
      </c>
      <c r="Z11" s="175">
        <f>ROUNDUP(IF('AS400 JEMBATAN'!$AB11&gt;='AS400 JEMBATAN'!$AA11,'AS400 JEMBATAN'!Z11,$AB11/$V$4)+$AD11,0)</f>
        <v>0</v>
      </c>
      <c r="AA11" s="175">
        <f t="shared" si="6"/>
        <v>2960</v>
      </c>
      <c r="AB11" s="175">
        <f>'QTY '!W11</f>
        <v>2960</v>
      </c>
      <c r="AC11" s="175">
        <f t="shared" si="7"/>
        <v>0</v>
      </c>
      <c r="AD11" s="183"/>
      <c r="AE11" s="175">
        <f>ROUNDUP(IF('AS400 JEMBATAN'!$AK11&gt;='AS400 JEMBATAN'!$AJ11,'AS400 JEMBATAN'!AE11,$AK11/$AE$4)+$AM11,0)</f>
        <v>980</v>
      </c>
      <c r="AF11" s="175">
        <f>ROUNDUP(IF('AS400 JEMBATAN'!$AK11&gt;='AS400 JEMBATAN'!$AJ11,'AS400 JEMBATAN'!AF11,$AK11/$AE$4)+$AM11,0)</f>
        <v>980</v>
      </c>
      <c r="AG11" s="175">
        <f>ROUNDUP(IF('AS400 JEMBATAN'!$AK11&gt;='AS400 JEMBATAN'!$AJ11,'AS400 JEMBATAN'!AG11,$AK11/$AE$4)+$AM11,0)</f>
        <v>980</v>
      </c>
      <c r="AH11" s="175">
        <f>ROUNDUP(IF('AS400 JEMBATAN'!$AK11&gt;='AS400 JEMBATAN'!$AJ11,'AS400 JEMBATAN'!AH11,$AK11/$AE$4)+$AM11,0)</f>
        <v>980</v>
      </c>
      <c r="AI11" s="175"/>
      <c r="AJ11" s="175">
        <f t="shared" si="8"/>
        <v>3920</v>
      </c>
      <c r="AK11" s="175">
        <f>'QTY '!Z11</f>
        <v>3920</v>
      </c>
      <c r="AL11" s="175">
        <f t="shared" si="9"/>
        <v>0</v>
      </c>
      <c r="AM11" s="178"/>
      <c r="AN11" s="179">
        <f>+'AS400 JEMBATAN'!AN11</f>
        <v>980</v>
      </c>
      <c r="AO11" s="179">
        <f>+'AS400 JEMBATAN'!AO11</f>
        <v>980</v>
      </c>
      <c r="AP11" s="179">
        <f>+'AS400 JEMBATAN'!AP11</f>
        <v>980</v>
      </c>
      <c r="AQ11" s="179">
        <f>+'AS400 JEMBATAN'!AQ11</f>
        <v>980</v>
      </c>
      <c r="AR11" s="175"/>
      <c r="AS11" s="175">
        <f t="shared" si="10"/>
        <v>3920</v>
      </c>
      <c r="AT11" s="175">
        <f>'QTY '!AC11</f>
        <v>3920</v>
      </c>
      <c r="AU11" s="175">
        <f t="shared" si="1"/>
        <v>0</v>
      </c>
      <c r="AV11" s="175">
        <v>0</v>
      </c>
      <c r="AW11" s="180">
        <f t="shared" si="11"/>
        <v>560</v>
      </c>
      <c r="AX11" s="180">
        <f t="shared" si="12"/>
        <v>800</v>
      </c>
      <c r="AY11" s="180">
        <f t="shared" si="13"/>
        <v>800</v>
      </c>
      <c r="AZ11" s="180">
        <f t="shared" si="14"/>
        <v>980</v>
      </c>
      <c r="BA11" s="180">
        <f t="shared" si="15"/>
        <v>980</v>
      </c>
      <c r="BB11" s="56" t="e">
        <f>#REF!+1</f>
        <v>#REF!</v>
      </c>
    </row>
    <row r="12" spans="1:54" ht="18" customHeight="1" thickTop="1" thickBot="1">
      <c r="A12" s="210" t="str">
        <f>+'AS400 JEMBATAN'!A12</f>
        <v>BC121-6B250-1</v>
      </c>
      <c r="B12" s="200" t="str">
        <f>+'AS400 JEMBATAN'!B12</f>
        <v>BC121-6B250-1 B 0001</v>
      </c>
      <c r="C12" s="187" t="str">
        <f>'AS400 JEMBATAN'!C12</f>
        <v>120D</v>
      </c>
      <c r="D12" s="175">
        <f>ROUNDUP(IF('AS400 JEMBATAN'!$J12&gt;='AS400 JEMBATAN'!$I12,'AS400 JEMBATAN'!D12,$J12/$D$4)+$L12,0)</f>
        <v>30</v>
      </c>
      <c r="E12" s="175">
        <f>ROUNDUP(IF('AS400 JEMBATAN'!$J12&gt;='AS400 JEMBATAN'!$I12,'AS400 JEMBATAN'!E12,$J12/$D$4)+$L12,0)</f>
        <v>0</v>
      </c>
      <c r="F12" s="175">
        <f>ROUNDUP(IF('AS400 JEMBATAN'!$J12&gt;='AS400 JEMBATAN'!$I12,'AS400 JEMBATAN'!F12,$J12/$D$4)+$L12,0)</f>
        <v>30</v>
      </c>
      <c r="G12" s="175">
        <f>ROUNDUP(IF('AS400 JEMBATAN'!$J12&gt;='AS400 JEMBATAN'!$I12,'AS400 JEMBATAN'!G12,$J12/$D$4)+$L12,0)</f>
        <v>30</v>
      </c>
      <c r="H12" s="175"/>
      <c r="I12" s="175">
        <f t="shared" si="2"/>
        <v>90</v>
      </c>
      <c r="J12" s="176">
        <f>'QTY '!Q12</f>
        <v>90</v>
      </c>
      <c r="K12" s="176">
        <f t="shared" si="3"/>
        <v>0</v>
      </c>
      <c r="L12" s="177"/>
      <c r="M12" s="175">
        <f>ROUNDUP(IF('AS400 JEMBATAN'!$S12&gt;='AS400 JEMBATAN'!$R12,'AS400 JEMBATAN'!M12,$S12/$M$4)+$U12,0)</f>
        <v>30</v>
      </c>
      <c r="N12" s="175">
        <f>ROUNDUP(IF('AS400 JEMBATAN'!$S12&gt;='AS400 JEMBATAN'!$R12,'AS400 JEMBATAN'!N12,$S12/$M$4)+$U12,0)</f>
        <v>0</v>
      </c>
      <c r="O12" s="175">
        <f>ROUNDUP(IF('AS400 JEMBATAN'!$S12&gt;='AS400 JEMBATAN'!$R12,'AS400 JEMBATAN'!O12,$S12/$M$4)+$U12,0)</f>
        <v>0</v>
      </c>
      <c r="P12" s="175">
        <f>ROUNDUP(IF('AS400 JEMBATAN'!$S12&gt;='AS400 JEMBATAN'!$R12,'AS400 JEMBATAN'!P12,$S12/$M$4)+$U12,0)</f>
        <v>30</v>
      </c>
      <c r="Q12" s="175">
        <f>ROUNDUP(IF('AS400 JEMBATAN'!$S12&gt;='AS400 JEMBATAN'!$R12,'AS400 JEMBATAN'!Q12,$S12/$M$4)+$U12,0)</f>
        <v>0</v>
      </c>
      <c r="R12" s="175">
        <f t="shared" si="4"/>
        <v>60</v>
      </c>
      <c r="S12" s="175">
        <f>'QTY '!T12</f>
        <v>60</v>
      </c>
      <c r="T12" s="176">
        <f t="shared" si="5"/>
        <v>0</v>
      </c>
      <c r="U12" s="178"/>
      <c r="V12" s="175">
        <f>ROUNDUP(IF('AS400 JEMBATAN'!$AB12&gt;='AS400 JEMBATAN'!$AA12,'AS400 JEMBATAN'!V12,$AB12/$V$4)+$AD12,0)</f>
        <v>30</v>
      </c>
      <c r="W12" s="175">
        <f>ROUNDUP(IF('AS400 JEMBATAN'!$AB12&gt;='AS400 JEMBATAN'!$AA12,'AS400 JEMBATAN'!W12,$AB12/$V$4)+$AD12,0)</f>
        <v>30</v>
      </c>
      <c r="X12" s="175">
        <f>ROUNDUP(IF('AS400 JEMBATAN'!$AB12&gt;='AS400 JEMBATAN'!$AA12,'AS400 JEMBATAN'!X12,$AB12/$V$4)+$AD12,0)</f>
        <v>30</v>
      </c>
      <c r="Y12" s="175">
        <f>ROUNDUP(IF('AS400 JEMBATAN'!$AB12&gt;='AS400 JEMBATAN'!$AA12,'AS400 JEMBATAN'!Y12,$AB12/$V$4)+$AD12,0)</f>
        <v>30</v>
      </c>
      <c r="Z12" s="175">
        <f>ROUNDUP(IF('AS400 JEMBATAN'!$AB12&gt;='AS400 JEMBATAN'!$AA12,'AS400 JEMBATAN'!Z12,$AB12/$V$4)+$AD12,0)</f>
        <v>0</v>
      </c>
      <c r="AA12" s="175">
        <f t="shared" si="6"/>
        <v>120</v>
      </c>
      <c r="AB12" s="175">
        <f>'QTY '!W12</f>
        <v>120</v>
      </c>
      <c r="AC12" s="175">
        <f t="shared" si="7"/>
        <v>0</v>
      </c>
      <c r="AD12" s="183"/>
      <c r="AE12" s="175">
        <f>ROUNDUP(IF('AS400 JEMBATAN'!$AK12&gt;='AS400 JEMBATAN'!$AJ12,'AS400 JEMBATAN'!AE12,$AK12/$AE$4)+$AM12,0)</f>
        <v>38</v>
      </c>
      <c r="AF12" s="175">
        <f>ROUNDUP(IF('AS400 JEMBATAN'!$AK12&gt;='AS400 JEMBATAN'!$AJ12,'AS400 JEMBATAN'!AF12,$AK12/$AE$4)+$AM12,0)</f>
        <v>38</v>
      </c>
      <c r="AG12" s="175">
        <f>ROUNDUP(IF('AS400 JEMBATAN'!$AK12&gt;='AS400 JEMBATAN'!$AJ12,'AS400 JEMBATAN'!AG12,$AK12/$AE$4)+$AM12,0)</f>
        <v>38</v>
      </c>
      <c r="AH12" s="175">
        <f>ROUNDUP(IF('AS400 JEMBATAN'!$AK12&gt;='AS400 JEMBATAN'!$AJ12,'AS400 JEMBATAN'!AH12,$AK12/$AE$4)+$AM12,0)</f>
        <v>38</v>
      </c>
      <c r="AI12" s="175"/>
      <c r="AJ12" s="175">
        <f t="shared" si="8"/>
        <v>152</v>
      </c>
      <c r="AK12" s="175">
        <f>'QTY '!Z12</f>
        <v>150</v>
      </c>
      <c r="AL12" s="175">
        <f t="shared" si="9"/>
        <v>-1</v>
      </c>
      <c r="AM12" s="178"/>
      <c r="AN12" s="179">
        <f>+'AS400 JEMBATAN'!AN12</f>
        <v>37.5</v>
      </c>
      <c r="AO12" s="179">
        <f>+'AS400 JEMBATAN'!AO12</f>
        <v>37.5</v>
      </c>
      <c r="AP12" s="179">
        <f>+'AS400 JEMBATAN'!AP12</f>
        <v>37.5</v>
      </c>
      <c r="AQ12" s="179">
        <f>+'AS400 JEMBATAN'!AQ12</f>
        <v>37.5</v>
      </c>
      <c r="AR12" s="175"/>
      <c r="AS12" s="175">
        <f t="shared" si="10"/>
        <v>150</v>
      </c>
      <c r="AT12" s="175">
        <f>'QTY '!AC12</f>
        <v>150</v>
      </c>
      <c r="AU12" s="175">
        <f t="shared" si="1"/>
        <v>0</v>
      </c>
      <c r="AV12" s="175">
        <v>0</v>
      </c>
      <c r="AW12" s="180">
        <f t="shared" si="11"/>
        <v>30</v>
      </c>
      <c r="AX12" s="180">
        <f t="shared" si="12"/>
        <v>30</v>
      </c>
      <c r="AY12" s="180">
        <f t="shared" si="13"/>
        <v>30</v>
      </c>
      <c r="AZ12" s="180">
        <f t="shared" si="14"/>
        <v>38</v>
      </c>
      <c r="BA12" s="180">
        <f t="shared" si="15"/>
        <v>37.5</v>
      </c>
      <c r="BB12" s="56" t="e">
        <f>#REF!+1</f>
        <v>#REF!</v>
      </c>
    </row>
    <row r="13" spans="1:54" ht="18" customHeight="1" thickTop="1" thickBot="1">
      <c r="A13" s="210" t="str">
        <f>+'AS400 JEMBATAN'!A13</f>
        <v>BC121-6B260-1</v>
      </c>
      <c r="B13" s="200" t="str">
        <f>+'AS400 JEMBATAN'!B13</f>
        <v>BC121-6B260-1 B 0001</v>
      </c>
      <c r="C13" s="187" t="str">
        <f>'AS400 JEMBATAN'!C13</f>
        <v>120D</v>
      </c>
      <c r="D13" s="175">
        <f>ROUNDUP(IF('AS400 JEMBATAN'!$J13&gt;='AS400 JEMBATAN'!$I13,'AS400 JEMBATAN'!D13,$J13/$D$4)+$L13,0)</f>
        <v>260</v>
      </c>
      <c r="E13" s="175">
        <f>ROUNDUP(IF('AS400 JEMBATAN'!$J13&gt;='AS400 JEMBATAN'!$I13,'AS400 JEMBATAN'!E13,$J13/$D$4)+$L13,0)</f>
        <v>440</v>
      </c>
      <c r="F13" s="175">
        <f>ROUNDUP(IF('AS400 JEMBATAN'!$J13&gt;='AS400 JEMBATAN'!$I13,'AS400 JEMBATAN'!F13,$J13/$D$4)+$L13,0)</f>
        <v>440</v>
      </c>
      <c r="G13" s="175">
        <f>ROUNDUP(IF('AS400 JEMBATAN'!$J13&gt;='AS400 JEMBATAN'!$I13,'AS400 JEMBATAN'!G13,$J13/$D$4)+$L13,0)</f>
        <v>440</v>
      </c>
      <c r="H13" s="175"/>
      <c r="I13" s="175">
        <f t="shared" si="2"/>
        <v>1580</v>
      </c>
      <c r="J13" s="176">
        <f>'QTY '!Q13</f>
        <v>1580</v>
      </c>
      <c r="K13" s="176">
        <f t="shared" si="3"/>
        <v>0</v>
      </c>
      <c r="L13" s="177"/>
      <c r="M13" s="175">
        <f>ROUNDUP(IF('AS400 JEMBATAN'!$S13&gt;='AS400 JEMBATAN'!$R13,'AS400 JEMBATAN'!M13,$S13/$M$4)+$U13,0)</f>
        <v>520</v>
      </c>
      <c r="N13" s="175">
        <f>ROUNDUP(IF('AS400 JEMBATAN'!$S13&gt;='AS400 JEMBATAN'!$R13,'AS400 JEMBATAN'!N13,$S13/$M$4)+$U13,0)</f>
        <v>360</v>
      </c>
      <c r="O13" s="175">
        <f>ROUNDUP(IF('AS400 JEMBATAN'!$S13&gt;='AS400 JEMBATAN'!$R13,'AS400 JEMBATAN'!O13,$S13/$M$4)+$U13,0)</f>
        <v>0</v>
      </c>
      <c r="P13" s="175">
        <f>ROUNDUP(IF('AS400 JEMBATAN'!$S13&gt;='AS400 JEMBATAN'!$R13,'AS400 JEMBATAN'!P13,$S13/$M$4)+$U13,0)</f>
        <v>600</v>
      </c>
      <c r="Q13" s="175">
        <f>ROUNDUP(IF('AS400 JEMBATAN'!$S13&gt;='AS400 JEMBATAN'!$R13,'AS400 JEMBATAN'!Q13,$S13/$M$4)+$U13,0)</f>
        <v>0</v>
      </c>
      <c r="R13" s="175">
        <f t="shared" si="4"/>
        <v>1480</v>
      </c>
      <c r="S13" s="175">
        <f>'QTY '!T13</f>
        <v>1480</v>
      </c>
      <c r="T13" s="176">
        <f t="shared" si="5"/>
        <v>0</v>
      </c>
      <c r="U13" s="178"/>
      <c r="V13" s="175">
        <f>ROUNDUP(IF('AS400 JEMBATAN'!$AB13&gt;='AS400 JEMBATAN'!$AA13,'AS400 JEMBATAN'!V13,$AB13/$V$4)+$AD13,0)</f>
        <v>480</v>
      </c>
      <c r="W13" s="175">
        <f>ROUNDUP(IF('AS400 JEMBATAN'!$AB13&gt;='AS400 JEMBATAN'!$AA13,'AS400 JEMBATAN'!W13,$AB13/$V$4)+$AD13,0)</f>
        <v>400</v>
      </c>
      <c r="X13" s="175">
        <f>ROUNDUP(IF('AS400 JEMBATAN'!$AB13&gt;='AS400 JEMBATAN'!$AA13,'AS400 JEMBATAN'!X13,$AB13/$V$4)+$AD13,0)</f>
        <v>500</v>
      </c>
      <c r="Y13" s="175">
        <f>ROUNDUP(IF('AS400 JEMBATAN'!$AB13&gt;='AS400 JEMBATAN'!$AA13,'AS400 JEMBATAN'!Y13,$AB13/$V$4)+$AD13,0)</f>
        <v>600</v>
      </c>
      <c r="Z13" s="175">
        <f>ROUNDUP(IF('AS400 JEMBATAN'!$AB13&gt;='AS400 JEMBATAN'!$AA13,'AS400 JEMBATAN'!Z13,$AB13/$V$4)+$AD13,0)</f>
        <v>0</v>
      </c>
      <c r="AA13" s="175">
        <f t="shared" si="6"/>
        <v>1980</v>
      </c>
      <c r="AB13" s="175">
        <f>'QTY '!W13</f>
        <v>1980</v>
      </c>
      <c r="AC13" s="175">
        <f t="shared" si="7"/>
        <v>0</v>
      </c>
      <c r="AD13" s="183"/>
      <c r="AE13" s="175">
        <f>ROUNDUP(IF('AS400 JEMBATAN'!$AK13&gt;='AS400 JEMBATAN'!$AJ13,'AS400 JEMBATAN'!AE13,$AK13/$AE$4)+$AM13,0)</f>
        <v>780</v>
      </c>
      <c r="AF13" s="175">
        <f>ROUNDUP(IF('AS400 JEMBATAN'!$AK13&gt;='AS400 JEMBATAN'!$AJ13,'AS400 JEMBATAN'!AF13,$AK13/$AE$4)+$AM13,0)</f>
        <v>780</v>
      </c>
      <c r="AG13" s="175">
        <f>ROUNDUP(IF('AS400 JEMBATAN'!$AK13&gt;='AS400 JEMBATAN'!$AJ13,'AS400 JEMBATAN'!AG13,$AK13/$AE$4)+$AM13,0)</f>
        <v>780</v>
      </c>
      <c r="AH13" s="175">
        <f>ROUNDUP(IF('AS400 JEMBATAN'!$AK13&gt;='AS400 JEMBATAN'!$AJ13,'AS400 JEMBATAN'!AH13,$AK13/$AE$4)+$AM13,0)</f>
        <v>780</v>
      </c>
      <c r="AI13" s="175"/>
      <c r="AJ13" s="175">
        <f t="shared" si="8"/>
        <v>3120</v>
      </c>
      <c r="AK13" s="175">
        <f>'QTY '!Z13</f>
        <v>3120</v>
      </c>
      <c r="AL13" s="175">
        <f t="shared" si="9"/>
        <v>0</v>
      </c>
      <c r="AM13" s="178"/>
      <c r="AN13" s="179">
        <f>+'AS400 JEMBATAN'!AN13</f>
        <v>780</v>
      </c>
      <c r="AO13" s="179">
        <f>+'AS400 JEMBATAN'!AO13</f>
        <v>780</v>
      </c>
      <c r="AP13" s="179">
        <f>+'AS400 JEMBATAN'!AP13</f>
        <v>780</v>
      </c>
      <c r="AQ13" s="179">
        <f>+'AS400 JEMBATAN'!AQ13</f>
        <v>780</v>
      </c>
      <c r="AR13" s="175"/>
      <c r="AS13" s="175">
        <f t="shared" si="10"/>
        <v>3120</v>
      </c>
      <c r="AT13" s="175">
        <f>'QTY '!AC13</f>
        <v>3120</v>
      </c>
      <c r="AU13" s="175">
        <f t="shared" si="1"/>
        <v>0</v>
      </c>
      <c r="AV13" s="175">
        <v>0</v>
      </c>
      <c r="AW13" s="180">
        <f t="shared" si="11"/>
        <v>260</v>
      </c>
      <c r="AX13" s="180">
        <f t="shared" si="12"/>
        <v>520</v>
      </c>
      <c r="AY13" s="180">
        <f t="shared" si="13"/>
        <v>480</v>
      </c>
      <c r="AZ13" s="180">
        <f t="shared" si="14"/>
        <v>780</v>
      </c>
      <c r="BA13" s="180">
        <f t="shared" si="15"/>
        <v>780</v>
      </c>
      <c r="BB13" s="56" t="e">
        <f>#REF!+1</f>
        <v>#REF!</v>
      </c>
    </row>
    <row r="14" spans="1:54" ht="18" customHeight="1" thickTop="1" thickBot="1">
      <c r="A14" s="210" t="str">
        <f>+'AS400 JEMBATAN'!A14</f>
        <v>BC121-6B230-1</v>
      </c>
      <c r="B14" s="200" t="str">
        <f>+'AS400 JEMBATAN'!B14</f>
        <v>BC121-6B230-1 B 0001</v>
      </c>
      <c r="C14" s="187" t="str">
        <f>'AS400 JEMBATAN'!C14</f>
        <v>120D</v>
      </c>
      <c r="D14" s="175">
        <f>ROUNDUP(IF('AS400 JEMBATAN'!$J14&gt;='AS400 JEMBATAN'!$I14,'AS400 JEMBATAN'!D14,$J14/$D$4)+$L14,0)</f>
        <v>0</v>
      </c>
      <c r="E14" s="175">
        <f>ROUNDUP(IF('AS400 JEMBATAN'!$J14&gt;='AS400 JEMBATAN'!$I14,'AS400 JEMBATAN'!E14,$J14/$D$4)+$L14,0)</f>
        <v>0</v>
      </c>
      <c r="F14" s="175">
        <f>ROUNDUP(IF('AS400 JEMBATAN'!$J14&gt;='AS400 JEMBATAN'!$I14,'AS400 JEMBATAN'!F14,$J14/$D$4)+$L14,0)</f>
        <v>0</v>
      </c>
      <c r="G14" s="175">
        <f>ROUNDUP(IF('AS400 JEMBATAN'!$J14&gt;='AS400 JEMBATAN'!$I14,'AS400 JEMBATAN'!G14,$J14/$D$4)+$L14,0)</f>
        <v>0</v>
      </c>
      <c r="H14" s="175"/>
      <c r="I14" s="175">
        <f t="shared" si="2"/>
        <v>0</v>
      </c>
      <c r="J14" s="176">
        <f>'QTY '!Q14</f>
        <v>0</v>
      </c>
      <c r="K14" s="176">
        <f t="shared" si="3"/>
        <v>0</v>
      </c>
      <c r="L14" s="177"/>
      <c r="M14" s="175">
        <f>ROUNDUP(IF('AS400 JEMBATAN'!$S14&gt;='AS400 JEMBATAN'!$R14,'AS400 JEMBATAN'!M14,$S14/$M$4)+$U14,0)</f>
        <v>0</v>
      </c>
      <c r="N14" s="175">
        <f>ROUNDUP(IF('AS400 JEMBATAN'!$S14&gt;='AS400 JEMBATAN'!$R14,'AS400 JEMBATAN'!N14,$S14/$M$4)+$U14,0)</f>
        <v>0</v>
      </c>
      <c r="O14" s="175">
        <f>ROUNDUP(IF('AS400 JEMBATAN'!$S14&gt;='AS400 JEMBATAN'!$R14,'AS400 JEMBATAN'!O14,$S14/$M$4)+$U14,0)</f>
        <v>0</v>
      </c>
      <c r="P14" s="175">
        <f>ROUNDUP(IF('AS400 JEMBATAN'!$S14&gt;='AS400 JEMBATAN'!$R14,'AS400 JEMBATAN'!P14,$S14/$M$4)+$U14,0)</f>
        <v>0</v>
      </c>
      <c r="Q14" s="175">
        <f>ROUNDUP(IF('AS400 JEMBATAN'!$S14&gt;='AS400 JEMBATAN'!$R14,'AS400 JEMBATAN'!Q14,$S14/$M$4)+$U14,0)</f>
        <v>0</v>
      </c>
      <c r="R14" s="175">
        <f t="shared" si="4"/>
        <v>0</v>
      </c>
      <c r="S14" s="175">
        <f>'QTY '!T14</f>
        <v>0</v>
      </c>
      <c r="T14" s="176">
        <f t="shared" si="5"/>
        <v>0</v>
      </c>
      <c r="U14" s="178"/>
      <c r="V14" s="175">
        <f>ROUNDUP(IF('AS400 JEMBATAN'!$AB14&gt;='AS400 JEMBATAN'!$AA14,'AS400 JEMBATAN'!V14,$AB14/$V$4)+$AD14,0)</f>
        <v>0</v>
      </c>
      <c r="W14" s="175">
        <f>ROUNDUP(IF('AS400 JEMBATAN'!$AB14&gt;='AS400 JEMBATAN'!$AA14,'AS400 JEMBATAN'!W14,$AB14/$V$4)+$AD14,0)</f>
        <v>0</v>
      </c>
      <c r="X14" s="175">
        <f>ROUNDUP(IF('AS400 JEMBATAN'!$AB14&gt;='AS400 JEMBATAN'!$AA14,'AS400 JEMBATAN'!X14,$AB14/$V$4)+$AD14,0)</f>
        <v>0</v>
      </c>
      <c r="Y14" s="175">
        <f>ROUNDUP(IF('AS400 JEMBATAN'!$AB14&gt;='AS400 JEMBATAN'!$AA14,'AS400 JEMBATAN'!Y14,$AB14/$V$4)+$AD14,0)</f>
        <v>0</v>
      </c>
      <c r="Z14" s="175">
        <f>ROUNDUP(IF('AS400 JEMBATAN'!$AB14&gt;='AS400 JEMBATAN'!$AA14,'AS400 JEMBATAN'!Z14,$AB14/$V$4)+$AD14,0)</f>
        <v>0</v>
      </c>
      <c r="AA14" s="175">
        <f t="shared" si="6"/>
        <v>0</v>
      </c>
      <c r="AB14" s="175">
        <f>'QTY '!W14</f>
        <v>0</v>
      </c>
      <c r="AC14" s="175">
        <f t="shared" si="7"/>
        <v>0</v>
      </c>
      <c r="AD14" s="183"/>
      <c r="AE14" s="175">
        <f>ROUNDUP(IF('AS400 JEMBATAN'!$AK14&gt;='AS400 JEMBATAN'!$AJ14,'AS400 JEMBATAN'!AE14,$AK14/$AE$4)+$AM14,0)</f>
        <v>0</v>
      </c>
      <c r="AF14" s="175">
        <f>ROUNDUP(IF('AS400 JEMBATAN'!$AK14&gt;='AS400 JEMBATAN'!$AJ14,'AS400 JEMBATAN'!AF14,$AK14/$AE$4)+$AM14,0)</f>
        <v>0</v>
      </c>
      <c r="AG14" s="175">
        <f>ROUNDUP(IF('AS400 JEMBATAN'!$AK14&gt;='AS400 JEMBATAN'!$AJ14,'AS400 JEMBATAN'!AG14,$AK14/$AE$4)+$AM14,0)</f>
        <v>0</v>
      </c>
      <c r="AH14" s="175">
        <f>ROUNDUP(IF('AS400 JEMBATAN'!$AK14&gt;='AS400 JEMBATAN'!$AJ14,'AS400 JEMBATAN'!AH14,$AK14/$AE$4)+$AM14,0)</f>
        <v>0</v>
      </c>
      <c r="AI14" s="175"/>
      <c r="AJ14" s="175">
        <f t="shared" si="8"/>
        <v>0</v>
      </c>
      <c r="AK14" s="175">
        <f>'QTY '!Z14</f>
        <v>0</v>
      </c>
      <c r="AL14" s="175">
        <f t="shared" si="9"/>
        <v>0</v>
      </c>
      <c r="AM14" s="178"/>
      <c r="AN14" s="179">
        <f>+'AS400 JEMBATAN'!AN14</f>
        <v>0</v>
      </c>
      <c r="AO14" s="179">
        <f>+'AS400 JEMBATAN'!AO14</f>
        <v>0</v>
      </c>
      <c r="AP14" s="179">
        <f>+'AS400 JEMBATAN'!AP14</f>
        <v>0</v>
      </c>
      <c r="AQ14" s="179">
        <f>+'AS400 JEMBATAN'!AQ14</f>
        <v>0</v>
      </c>
      <c r="AR14" s="175"/>
      <c r="AS14" s="175">
        <f t="shared" si="10"/>
        <v>0</v>
      </c>
      <c r="AT14" s="175">
        <f>'QTY '!AC14</f>
        <v>0</v>
      </c>
      <c r="AU14" s="175">
        <f t="shared" si="1"/>
        <v>0</v>
      </c>
      <c r="AV14" s="175">
        <v>0</v>
      </c>
      <c r="AW14" s="180">
        <f t="shared" si="11"/>
        <v>0</v>
      </c>
      <c r="AX14" s="180">
        <f t="shared" si="12"/>
        <v>0</v>
      </c>
      <c r="AY14" s="180">
        <f t="shared" si="13"/>
        <v>0</v>
      </c>
      <c r="AZ14" s="180">
        <f t="shared" si="14"/>
        <v>0</v>
      </c>
      <c r="BA14" s="180">
        <f t="shared" si="15"/>
        <v>0</v>
      </c>
      <c r="BB14" s="56" t="e">
        <f>#REF!+1</f>
        <v>#REF!</v>
      </c>
    </row>
    <row r="15" spans="1:54" ht="18" customHeight="1" thickTop="1" thickBot="1">
      <c r="A15" s="210" t="str">
        <f>+'AS400 JEMBATAN'!A15</f>
        <v>BC121-6AM60-1</v>
      </c>
      <c r="B15" s="200" t="str">
        <f>+'AS400 JEMBATAN'!B15</f>
        <v>BC121-6AM60-1 C 0001</v>
      </c>
      <c r="C15" s="187" t="str">
        <f>'AS400 JEMBATAN'!C15</f>
        <v>120D</v>
      </c>
      <c r="D15" s="175">
        <f>ROUNDUP(IF('AS400 JEMBATAN'!$J15&gt;='AS400 JEMBATAN'!$I15,'AS400 JEMBATAN'!D15,$J15/$D$4)+$L15,0)</f>
        <v>0</v>
      </c>
      <c r="E15" s="175">
        <f>ROUNDUP(IF('AS400 JEMBATAN'!$J15&gt;='AS400 JEMBATAN'!$I15,'AS400 JEMBATAN'!E15,$J15/$D$4)+$L15,0)</f>
        <v>0</v>
      </c>
      <c r="F15" s="175">
        <f>ROUNDUP(IF('AS400 JEMBATAN'!$J15&gt;='AS400 JEMBATAN'!$I15,'AS400 JEMBATAN'!F15,$J15/$D$4)+$L15,0)</f>
        <v>0</v>
      </c>
      <c r="G15" s="175">
        <f>ROUNDUP(IF('AS400 JEMBATAN'!$J15&gt;='AS400 JEMBATAN'!$I15,'AS400 JEMBATAN'!G15,$J15/$D$4)+$L15,0)</f>
        <v>0</v>
      </c>
      <c r="H15" s="175"/>
      <c r="I15" s="175">
        <f t="shared" si="2"/>
        <v>0</v>
      </c>
      <c r="J15" s="176">
        <f>'QTY '!Q15</f>
        <v>0</v>
      </c>
      <c r="K15" s="176">
        <f t="shared" si="3"/>
        <v>0</v>
      </c>
      <c r="L15" s="177"/>
      <c r="M15" s="175">
        <f>ROUNDUP(IF('AS400 JEMBATAN'!$S15&gt;='AS400 JEMBATAN'!$R15,'AS400 JEMBATAN'!M15,$S15/$M$4)+$U15,0)</f>
        <v>0</v>
      </c>
      <c r="N15" s="175">
        <f>ROUNDUP(IF('AS400 JEMBATAN'!$S15&gt;='AS400 JEMBATAN'!$R15,'AS400 JEMBATAN'!N15,$S15/$M$4)+$U15,0)</f>
        <v>0</v>
      </c>
      <c r="O15" s="175">
        <f>ROUNDUP(IF('AS400 JEMBATAN'!$S15&gt;='AS400 JEMBATAN'!$R15,'AS400 JEMBATAN'!O15,$S15/$M$4)+$U15,0)</f>
        <v>0</v>
      </c>
      <c r="P15" s="175">
        <f>ROUNDUP(IF('AS400 JEMBATAN'!$S15&gt;='AS400 JEMBATAN'!$R15,'AS400 JEMBATAN'!P15,$S15/$M$4)+$U15,0)</f>
        <v>0</v>
      </c>
      <c r="Q15" s="175">
        <f>ROUNDUP(IF('AS400 JEMBATAN'!$S15&gt;='AS400 JEMBATAN'!$R15,'AS400 JEMBATAN'!Q15,$S15/$M$4)+$U15,0)</f>
        <v>0</v>
      </c>
      <c r="R15" s="175">
        <f t="shared" si="4"/>
        <v>0</v>
      </c>
      <c r="S15" s="175">
        <f>'QTY '!T15</f>
        <v>0</v>
      </c>
      <c r="T15" s="176">
        <f t="shared" si="5"/>
        <v>0</v>
      </c>
      <c r="U15" s="178"/>
      <c r="V15" s="175">
        <f>ROUNDUP(IF('AS400 JEMBATAN'!$AB15&gt;='AS400 JEMBATAN'!$AA15,'AS400 JEMBATAN'!V15,$AB15/$V$4)+$AD15,0)</f>
        <v>0</v>
      </c>
      <c r="W15" s="175">
        <f>ROUNDUP(IF('AS400 JEMBATAN'!$AB15&gt;='AS400 JEMBATAN'!$AA15,'AS400 JEMBATAN'!W15,$AB15/$V$4)+$AD15,0)</f>
        <v>0</v>
      </c>
      <c r="X15" s="175">
        <f>ROUNDUP(IF('AS400 JEMBATAN'!$AB15&gt;='AS400 JEMBATAN'!$AA15,'AS400 JEMBATAN'!X15,$AB15/$V$4)+$AD15,0)</f>
        <v>0</v>
      </c>
      <c r="Y15" s="175">
        <f>ROUNDUP(IF('AS400 JEMBATAN'!$AB15&gt;='AS400 JEMBATAN'!$AA15,'AS400 JEMBATAN'!Y15,$AB15/$V$4)+$AD15,0)</f>
        <v>0</v>
      </c>
      <c r="Z15" s="175">
        <f>ROUNDUP(IF('AS400 JEMBATAN'!$AB15&gt;='AS400 JEMBATAN'!$AA15,'AS400 JEMBATAN'!Z15,$AB15/$V$4)+$AD15,0)</f>
        <v>0</v>
      </c>
      <c r="AA15" s="175">
        <f t="shared" si="6"/>
        <v>0</v>
      </c>
      <c r="AB15" s="175">
        <f>'QTY '!W15</f>
        <v>0</v>
      </c>
      <c r="AC15" s="175">
        <f t="shared" si="7"/>
        <v>0</v>
      </c>
      <c r="AD15" s="183"/>
      <c r="AE15" s="175">
        <f>ROUNDUP(IF('AS400 JEMBATAN'!$AK15&gt;='AS400 JEMBATAN'!$AJ15,'AS400 JEMBATAN'!AE15,$AK15/$AE$4)+$AM15,0)</f>
        <v>610</v>
      </c>
      <c r="AF15" s="175">
        <f>ROUNDUP(IF('AS400 JEMBATAN'!$AK15&gt;='AS400 JEMBATAN'!$AJ15,'AS400 JEMBATAN'!AF15,$AK15/$AE$4)+$AM15,0)</f>
        <v>610</v>
      </c>
      <c r="AG15" s="175">
        <f>ROUNDUP(IF('AS400 JEMBATAN'!$AK15&gt;='AS400 JEMBATAN'!$AJ15,'AS400 JEMBATAN'!AG15,$AK15/$AE$4)+$AM15,0)</f>
        <v>610</v>
      </c>
      <c r="AH15" s="175">
        <f>ROUNDUP(IF('AS400 JEMBATAN'!$AK15&gt;='AS400 JEMBATAN'!$AJ15,'AS400 JEMBATAN'!AH15,$AK15/$AE$4)+$AM15,0)</f>
        <v>610</v>
      </c>
      <c r="AI15" s="175"/>
      <c r="AJ15" s="175">
        <f t="shared" si="8"/>
        <v>2440</v>
      </c>
      <c r="AK15" s="175">
        <f>'QTY '!Z15</f>
        <v>2440</v>
      </c>
      <c r="AL15" s="175">
        <f t="shared" si="9"/>
        <v>0</v>
      </c>
      <c r="AM15" s="178"/>
      <c r="AN15" s="179">
        <f>+'AS400 JEMBATAN'!AN15</f>
        <v>610</v>
      </c>
      <c r="AO15" s="179">
        <f>+'AS400 JEMBATAN'!AO15</f>
        <v>610</v>
      </c>
      <c r="AP15" s="179">
        <f>+'AS400 JEMBATAN'!AP15</f>
        <v>610</v>
      </c>
      <c r="AQ15" s="179">
        <f>+'AS400 JEMBATAN'!AQ15</f>
        <v>610</v>
      </c>
      <c r="AR15" s="175"/>
      <c r="AS15" s="175">
        <f t="shared" si="10"/>
        <v>2440</v>
      </c>
      <c r="AT15" s="175">
        <f>'QTY '!AC15</f>
        <v>2440</v>
      </c>
      <c r="AU15" s="175">
        <f t="shared" si="1"/>
        <v>0</v>
      </c>
      <c r="AV15" s="175">
        <v>0</v>
      </c>
      <c r="AW15" s="180">
        <f t="shared" si="11"/>
        <v>0</v>
      </c>
      <c r="AX15" s="180">
        <f t="shared" si="12"/>
        <v>0</v>
      </c>
      <c r="AY15" s="180">
        <f t="shared" si="13"/>
        <v>0</v>
      </c>
      <c r="AZ15" s="180">
        <f t="shared" si="14"/>
        <v>610</v>
      </c>
      <c r="BA15" s="180">
        <f t="shared" si="15"/>
        <v>610</v>
      </c>
      <c r="BB15" s="56" t="e">
        <f>#REF!+1</f>
        <v>#REF!</v>
      </c>
    </row>
    <row r="16" spans="1:54" ht="18" customHeight="1" thickTop="1" thickBot="1">
      <c r="A16" s="210" t="str">
        <f>+'AS400 JEMBATAN'!A16</f>
        <v>BC121-35G90-1</v>
      </c>
      <c r="B16" s="200" t="str">
        <f>+'AS400 JEMBATAN'!B16</f>
        <v>BC121-35G70-1 D 0001</v>
      </c>
      <c r="C16" s="187" t="str">
        <f>'AS400 JEMBATAN'!C16</f>
        <v>930B</v>
      </c>
      <c r="D16" s="175">
        <f>ROUNDUP(IF('AS400 JEMBATAN'!$J16&gt;='AS400 JEMBATAN'!$I16,'AS400 JEMBATAN'!D16,$J16/$D$4)+$L16,0)</f>
        <v>840</v>
      </c>
      <c r="E16" s="175">
        <f>ROUNDUP(IF('AS400 JEMBATAN'!$J16&gt;='AS400 JEMBATAN'!$I16,'AS400 JEMBATAN'!E16,$J16/$D$4)+$L16,0)</f>
        <v>900</v>
      </c>
      <c r="F16" s="175">
        <f>ROUNDUP(IF('AS400 JEMBATAN'!$J16&gt;='AS400 JEMBATAN'!$I16,'AS400 JEMBATAN'!F16,$J16/$D$4)+$L16,0)</f>
        <v>960</v>
      </c>
      <c r="G16" s="175">
        <f>ROUNDUP(IF('AS400 JEMBATAN'!$J16&gt;='AS400 JEMBATAN'!$I16,'AS400 JEMBATAN'!G16,$J16/$D$4)+$L16,0)</f>
        <v>990</v>
      </c>
      <c r="H16" s="175"/>
      <c r="I16" s="175">
        <f t="shared" si="2"/>
        <v>3690</v>
      </c>
      <c r="J16" s="176">
        <f>'QTY '!Q16</f>
        <v>3690</v>
      </c>
      <c r="K16" s="176">
        <f t="shared" si="3"/>
        <v>0</v>
      </c>
      <c r="L16" s="177"/>
      <c r="M16" s="175">
        <f>ROUNDUP(IF('AS400 JEMBATAN'!$S16&gt;='AS400 JEMBATAN'!$R16,'AS400 JEMBATAN'!M16,$S16/$M$4)+$U16,0)</f>
        <v>1140</v>
      </c>
      <c r="N16" s="175">
        <f>ROUNDUP(IF('AS400 JEMBATAN'!$S16&gt;='AS400 JEMBATAN'!$R16,'AS400 JEMBATAN'!N16,$S16/$M$4)+$U16,0)</f>
        <v>810</v>
      </c>
      <c r="O16" s="175">
        <f>ROUNDUP(IF('AS400 JEMBATAN'!$S16&gt;='AS400 JEMBATAN'!$R16,'AS400 JEMBATAN'!O16,$S16/$M$4)+$U16,0)</f>
        <v>0</v>
      </c>
      <c r="P16" s="175">
        <f>ROUNDUP(IF('AS400 JEMBATAN'!$S16&gt;='AS400 JEMBATAN'!$R16,'AS400 JEMBATAN'!P16,$S16/$M$4)+$U16,0)</f>
        <v>1230</v>
      </c>
      <c r="Q16" s="175">
        <f>ROUNDUP(IF('AS400 JEMBATAN'!$S16&gt;='AS400 JEMBATAN'!$R16,'AS400 JEMBATAN'!Q16,$S16/$M$4)+$U16,0)</f>
        <v>0</v>
      </c>
      <c r="R16" s="175">
        <f t="shared" si="4"/>
        <v>3180</v>
      </c>
      <c r="S16" s="175">
        <f>'QTY '!T16</f>
        <v>3180</v>
      </c>
      <c r="T16" s="176">
        <f t="shared" si="5"/>
        <v>0</v>
      </c>
      <c r="U16" s="178"/>
      <c r="V16" s="175">
        <f>ROUNDUP(IF('AS400 JEMBATAN'!$AB16&gt;='AS400 JEMBATAN'!$AA16,'AS400 JEMBATAN'!V16,$AB16/$V$4)+$AD16,0)</f>
        <v>1050</v>
      </c>
      <c r="W16" s="175">
        <f>ROUNDUP(IF('AS400 JEMBATAN'!$AB16&gt;='AS400 JEMBATAN'!$AA16,'AS400 JEMBATAN'!W16,$AB16/$V$4)+$AD16,0)</f>
        <v>810</v>
      </c>
      <c r="X16" s="175">
        <f>ROUNDUP(IF('AS400 JEMBATAN'!$AB16&gt;='AS400 JEMBATAN'!$AA16,'AS400 JEMBATAN'!X16,$AB16/$V$4)+$AD16,0)</f>
        <v>960</v>
      </c>
      <c r="Y16" s="175">
        <f>ROUNDUP(IF('AS400 JEMBATAN'!$AB16&gt;='AS400 JEMBATAN'!$AA16,'AS400 JEMBATAN'!Y16,$AB16/$V$4)+$AD16,0)</f>
        <v>870</v>
      </c>
      <c r="Z16" s="175">
        <f>ROUNDUP(IF('AS400 JEMBATAN'!$AB16&gt;='AS400 JEMBATAN'!$AA16,'AS400 JEMBATAN'!Z16,$AB16/$V$4)+$AD16,0)</f>
        <v>0</v>
      </c>
      <c r="AA16" s="175">
        <f t="shared" si="6"/>
        <v>3690</v>
      </c>
      <c r="AB16" s="175">
        <f>'QTY '!W16</f>
        <v>3690</v>
      </c>
      <c r="AC16" s="175">
        <f t="shared" si="7"/>
        <v>0</v>
      </c>
      <c r="AD16" s="183"/>
      <c r="AE16" s="175">
        <f>ROUNDUP(IF('AS400 JEMBATAN'!$AK16&gt;='AS400 JEMBATAN'!$AJ16,'AS400 JEMBATAN'!AE16,$AK16/$AE$4)+$AM16,0)</f>
        <v>1073</v>
      </c>
      <c r="AF16" s="175">
        <f>ROUNDUP(IF('AS400 JEMBATAN'!$AK16&gt;='AS400 JEMBATAN'!$AJ16,'AS400 JEMBATAN'!AF16,$AK16/$AE$4)+$AM16,0)</f>
        <v>1073</v>
      </c>
      <c r="AG16" s="175">
        <f>ROUNDUP(IF('AS400 JEMBATAN'!$AK16&gt;='AS400 JEMBATAN'!$AJ16,'AS400 JEMBATAN'!AG16,$AK16/$AE$4)+$AM16,0)</f>
        <v>1073</v>
      </c>
      <c r="AH16" s="175">
        <f>ROUNDUP(IF('AS400 JEMBATAN'!$AK16&gt;='AS400 JEMBATAN'!$AJ16,'AS400 JEMBATAN'!AH16,$AK16/$AE$4)+$AM16,0)</f>
        <v>1073</v>
      </c>
      <c r="AI16" s="175"/>
      <c r="AJ16" s="175">
        <f t="shared" si="8"/>
        <v>4292</v>
      </c>
      <c r="AK16" s="175">
        <f>'QTY '!Z16</f>
        <v>4290</v>
      </c>
      <c r="AL16" s="175">
        <f t="shared" si="9"/>
        <v>-1</v>
      </c>
      <c r="AM16" s="178"/>
      <c r="AN16" s="179">
        <f>+'AS400 JEMBATAN'!AN16</f>
        <v>1072.5</v>
      </c>
      <c r="AO16" s="179">
        <f>+'AS400 JEMBATAN'!AO16</f>
        <v>1072.5</v>
      </c>
      <c r="AP16" s="179">
        <f>+'AS400 JEMBATAN'!AP16</f>
        <v>1072.5</v>
      </c>
      <c r="AQ16" s="179">
        <f>+'AS400 JEMBATAN'!AQ16</f>
        <v>1072.5</v>
      </c>
      <c r="AR16" s="175"/>
      <c r="AS16" s="175">
        <f t="shared" si="10"/>
        <v>4290</v>
      </c>
      <c r="AT16" s="175">
        <f>'QTY '!AC16</f>
        <v>4290</v>
      </c>
      <c r="AU16" s="175">
        <f t="shared" si="1"/>
        <v>0</v>
      </c>
      <c r="AV16" s="175">
        <v>0</v>
      </c>
      <c r="AW16" s="180">
        <f t="shared" si="11"/>
        <v>840</v>
      </c>
      <c r="AX16" s="180">
        <f t="shared" si="12"/>
        <v>1140</v>
      </c>
      <c r="AY16" s="180">
        <f t="shared" si="13"/>
        <v>1050</v>
      </c>
      <c r="AZ16" s="180">
        <f t="shared" si="14"/>
        <v>1073</v>
      </c>
      <c r="BA16" s="180">
        <f t="shared" si="15"/>
        <v>1072.5</v>
      </c>
      <c r="BB16" s="56" t="e">
        <f>#REF!+1</f>
        <v>#REF!</v>
      </c>
    </row>
    <row r="17" spans="1:54" ht="18" customHeight="1" thickTop="1" thickBot="1">
      <c r="A17" s="210" t="str">
        <f>+'AS400 JEMBATAN'!A17</f>
        <v>BC121-35J20-1</v>
      </c>
      <c r="B17" s="200" t="str">
        <f>+'AS400 JEMBATAN'!B17</f>
        <v>BC121-35G90-1 D 0001</v>
      </c>
      <c r="C17" s="187" t="str">
        <f>'AS400 JEMBATAN'!C17</f>
        <v>930B</v>
      </c>
      <c r="D17" s="175">
        <f>ROUNDUP(IF('AS400 JEMBATAN'!$J17&gt;='AS400 JEMBATAN'!$I17,'AS400 JEMBATAN'!D17,$J17/$D$4)+$L17,0)</f>
        <v>280</v>
      </c>
      <c r="E17" s="175">
        <f>ROUNDUP(IF('AS400 JEMBATAN'!$J17&gt;='AS400 JEMBATAN'!$I17,'AS400 JEMBATAN'!E17,$J17/$D$4)+$L17,0)</f>
        <v>300</v>
      </c>
      <c r="F17" s="175">
        <f>ROUNDUP(IF('AS400 JEMBATAN'!$J17&gt;='AS400 JEMBATAN'!$I17,'AS400 JEMBATAN'!F17,$J17/$D$4)+$L17,0)</f>
        <v>380</v>
      </c>
      <c r="G17" s="175">
        <f>ROUNDUP(IF('AS400 JEMBATAN'!$J17&gt;='AS400 JEMBATAN'!$I17,'AS400 JEMBATAN'!G17,$J17/$D$4)+$L17,0)</f>
        <v>380</v>
      </c>
      <c r="H17" s="175"/>
      <c r="I17" s="175">
        <f t="shared" si="2"/>
        <v>1340</v>
      </c>
      <c r="J17" s="176">
        <f>'QTY '!Q17</f>
        <v>1340</v>
      </c>
      <c r="K17" s="176">
        <f t="shared" si="3"/>
        <v>0</v>
      </c>
      <c r="L17" s="177"/>
      <c r="M17" s="175">
        <f>ROUNDUP(IF('AS400 JEMBATAN'!$S17&gt;='AS400 JEMBATAN'!$R17,'AS400 JEMBATAN'!M17,$S17/$M$4)+$U17,0)</f>
        <v>440</v>
      </c>
      <c r="N17" s="175">
        <f>ROUNDUP(IF('AS400 JEMBATAN'!$S17&gt;='AS400 JEMBATAN'!$R17,'AS400 JEMBATAN'!N17,$S17/$M$4)+$U17,0)</f>
        <v>280</v>
      </c>
      <c r="O17" s="175">
        <f>ROUNDUP(IF('AS400 JEMBATAN'!$S17&gt;='AS400 JEMBATAN'!$R17,'AS400 JEMBATAN'!O17,$S17/$M$4)+$U17,0)</f>
        <v>0</v>
      </c>
      <c r="P17" s="175">
        <f>ROUNDUP(IF('AS400 JEMBATAN'!$S17&gt;='AS400 JEMBATAN'!$R17,'AS400 JEMBATAN'!P17,$S17/$M$4)+$U17,0)</f>
        <v>460</v>
      </c>
      <c r="Q17" s="175">
        <f>ROUNDUP(IF('AS400 JEMBATAN'!$S17&gt;='AS400 JEMBATAN'!$R17,'AS400 JEMBATAN'!Q17,$S17/$M$4)+$U17,0)</f>
        <v>0</v>
      </c>
      <c r="R17" s="175">
        <f t="shared" si="4"/>
        <v>1180</v>
      </c>
      <c r="S17" s="175">
        <f>'QTY '!T17</f>
        <v>1180</v>
      </c>
      <c r="T17" s="176">
        <f t="shared" si="5"/>
        <v>0</v>
      </c>
      <c r="U17" s="178"/>
      <c r="V17" s="175">
        <f>ROUNDUP(IF('AS400 JEMBATAN'!$AB17&gt;='AS400 JEMBATAN'!$AA17,'AS400 JEMBATAN'!V17,$AB17/$V$4)+$AD17,0)</f>
        <v>360</v>
      </c>
      <c r="W17" s="175">
        <f>ROUNDUP(IF('AS400 JEMBATAN'!$AB17&gt;='AS400 JEMBATAN'!$AA17,'AS400 JEMBATAN'!W17,$AB17/$V$4)+$AD17,0)</f>
        <v>300</v>
      </c>
      <c r="X17" s="175">
        <f>ROUNDUP(IF('AS400 JEMBATAN'!$AB17&gt;='AS400 JEMBATAN'!$AA17,'AS400 JEMBATAN'!X17,$AB17/$V$4)+$AD17,0)</f>
        <v>360</v>
      </c>
      <c r="Y17" s="175">
        <f>ROUNDUP(IF('AS400 JEMBATAN'!$AB17&gt;='AS400 JEMBATAN'!$AA17,'AS400 JEMBATAN'!Y17,$AB17/$V$4)+$AD17,0)</f>
        <v>380</v>
      </c>
      <c r="Z17" s="175">
        <f>ROUNDUP(IF('AS400 JEMBATAN'!$AB17&gt;='AS400 JEMBATAN'!$AA17,'AS400 JEMBATAN'!Z17,$AB17/$V$4)+$AD17,0)</f>
        <v>0</v>
      </c>
      <c r="AA17" s="175">
        <f t="shared" si="6"/>
        <v>1400</v>
      </c>
      <c r="AB17" s="175">
        <f>'QTY '!W17</f>
        <v>1400</v>
      </c>
      <c r="AC17" s="175">
        <f t="shared" si="7"/>
        <v>0</v>
      </c>
      <c r="AD17" s="183"/>
      <c r="AE17" s="175">
        <f>ROUNDUP(IF('AS400 JEMBATAN'!$AK17&gt;='AS400 JEMBATAN'!$AJ17,'AS400 JEMBATAN'!AE17,$AK17/$AE$4)+$AM17,0)</f>
        <v>405</v>
      </c>
      <c r="AF17" s="175">
        <f>ROUNDUP(IF('AS400 JEMBATAN'!$AK17&gt;='AS400 JEMBATAN'!$AJ17,'AS400 JEMBATAN'!AF17,$AK17/$AE$4)+$AM17,0)</f>
        <v>405</v>
      </c>
      <c r="AG17" s="175">
        <f>ROUNDUP(IF('AS400 JEMBATAN'!$AK17&gt;='AS400 JEMBATAN'!$AJ17,'AS400 JEMBATAN'!AG17,$AK17/$AE$4)+$AM17,0)</f>
        <v>405</v>
      </c>
      <c r="AH17" s="175">
        <f>ROUNDUP(IF('AS400 JEMBATAN'!$AK17&gt;='AS400 JEMBATAN'!$AJ17,'AS400 JEMBATAN'!AH17,$AK17/$AE$4)+$AM17,0)</f>
        <v>405</v>
      </c>
      <c r="AI17" s="175"/>
      <c r="AJ17" s="175">
        <f t="shared" si="8"/>
        <v>1620</v>
      </c>
      <c r="AK17" s="175">
        <f>'QTY '!Z17</f>
        <v>1620</v>
      </c>
      <c r="AL17" s="175">
        <f t="shared" si="9"/>
        <v>0</v>
      </c>
      <c r="AM17" s="178"/>
      <c r="AN17" s="179">
        <f>+'AS400 JEMBATAN'!AN17</f>
        <v>405</v>
      </c>
      <c r="AO17" s="179">
        <f>+'AS400 JEMBATAN'!AO17</f>
        <v>405</v>
      </c>
      <c r="AP17" s="179">
        <f>+'AS400 JEMBATAN'!AP17</f>
        <v>405</v>
      </c>
      <c r="AQ17" s="179">
        <f>+'AS400 JEMBATAN'!AQ17</f>
        <v>405</v>
      </c>
      <c r="AR17" s="175"/>
      <c r="AS17" s="175">
        <f t="shared" si="10"/>
        <v>1620</v>
      </c>
      <c r="AT17" s="175">
        <f>'QTY '!AC17</f>
        <v>1620</v>
      </c>
      <c r="AU17" s="175">
        <f t="shared" si="1"/>
        <v>0</v>
      </c>
      <c r="AV17" s="175">
        <v>0</v>
      </c>
      <c r="AW17" s="180">
        <f t="shared" si="11"/>
        <v>280</v>
      </c>
      <c r="AX17" s="180">
        <f t="shared" si="12"/>
        <v>440</v>
      </c>
      <c r="AY17" s="180">
        <f t="shared" si="13"/>
        <v>360</v>
      </c>
      <c r="AZ17" s="180">
        <f t="shared" si="14"/>
        <v>405</v>
      </c>
      <c r="BA17" s="180">
        <f t="shared" si="15"/>
        <v>405</v>
      </c>
      <c r="BB17" s="56" t="e">
        <f>#REF!+1</f>
        <v>#REF!</v>
      </c>
    </row>
    <row r="18" spans="1:54" ht="18" customHeight="1" thickTop="1" thickBot="1">
      <c r="A18" s="210" t="str">
        <f>+'AS400 JEMBATAN'!A18</f>
        <v>BC139-930B2-1</v>
      </c>
      <c r="B18" s="200" t="str">
        <f>+'AS400 JEMBATAN'!B18</f>
        <v>BC121-35K80-1 C 0001</v>
      </c>
      <c r="C18" s="187" t="str">
        <f>'AS400 JEMBATAN'!C18</f>
        <v>930B</v>
      </c>
      <c r="D18" s="175">
        <f>ROUNDUP(IF('AS400 JEMBATAN'!$J18&gt;='AS400 JEMBATAN'!$I18,'AS400 JEMBATAN'!D18,$J18/$D$4)+$L18,0)</f>
        <v>0</v>
      </c>
      <c r="E18" s="175">
        <f>ROUNDUP(IF('AS400 JEMBATAN'!$J18&gt;='AS400 JEMBATAN'!$I18,'AS400 JEMBATAN'!E18,$J18/$D$4)+$L18,0)</f>
        <v>0</v>
      </c>
      <c r="F18" s="175">
        <f>ROUNDUP(IF('AS400 JEMBATAN'!$J18&gt;='AS400 JEMBATAN'!$I18,'AS400 JEMBATAN'!F18,$J18/$D$4)+$L18,0)</f>
        <v>240</v>
      </c>
      <c r="G18" s="175">
        <f>ROUNDUP(IF('AS400 JEMBATAN'!$J18&gt;='AS400 JEMBATAN'!$I18,'AS400 JEMBATAN'!G18,$J18/$D$4)+$L18,0)</f>
        <v>510</v>
      </c>
      <c r="H18" s="175"/>
      <c r="I18" s="175">
        <f t="shared" si="2"/>
        <v>750</v>
      </c>
      <c r="J18" s="176">
        <f>'QTY '!Q18</f>
        <v>750</v>
      </c>
      <c r="K18" s="176">
        <f t="shared" si="3"/>
        <v>0</v>
      </c>
      <c r="L18" s="177"/>
      <c r="M18" s="175">
        <f>ROUNDUP(IF('AS400 JEMBATAN'!$S18&gt;='AS400 JEMBATAN'!$R18,'AS400 JEMBATAN'!M18,$S18/$M$4)+$U18,0)</f>
        <v>570</v>
      </c>
      <c r="N18" s="175">
        <f>ROUNDUP(IF('AS400 JEMBATAN'!$S18&gt;='AS400 JEMBATAN'!$R18,'AS400 JEMBATAN'!N18,$S18/$M$4)+$U18,0)</f>
        <v>450</v>
      </c>
      <c r="O18" s="175">
        <f>ROUNDUP(IF('AS400 JEMBATAN'!$S18&gt;='AS400 JEMBATAN'!$R18,'AS400 JEMBATAN'!O18,$S18/$M$4)+$U18,0)</f>
        <v>0</v>
      </c>
      <c r="P18" s="175">
        <f>ROUNDUP(IF('AS400 JEMBATAN'!$S18&gt;='AS400 JEMBATAN'!$R18,'AS400 JEMBATAN'!P18,$S18/$M$4)+$U18,0)</f>
        <v>660</v>
      </c>
      <c r="Q18" s="175">
        <f>ROUNDUP(IF('AS400 JEMBATAN'!$S18&gt;='AS400 JEMBATAN'!$R18,'AS400 JEMBATAN'!Q18,$S18/$M$4)+$U18,0)</f>
        <v>0</v>
      </c>
      <c r="R18" s="175">
        <f t="shared" si="4"/>
        <v>1680</v>
      </c>
      <c r="S18" s="175">
        <f>'QTY '!T18</f>
        <v>1680</v>
      </c>
      <c r="T18" s="176">
        <f t="shared" si="5"/>
        <v>0</v>
      </c>
      <c r="U18" s="178"/>
      <c r="V18" s="175">
        <f>ROUNDUP(IF('AS400 JEMBATAN'!$AB18&gt;='AS400 JEMBATAN'!$AA18,'AS400 JEMBATAN'!V18,$AB18/$V$4)+$AD18,0)</f>
        <v>570</v>
      </c>
      <c r="W18" s="175">
        <f>ROUNDUP(IF('AS400 JEMBATAN'!$AB18&gt;='AS400 JEMBATAN'!$AA18,'AS400 JEMBATAN'!W18,$AB18/$V$4)+$AD18,0)</f>
        <v>450</v>
      </c>
      <c r="X18" s="175">
        <f>ROUNDUP(IF('AS400 JEMBATAN'!$AB18&gt;='AS400 JEMBATAN'!$AA18,'AS400 JEMBATAN'!X18,$AB18/$V$4)+$AD18,0)</f>
        <v>570</v>
      </c>
      <c r="Y18" s="175">
        <f>ROUNDUP(IF('AS400 JEMBATAN'!$AB18&gt;='AS400 JEMBATAN'!$AA18,'AS400 JEMBATAN'!Y18,$AB18/$V$4)+$AD18,0)</f>
        <v>510</v>
      </c>
      <c r="Z18" s="175">
        <f>ROUNDUP(IF('AS400 JEMBATAN'!$AB18&gt;='AS400 JEMBATAN'!$AA18,'AS400 JEMBATAN'!Z18,$AB18/$V$4)+$AD18,0)</f>
        <v>0</v>
      </c>
      <c r="AA18" s="175">
        <f t="shared" si="6"/>
        <v>2100</v>
      </c>
      <c r="AB18" s="175">
        <f>'QTY '!W18</f>
        <v>2100</v>
      </c>
      <c r="AC18" s="175">
        <f t="shared" si="7"/>
        <v>0</v>
      </c>
      <c r="AD18" s="183"/>
      <c r="AE18" s="175">
        <f>ROUNDUP(IF('AS400 JEMBATAN'!$AK18&gt;='AS400 JEMBATAN'!$AJ18,'AS400 JEMBATAN'!AE18,$AK18/$AE$4)+$AM18,0)</f>
        <v>518</v>
      </c>
      <c r="AF18" s="175">
        <f>ROUNDUP(IF('AS400 JEMBATAN'!$AK18&gt;='AS400 JEMBATAN'!$AJ18,'AS400 JEMBATAN'!AF18,$AK18/$AE$4)+$AM18,0)</f>
        <v>518</v>
      </c>
      <c r="AG18" s="175">
        <f>ROUNDUP(IF('AS400 JEMBATAN'!$AK18&gt;='AS400 JEMBATAN'!$AJ18,'AS400 JEMBATAN'!AG18,$AK18/$AE$4)+$AM18,0)</f>
        <v>518</v>
      </c>
      <c r="AH18" s="175">
        <f>ROUNDUP(IF('AS400 JEMBATAN'!$AK18&gt;='AS400 JEMBATAN'!$AJ18,'AS400 JEMBATAN'!AH18,$AK18/$AE$4)+$AM18,0)</f>
        <v>518</v>
      </c>
      <c r="AI18" s="175"/>
      <c r="AJ18" s="175">
        <f t="shared" si="8"/>
        <v>2072</v>
      </c>
      <c r="AK18" s="175">
        <f>'QTY '!Z18</f>
        <v>2070</v>
      </c>
      <c r="AL18" s="175">
        <f t="shared" si="9"/>
        <v>-1</v>
      </c>
      <c r="AM18" s="178"/>
      <c r="AN18" s="179">
        <f>+'AS400 JEMBATAN'!AN18</f>
        <v>517.5</v>
      </c>
      <c r="AO18" s="179">
        <f>+'AS400 JEMBATAN'!AO18</f>
        <v>517.5</v>
      </c>
      <c r="AP18" s="179">
        <f>+'AS400 JEMBATAN'!AP18</f>
        <v>517.5</v>
      </c>
      <c r="AQ18" s="179">
        <f>+'AS400 JEMBATAN'!AQ18</f>
        <v>517.5</v>
      </c>
      <c r="AR18" s="175"/>
      <c r="AS18" s="175">
        <f t="shared" si="10"/>
        <v>2070</v>
      </c>
      <c r="AT18" s="175">
        <f>'QTY '!AC18</f>
        <v>2070</v>
      </c>
      <c r="AU18" s="175">
        <f t="shared" si="1"/>
        <v>0</v>
      </c>
      <c r="AV18" s="175">
        <v>0</v>
      </c>
      <c r="AW18" s="180">
        <f t="shared" ref="AW18:AW23" si="16">+D18*D$8</f>
        <v>0</v>
      </c>
      <c r="AX18" s="180">
        <f t="shared" ref="AX18:AX23" si="17">+M18*M$8</f>
        <v>570</v>
      </c>
      <c r="AY18" s="180">
        <f t="shared" ref="AY18:AY23" si="18">+V18*V$8</f>
        <v>570</v>
      </c>
      <c r="AZ18" s="180">
        <f t="shared" ref="AZ18:AZ23" si="19">+AE18*AE$8</f>
        <v>518</v>
      </c>
      <c r="BA18" s="180">
        <f t="shared" ref="BA18:BA23" si="20">+AN18*AN$8</f>
        <v>517.5</v>
      </c>
      <c r="BB18" s="56" t="e">
        <f>#REF!+1</f>
        <v>#REF!</v>
      </c>
    </row>
    <row r="19" spans="1:54" ht="18" customHeight="1" thickTop="1" thickBot="1">
      <c r="A19" s="210" t="str">
        <f>+'AS400 JEMBATAN'!A19</f>
        <v>BC111-2FE72-1</v>
      </c>
      <c r="B19" s="200" t="str">
        <f>+'AS400 JEMBATAN'!B19</f>
        <v>BC111-2FE72-1 F 0201</v>
      </c>
      <c r="C19" s="187" t="str">
        <f>'AS400 JEMBATAN'!C19</f>
        <v>BC 602W</v>
      </c>
      <c r="D19" s="175">
        <f>ROUNDUP(IF('AS400 JEMBATAN'!$J19&gt;='AS400 JEMBATAN'!$I19,'AS400 JEMBATAN'!D19,$J19/$D$4)+$L19,0)</f>
        <v>360</v>
      </c>
      <c r="E19" s="175">
        <f>ROUNDUP(IF('AS400 JEMBATAN'!$J19&gt;='AS400 JEMBATAN'!$I19,'AS400 JEMBATAN'!E19,$J19/$D$4)+$L19,0)</f>
        <v>360</v>
      </c>
      <c r="F19" s="175">
        <f>ROUNDUP(IF('AS400 JEMBATAN'!$J19&gt;='AS400 JEMBATAN'!$I19,'AS400 JEMBATAN'!F19,$J19/$D$4)+$L19,0)</f>
        <v>420</v>
      </c>
      <c r="G19" s="175">
        <f>ROUNDUP(IF('AS400 JEMBATAN'!$J19&gt;='AS400 JEMBATAN'!$I19,'AS400 JEMBATAN'!G19,$J19/$D$4)+$L19,0)</f>
        <v>420</v>
      </c>
      <c r="H19" s="175"/>
      <c r="I19" s="175">
        <f t="shared" si="2"/>
        <v>1560</v>
      </c>
      <c r="J19" s="176">
        <f>'QTY '!Q19</f>
        <v>1560</v>
      </c>
      <c r="K19" s="176">
        <f t="shared" si="3"/>
        <v>0</v>
      </c>
      <c r="L19" s="177"/>
      <c r="M19" s="175">
        <f>ROUNDUP(IF('AS400 JEMBATAN'!$S19&gt;='AS400 JEMBATAN'!$R19,'AS400 JEMBATAN'!M19,$S19/$M$4)+$U19,0)</f>
        <v>540</v>
      </c>
      <c r="N19" s="175">
        <f>ROUNDUP(IF('AS400 JEMBATAN'!$S19&gt;='AS400 JEMBATAN'!$R19,'AS400 JEMBATAN'!N19,$S19/$M$4)+$U19,0)</f>
        <v>300</v>
      </c>
      <c r="O19" s="175">
        <f>ROUNDUP(IF('AS400 JEMBATAN'!$S19&gt;='AS400 JEMBATAN'!$R19,'AS400 JEMBATAN'!O19,$S19/$M$4)+$U19,0)</f>
        <v>0</v>
      </c>
      <c r="P19" s="175">
        <f>ROUNDUP(IF('AS400 JEMBATAN'!$S19&gt;='AS400 JEMBATAN'!$R19,'AS400 JEMBATAN'!P19,$S19/$M$4)+$U19,0)</f>
        <v>480</v>
      </c>
      <c r="Q19" s="175">
        <f>ROUNDUP(IF('AS400 JEMBATAN'!$S19&gt;='AS400 JEMBATAN'!$R19,'AS400 JEMBATAN'!Q19,$S19/$M$4)+$U19,0)</f>
        <v>0</v>
      </c>
      <c r="R19" s="175">
        <f t="shared" si="4"/>
        <v>1320</v>
      </c>
      <c r="S19" s="175">
        <f>'QTY '!T19</f>
        <v>1320</v>
      </c>
      <c r="T19" s="176">
        <f t="shared" si="5"/>
        <v>0</v>
      </c>
      <c r="U19" s="178"/>
      <c r="V19" s="175">
        <f>ROUNDUP(IF('AS400 JEMBATAN'!$AB19&gt;='AS400 JEMBATAN'!$AA19,'AS400 JEMBATAN'!V19,$AB19/$V$4)+$AD19,0)</f>
        <v>420</v>
      </c>
      <c r="W19" s="175">
        <f>ROUNDUP(IF('AS400 JEMBATAN'!$AB19&gt;='AS400 JEMBATAN'!$AA19,'AS400 JEMBATAN'!W19,$AB19/$V$4)+$AD19,0)</f>
        <v>300</v>
      </c>
      <c r="X19" s="175">
        <f>ROUNDUP(IF('AS400 JEMBATAN'!$AB19&gt;='AS400 JEMBATAN'!$AA19,'AS400 JEMBATAN'!X19,$AB19/$V$4)+$AD19,0)</f>
        <v>420</v>
      </c>
      <c r="Y19" s="175">
        <f>ROUNDUP(IF('AS400 JEMBATAN'!$AB19&gt;='AS400 JEMBATAN'!$AA19,'AS400 JEMBATAN'!Y19,$AB19/$V$4)+$AD19,0)</f>
        <v>300</v>
      </c>
      <c r="Z19" s="175">
        <f>ROUNDUP(IF('AS400 JEMBATAN'!$AB19&gt;='AS400 JEMBATAN'!$AA19,'AS400 JEMBATAN'!Z19,$AB19/$V$4)+$AD19,0)</f>
        <v>0</v>
      </c>
      <c r="AA19" s="175">
        <f t="shared" si="6"/>
        <v>1440</v>
      </c>
      <c r="AB19" s="175">
        <f>'QTY '!W19</f>
        <v>1440</v>
      </c>
      <c r="AC19" s="175">
        <f t="shared" si="7"/>
        <v>0</v>
      </c>
      <c r="AD19" s="183"/>
      <c r="AE19" s="175">
        <f>ROUNDUP(IF('AS400 JEMBATAN'!$AK19&gt;='AS400 JEMBATAN'!$AJ19,'AS400 JEMBATAN'!AE19,$AK19/$AE$4)+$AM19,0)</f>
        <v>420</v>
      </c>
      <c r="AF19" s="175">
        <f>ROUNDUP(IF('AS400 JEMBATAN'!$AK19&gt;='AS400 JEMBATAN'!$AJ19,'AS400 JEMBATAN'!AF19,$AK19/$AE$4)+$AM19,0)</f>
        <v>420</v>
      </c>
      <c r="AG19" s="175">
        <f>ROUNDUP(IF('AS400 JEMBATAN'!$AK19&gt;='AS400 JEMBATAN'!$AJ19,'AS400 JEMBATAN'!AG19,$AK19/$AE$4)+$AM19,0)</f>
        <v>420</v>
      </c>
      <c r="AH19" s="175">
        <f>ROUNDUP(IF('AS400 JEMBATAN'!$AK19&gt;='AS400 JEMBATAN'!$AJ19,'AS400 JEMBATAN'!AH19,$AK19/$AE$4)+$AM19,0)</f>
        <v>420</v>
      </c>
      <c r="AI19" s="175"/>
      <c r="AJ19" s="175">
        <f t="shared" si="8"/>
        <v>1680</v>
      </c>
      <c r="AK19" s="175">
        <f>'QTY '!Z19</f>
        <v>1680</v>
      </c>
      <c r="AL19" s="175">
        <f t="shared" si="9"/>
        <v>0</v>
      </c>
      <c r="AM19" s="178"/>
      <c r="AN19" s="179">
        <f>+'AS400 JEMBATAN'!AN19</f>
        <v>420</v>
      </c>
      <c r="AO19" s="179">
        <f>+'AS400 JEMBATAN'!AO19</f>
        <v>420</v>
      </c>
      <c r="AP19" s="179">
        <f>+'AS400 JEMBATAN'!AP19</f>
        <v>420</v>
      </c>
      <c r="AQ19" s="179">
        <f>+'AS400 JEMBATAN'!AQ19</f>
        <v>420</v>
      </c>
      <c r="AR19" s="175"/>
      <c r="AS19" s="175">
        <f t="shared" si="10"/>
        <v>1680</v>
      </c>
      <c r="AT19" s="175">
        <f>'QTY '!AC19</f>
        <v>1680</v>
      </c>
      <c r="AU19" s="175">
        <f t="shared" si="1"/>
        <v>0</v>
      </c>
      <c r="AV19" s="175">
        <v>0</v>
      </c>
      <c r="AW19" s="180">
        <f t="shared" si="16"/>
        <v>360</v>
      </c>
      <c r="AX19" s="180">
        <f t="shared" si="17"/>
        <v>540</v>
      </c>
      <c r="AY19" s="180">
        <f t="shared" si="18"/>
        <v>420</v>
      </c>
      <c r="AZ19" s="180">
        <f t="shared" si="19"/>
        <v>420</v>
      </c>
      <c r="BA19" s="180">
        <f t="shared" si="20"/>
        <v>420</v>
      </c>
      <c r="BB19" s="56" t="e">
        <f>#REF!+1</f>
        <v>#REF!</v>
      </c>
    </row>
    <row r="20" spans="1:54" ht="18" customHeight="1" thickTop="1" thickBot="1">
      <c r="A20" s="210" t="str">
        <f>+'AS400 JEMBATAN'!A20</f>
        <v>BC111-2FE72-2</v>
      </c>
      <c r="B20" s="200" t="str">
        <f>+'AS400 JEMBATAN'!B20</f>
        <v>BC111-2FE72-2 F 0201</v>
      </c>
      <c r="C20" s="187" t="str">
        <f>'AS400 JEMBATAN'!C20</f>
        <v>BC 602W</v>
      </c>
      <c r="D20" s="175">
        <f>ROUNDUP(IF('AS400 JEMBATAN'!$J20&gt;='AS400 JEMBATAN'!$I20,'AS400 JEMBATAN'!D20,$J20/$D$4)+$L20,0)</f>
        <v>320</v>
      </c>
      <c r="E20" s="175">
        <f>ROUNDUP(IF('AS400 JEMBATAN'!$J20&gt;='AS400 JEMBATAN'!$I20,'AS400 JEMBATAN'!E20,$J20/$D$4)+$L20,0)</f>
        <v>320</v>
      </c>
      <c r="F20" s="175">
        <f>ROUNDUP(IF('AS400 JEMBATAN'!$J20&gt;='AS400 JEMBATAN'!$I20,'AS400 JEMBATAN'!F20,$J20/$D$4)+$L20,0)</f>
        <v>360</v>
      </c>
      <c r="G20" s="175">
        <f>ROUNDUP(IF('AS400 JEMBATAN'!$J20&gt;='AS400 JEMBATAN'!$I20,'AS400 JEMBATAN'!G20,$J20/$D$4)+$L20,0)</f>
        <v>360</v>
      </c>
      <c r="H20" s="175"/>
      <c r="I20" s="175">
        <f t="shared" si="2"/>
        <v>1360</v>
      </c>
      <c r="J20" s="176">
        <f>'QTY '!Q20</f>
        <v>1360</v>
      </c>
      <c r="K20" s="176">
        <f t="shared" si="3"/>
        <v>0</v>
      </c>
      <c r="L20" s="177"/>
      <c r="M20" s="175">
        <f>ROUNDUP(IF('AS400 JEMBATAN'!$S20&gt;='AS400 JEMBATAN'!$R20,'AS400 JEMBATAN'!M20,$S20/$M$4)+$U20,0)</f>
        <v>420</v>
      </c>
      <c r="N20" s="175">
        <f>ROUNDUP(IF('AS400 JEMBATAN'!$S20&gt;='AS400 JEMBATAN'!$R20,'AS400 JEMBATAN'!N20,$S20/$M$4)+$U20,0)</f>
        <v>260</v>
      </c>
      <c r="O20" s="175">
        <f>ROUNDUP(IF('AS400 JEMBATAN'!$S20&gt;='AS400 JEMBATAN'!$R20,'AS400 JEMBATAN'!O20,$S20/$M$4)+$U20,0)</f>
        <v>0</v>
      </c>
      <c r="P20" s="175">
        <f>ROUNDUP(IF('AS400 JEMBATAN'!$S20&gt;='AS400 JEMBATAN'!$R20,'AS400 JEMBATAN'!P20,$S20/$M$4)+$U20,0)</f>
        <v>400</v>
      </c>
      <c r="Q20" s="175">
        <f>ROUNDUP(IF('AS400 JEMBATAN'!$S20&gt;='AS400 JEMBATAN'!$R20,'AS400 JEMBATAN'!Q20,$S20/$M$4)+$U20,0)</f>
        <v>0</v>
      </c>
      <c r="R20" s="175">
        <f t="shared" si="4"/>
        <v>1080</v>
      </c>
      <c r="S20" s="175">
        <f>'QTY '!T20</f>
        <v>1080</v>
      </c>
      <c r="T20" s="176">
        <f t="shared" si="5"/>
        <v>0</v>
      </c>
      <c r="U20" s="178"/>
      <c r="V20" s="175">
        <f>ROUNDUP(IF('AS400 JEMBATAN'!$AB20&gt;='AS400 JEMBATAN'!$AA20,'AS400 JEMBATAN'!V20,$AB20/$V$4)+$AD20,0)</f>
        <v>340</v>
      </c>
      <c r="W20" s="175">
        <f>ROUNDUP(IF('AS400 JEMBATAN'!$AB20&gt;='AS400 JEMBATAN'!$AA20,'AS400 JEMBATAN'!W20,$AB20/$V$4)+$AD20,0)</f>
        <v>260</v>
      </c>
      <c r="X20" s="175">
        <f>ROUNDUP(IF('AS400 JEMBATAN'!$AB20&gt;='AS400 JEMBATAN'!$AA20,'AS400 JEMBATAN'!X20,$AB20/$V$4)+$AD20,0)</f>
        <v>300</v>
      </c>
      <c r="Y20" s="175">
        <f>ROUNDUP(IF('AS400 JEMBATAN'!$AB20&gt;='AS400 JEMBATAN'!$AA20,'AS400 JEMBATAN'!Y20,$AB20/$V$4)+$AD20,0)</f>
        <v>280</v>
      </c>
      <c r="Z20" s="175">
        <f>ROUNDUP(IF('AS400 JEMBATAN'!$AB20&gt;='AS400 JEMBATAN'!$AA20,'AS400 JEMBATAN'!Z20,$AB20/$V$4)+$AD20,0)</f>
        <v>0</v>
      </c>
      <c r="AA20" s="175">
        <f t="shared" si="6"/>
        <v>1180</v>
      </c>
      <c r="AB20" s="175">
        <f>'QTY '!W20</f>
        <v>1180</v>
      </c>
      <c r="AC20" s="175">
        <f t="shared" si="7"/>
        <v>0</v>
      </c>
      <c r="AD20" s="183"/>
      <c r="AE20" s="175">
        <f>ROUNDUP(IF('AS400 JEMBATAN'!$AK20&gt;='AS400 JEMBATAN'!$AJ20,'AS400 JEMBATAN'!AE20,$AK20/$AE$4)+$AM20,0)</f>
        <v>335</v>
      </c>
      <c r="AF20" s="175">
        <f>ROUNDUP(IF('AS400 JEMBATAN'!$AK20&gt;='AS400 JEMBATAN'!$AJ20,'AS400 JEMBATAN'!AF20,$AK20/$AE$4)+$AM20,0)</f>
        <v>335</v>
      </c>
      <c r="AG20" s="175">
        <f>ROUNDUP(IF('AS400 JEMBATAN'!$AK20&gt;='AS400 JEMBATAN'!$AJ20,'AS400 JEMBATAN'!AG20,$AK20/$AE$4)+$AM20,0)</f>
        <v>335</v>
      </c>
      <c r="AH20" s="175">
        <f>ROUNDUP(IF('AS400 JEMBATAN'!$AK20&gt;='AS400 JEMBATAN'!$AJ20,'AS400 JEMBATAN'!AH20,$AK20/$AE$4)+$AM20,0)</f>
        <v>335</v>
      </c>
      <c r="AI20" s="175"/>
      <c r="AJ20" s="175">
        <f t="shared" si="8"/>
        <v>1340</v>
      </c>
      <c r="AK20" s="175">
        <f>'QTY '!Z20</f>
        <v>1340</v>
      </c>
      <c r="AL20" s="175">
        <f t="shared" si="9"/>
        <v>0</v>
      </c>
      <c r="AM20" s="178"/>
      <c r="AN20" s="179">
        <f>+'AS400 JEMBATAN'!AN20</f>
        <v>335</v>
      </c>
      <c r="AO20" s="179">
        <f>+'AS400 JEMBATAN'!AO20</f>
        <v>335</v>
      </c>
      <c r="AP20" s="179">
        <f>+'AS400 JEMBATAN'!AP20</f>
        <v>335</v>
      </c>
      <c r="AQ20" s="179">
        <f>+'AS400 JEMBATAN'!AQ20</f>
        <v>335</v>
      </c>
      <c r="AR20" s="175"/>
      <c r="AS20" s="175">
        <f t="shared" si="10"/>
        <v>1340</v>
      </c>
      <c r="AT20" s="175">
        <f>'QTY '!AC20</f>
        <v>1340</v>
      </c>
      <c r="AU20" s="175">
        <f t="shared" si="1"/>
        <v>0</v>
      </c>
      <c r="AV20" s="175">
        <v>0</v>
      </c>
      <c r="AW20" s="180">
        <f t="shared" si="16"/>
        <v>320</v>
      </c>
      <c r="AX20" s="180">
        <f t="shared" si="17"/>
        <v>420</v>
      </c>
      <c r="AY20" s="180">
        <f t="shared" si="18"/>
        <v>340</v>
      </c>
      <c r="AZ20" s="180">
        <f t="shared" si="19"/>
        <v>335</v>
      </c>
      <c r="BA20" s="180">
        <f t="shared" si="20"/>
        <v>335</v>
      </c>
      <c r="BB20" s="56" t="e">
        <f>#REF!+1</f>
        <v>#REF!</v>
      </c>
    </row>
    <row r="21" spans="1:54" ht="18" customHeight="1" thickTop="1" thickBot="1">
      <c r="A21" s="210" t="str">
        <f>+'AS400 JEMBATAN'!A21</f>
        <v>BC111-V3881-1</v>
      </c>
      <c r="B21" s="200" t="str">
        <f>+'AS400 JEMBATAN'!B21</f>
        <v>BC111-V3881-1 B 0201</v>
      </c>
      <c r="C21" s="187" t="str">
        <f>'AS400 JEMBATAN'!C21</f>
        <v>BC 602W</v>
      </c>
      <c r="D21" s="175">
        <f>ROUNDUP(IF('AS400 JEMBATAN'!$J21&gt;='AS400 JEMBATAN'!$I21,'AS400 JEMBATAN'!D21,$J21/$D$4)+$L21,0)</f>
        <v>960</v>
      </c>
      <c r="E21" s="175">
        <f>ROUNDUP(IF('AS400 JEMBATAN'!$J21&gt;='AS400 JEMBATAN'!$I21,'AS400 JEMBATAN'!E21,$J21/$D$4)+$L21,0)</f>
        <v>960</v>
      </c>
      <c r="F21" s="175">
        <f>ROUNDUP(IF('AS400 JEMBATAN'!$J21&gt;='AS400 JEMBATAN'!$I21,'AS400 JEMBATAN'!F21,$J21/$D$4)+$L21,0)</f>
        <v>1280</v>
      </c>
      <c r="G21" s="175">
        <f>ROUNDUP(IF('AS400 JEMBATAN'!$J21&gt;='AS400 JEMBATAN'!$I21,'AS400 JEMBATAN'!G21,$J21/$D$4)+$L21,0)</f>
        <v>1280</v>
      </c>
      <c r="H21" s="175"/>
      <c r="I21" s="175">
        <f t="shared" si="2"/>
        <v>4480</v>
      </c>
      <c r="J21" s="176">
        <f>'QTY '!Q21</f>
        <v>4480</v>
      </c>
      <c r="K21" s="176">
        <f t="shared" si="3"/>
        <v>0</v>
      </c>
      <c r="L21" s="177"/>
      <c r="M21" s="175">
        <f>ROUNDUP(IF('AS400 JEMBATAN'!$S21&gt;='AS400 JEMBATAN'!$R21,'AS400 JEMBATAN'!M21,$S21/$M$4)+$U21,0)</f>
        <v>1520</v>
      </c>
      <c r="N21" s="175">
        <f>ROUNDUP(IF('AS400 JEMBATAN'!$S21&gt;='AS400 JEMBATAN'!$R21,'AS400 JEMBATAN'!N21,$S21/$M$4)+$U21,0)</f>
        <v>960</v>
      </c>
      <c r="O21" s="175">
        <f>ROUNDUP(IF('AS400 JEMBATAN'!$S21&gt;='AS400 JEMBATAN'!$R21,'AS400 JEMBATAN'!O21,$S21/$M$4)+$U21,0)</f>
        <v>0</v>
      </c>
      <c r="P21" s="175">
        <f>ROUNDUP(IF('AS400 JEMBATAN'!$S21&gt;='AS400 JEMBATAN'!$R21,'AS400 JEMBATAN'!P21,$S21/$M$4)+$U21,0)</f>
        <v>1440</v>
      </c>
      <c r="Q21" s="175">
        <f>ROUNDUP(IF('AS400 JEMBATAN'!$S21&gt;='AS400 JEMBATAN'!$R21,'AS400 JEMBATAN'!Q21,$S21/$M$4)+$U21,0)</f>
        <v>0</v>
      </c>
      <c r="R21" s="175">
        <f t="shared" si="4"/>
        <v>3920</v>
      </c>
      <c r="S21" s="175">
        <f>'QTY '!T21</f>
        <v>3920</v>
      </c>
      <c r="T21" s="176">
        <f t="shared" si="5"/>
        <v>0</v>
      </c>
      <c r="U21" s="178"/>
      <c r="V21" s="175">
        <f>ROUNDUP(IF('AS400 JEMBATAN'!$AB21&gt;='AS400 JEMBATAN'!$AA21,'AS400 JEMBATAN'!V21,$AB21/$V$4)+$AD21,0)</f>
        <v>1120</v>
      </c>
      <c r="W21" s="175">
        <f>ROUNDUP(IF('AS400 JEMBATAN'!$AB21&gt;='AS400 JEMBATAN'!$AA21,'AS400 JEMBATAN'!W21,$AB21/$V$4)+$AD21,0)</f>
        <v>960</v>
      </c>
      <c r="X21" s="175">
        <f>ROUNDUP(IF('AS400 JEMBATAN'!$AB21&gt;='AS400 JEMBATAN'!$AA21,'AS400 JEMBATAN'!X21,$AB21/$V$4)+$AD21,0)</f>
        <v>1120</v>
      </c>
      <c r="Y21" s="175">
        <f>ROUNDUP(IF('AS400 JEMBATAN'!$AB21&gt;='AS400 JEMBATAN'!$AA21,'AS400 JEMBATAN'!Y21,$AB21/$V$4)+$AD21,0)</f>
        <v>1040</v>
      </c>
      <c r="Z21" s="175">
        <f>ROUNDUP(IF('AS400 JEMBATAN'!$AB21&gt;='AS400 JEMBATAN'!$AA21,'AS400 JEMBATAN'!Z21,$AB21/$V$4)+$AD21,0)</f>
        <v>0</v>
      </c>
      <c r="AA21" s="175">
        <f t="shared" si="6"/>
        <v>4240</v>
      </c>
      <c r="AB21" s="175">
        <f>'QTY '!W21</f>
        <v>4240</v>
      </c>
      <c r="AC21" s="175">
        <f t="shared" si="7"/>
        <v>0</v>
      </c>
      <c r="AD21" s="183"/>
      <c r="AE21" s="175">
        <f>ROUNDUP(IF('AS400 JEMBATAN'!$AK21&gt;='AS400 JEMBATAN'!$AJ21,'AS400 JEMBATAN'!AE21,$AK21/$AE$4)+$AM21,0)</f>
        <v>1240</v>
      </c>
      <c r="AF21" s="175">
        <f>ROUNDUP(IF('AS400 JEMBATAN'!$AK21&gt;='AS400 JEMBATAN'!$AJ21,'AS400 JEMBATAN'!AF21,$AK21/$AE$4)+$AM21,0)</f>
        <v>1240</v>
      </c>
      <c r="AG21" s="175">
        <f>ROUNDUP(IF('AS400 JEMBATAN'!$AK21&gt;='AS400 JEMBATAN'!$AJ21,'AS400 JEMBATAN'!AG21,$AK21/$AE$4)+$AM21,0)</f>
        <v>1240</v>
      </c>
      <c r="AH21" s="175">
        <f>ROUNDUP(IF('AS400 JEMBATAN'!$AK21&gt;='AS400 JEMBATAN'!$AJ21,'AS400 JEMBATAN'!AH21,$AK21/$AE$4)+$AM21,0)</f>
        <v>1240</v>
      </c>
      <c r="AI21" s="175"/>
      <c r="AJ21" s="175">
        <f t="shared" si="8"/>
        <v>4960</v>
      </c>
      <c r="AK21" s="175">
        <f>'QTY '!Z21</f>
        <v>4960</v>
      </c>
      <c r="AL21" s="175">
        <f t="shared" si="9"/>
        <v>0</v>
      </c>
      <c r="AM21" s="178"/>
      <c r="AN21" s="179">
        <f>+'AS400 JEMBATAN'!AN21</f>
        <v>1240</v>
      </c>
      <c r="AO21" s="179">
        <f>+'AS400 JEMBATAN'!AO21</f>
        <v>1240</v>
      </c>
      <c r="AP21" s="179">
        <f>+'AS400 JEMBATAN'!AP21</f>
        <v>1240</v>
      </c>
      <c r="AQ21" s="179">
        <f>+'AS400 JEMBATAN'!AQ21</f>
        <v>1240</v>
      </c>
      <c r="AR21" s="175"/>
      <c r="AS21" s="175">
        <f t="shared" si="10"/>
        <v>4960</v>
      </c>
      <c r="AT21" s="175">
        <f>'QTY '!AC21</f>
        <v>4960</v>
      </c>
      <c r="AU21" s="175">
        <f t="shared" si="1"/>
        <v>0</v>
      </c>
      <c r="AV21" s="175">
        <v>0</v>
      </c>
      <c r="AW21" s="180">
        <f t="shared" si="16"/>
        <v>960</v>
      </c>
      <c r="AX21" s="180">
        <f t="shared" si="17"/>
        <v>1520</v>
      </c>
      <c r="AY21" s="180">
        <f t="shared" si="18"/>
        <v>1120</v>
      </c>
      <c r="AZ21" s="180">
        <f t="shared" si="19"/>
        <v>1240</v>
      </c>
      <c r="BA21" s="180">
        <f t="shared" si="20"/>
        <v>1240</v>
      </c>
      <c r="BB21" s="56" t="e">
        <f>#REF!+1</f>
        <v>#REF!</v>
      </c>
    </row>
    <row r="22" spans="1:54" ht="18" customHeight="1" thickTop="1" thickBot="1">
      <c r="A22" s="210" t="str">
        <f>+'AS400 JEMBATAN'!A22</f>
        <v>BC111-V3650-2</v>
      </c>
      <c r="B22" s="200" t="str">
        <f>+'AS400 JEMBATAN'!B22</f>
        <v>BC111-V3650-2 C 0201</v>
      </c>
      <c r="C22" s="187" t="str">
        <f>'AS400 JEMBATAN'!C22</f>
        <v>BC 602W</v>
      </c>
      <c r="D22" s="175">
        <f>ROUNDUP(IF('AS400 JEMBATAN'!$J22&gt;='AS400 JEMBATAN'!$I22,'AS400 JEMBATAN'!D22,$J22/$D$4)+$L22,0)</f>
        <v>0</v>
      </c>
      <c r="E22" s="175">
        <f>ROUNDUP(IF('AS400 JEMBATAN'!$J22&gt;='AS400 JEMBATAN'!$I22,'AS400 JEMBATAN'!E22,$J22/$D$4)+$L22,0)</f>
        <v>0</v>
      </c>
      <c r="F22" s="175">
        <f>ROUNDUP(IF('AS400 JEMBATAN'!$J22&gt;='AS400 JEMBATAN'!$I22,'AS400 JEMBATAN'!F22,$J22/$D$4)+$L22,0)</f>
        <v>0</v>
      </c>
      <c r="G22" s="175">
        <f>ROUNDUP(IF('AS400 JEMBATAN'!$J22&gt;='AS400 JEMBATAN'!$I22,'AS400 JEMBATAN'!G22,$J22/$D$4)+$L22,0)</f>
        <v>0</v>
      </c>
      <c r="H22" s="175"/>
      <c r="I22" s="175">
        <f t="shared" si="2"/>
        <v>0</v>
      </c>
      <c r="J22" s="176">
        <f>'QTY '!Q22</f>
        <v>0</v>
      </c>
      <c r="K22" s="176">
        <f t="shared" si="3"/>
        <v>0</v>
      </c>
      <c r="L22" s="177"/>
      <c r="M22" s="175">
        <f>ROUNDUP(IF('AS400 JEMBATAN'!$S22&gt;='AS400 JEMBATAN'!$R22,'AS400 JEMBATAN'!M22,$S22/$M$4)+$U22,0)</f>
        <v>0</v>
      </c>
      <c r="N22" s="175">
        <f>ROUNDUP(IF('AS400 JEMBATAN'!$S22&gt;='AS400 JEMBATAN'!$R22,'AS400 JEMBATAN'!N22,$S22/$M$4)+$U22,0)</f>
        <v>0</v>
      </c>
      <c r="O22" s="175">
        <f>ROUNDUP(IF('AS400 JEMBATAN'!$S22&gt;='AS400 JEMBATAN'!$R22,'AS400 JEMBATAN'!O22,$S22/$M$4)+$U22,0)</f>
        <v>0</v>
      </c>
      <c r="P22" s="175">
        <f>ROUNDUP(IF('AS400 JEMBATAN'!$S22&gt;='AS400 JEMBATAN'!$R22,'AS400 JEMBATAN'!P22,$S22/$M$4)+$U22,0)</f>
        <v>0</v>
      </c>
      <c r="Q22" s="175">
        <f>ROUNDUP(IF('AS400 JEMBATAN'!$S22&gt;='AS400 JEMBATAN'!$R22,'AS400 JEMBATAN'!Q22,$S22/$M$4)+$U22,0)</f>
        <v>0</v>
      </c>
      <c r="R22" s="175">
        <f t="shared" si="4"/>
        <v>0</v>
      </c>
      <c r="S22" s="175">
        <f>'QTY '!T22</f>
        <v>0</v>
      </c>
      <c r="T22" s="176">
        <f t="shared" si="5"/>
        <v>0</v>
      </c>
      <c r="U22" s="178"/>
      <c r="V22" s="175">
        <f>ROUNDUP(IF('AS400 JEMBATAN'!$AB22&gt;='AS400 JEMBATAN'!$AA22,'AS400 JEMBATAN'!V22,$AB22/$V$4)+$AD22,0)</f>
        <v>0</v>
      </c>
      <c r="W22" s="175">
        <f>ROUNDUP(IF('AS400 JEMBATAN'!$AB22&gt;='AS400 JEMBATAN'!$AA22,'AS400 JEMBATAN'!W22,$AB22/$V$4)+$AD22,0)</f>
        <v>0</v>
      </c>
      <c r="X22" s="175">
        <f>ROUNDUP(IF('AS400 JEMBATAN'!$AB22&gt;='AS400 JEMBATAN'!$AA22,'AS400 JEMBATAN'!X22,$AB22/$V$4)+$AD22,0)</f>
        <v>0</v>
      </c>
      <c r="Y22" s="175">
        <f>ROUNDUP(IF('AS400 JEMBATAN'!$AB22&gt;='AS400 JEMBATAN'!$AA22,'AS400 JEMBATAN'!Y22,$AB22/$V$4)+$AD22,0)</f>
        <v>0</v>
      </c>
      <c r="Z22" s="175">
        <f>ROUNDUP(IF('AS400 JEMBATAN'!$AB22&gt;='AS400 JEMBATAN'!$AA22,'AS400 JEMBATAN'!Z22,$AB22/$V$4)+$AD22,0)</f>
        <v>0</v>
      </c>
      <c r="AA22" s="175">
        <f t="shared" si="6"/>
        <v>0</v>
      </c>
      <c r="AB22" s="175">
        <f>'QTY '!W22</f>
        <v>0</v>
      </c>
      <c r="AC22" s="175">
        <f t="shared" si="7"/>
        <v>0</v>
      </c>
      <c r="AD22" s="183"/>
      <c r="AE22" s="175">
        <f>ROUNDUP(IF('AS400 JEMBATAN'!$AK22&gt;='AS400 JEMBATAN'!$AJ22,'AS400 JEMBATAN'!AE22,$AK22/$AE$4)+$AM22,0)</f>
        <v>30</v>
      </c>
      <c r="AF22" s="175">
        <f>ROUNDUP(IF('AS400 JEMBATAN'!$AK22&gt;='AS400 JEMBATAN'!$AJ22,'AS400 JEMBATAN'!AF22,$AK22/$AE$4)+$AM22,0)</f>
        <v>30</v>
      </c>
      <c r="AG22" s="175">
        <f>ROUNDUP(IF('AS400 JEMBATAN'!$AK22&gt;='AS400 JEMBATAN'!$AJ22,'AS400 JEMBATAN'!AG22,$AK22/$AE$4)+$AM22,0)</f>
        <v>30</v>
      </c>
      <c r="AH22" s="175">
        <f>ROUNDUP(IF('AS400 JEMBATAN'!$AK22&gt;='AS400 JEMBATAN'!$AJ22,'AS400 JEMBATAN'!AH22,$AK22/$AE$4)+$AM22,0)</f>
        <v>30</v>
      </c>
      <c r="AI22" s="175"/>
      <c r="AJ22" s="175">
        <f t="shared" si="8"/>
        <v>120</v>
      </c>
      <c r="AK22" s="175">
        <f>'QTY '!Z22</f>
        <v>120</v>
      </c>
      <c r="AL22" s="175">
        <f t="shared" si="9"/>
        <v>0</v>
      </c>
      <c r="AM22" s="178"/>
      <c r="AN22" s="179">
        <f>+'AS400 JEMBATAN'!AN22</f>
        <v>30</v>
      </c>
      <c r="AO22" s="179">
        <f>+'AS400 JEMBATAN'!AO22</f>
        <v>30</v>
      </c>
      <c r="AP22" s="179">
        <f>+'AS400 JEMBATAN'!AP22</f>
        <v>30</v>
      </c>
      <c r="AQ22" s="179">
        <f>+'AS400 JEMBATAN'!AQ22</f>
        <v>30</v>
      </c>
      <c r="AR22" s="175"/>
      <c r="AS22" s="175">
        <f t="shared" si="10"/>
        <v>120</v>
      </c>
      <c r="AT22" s="175">
        <f>'QTY '!AC22</f>
        <v>120</v>
      </c>
      <c r="AU22" s="175">
        <f t="shared" si="1"/>
        <v>0</v>
      </c>
      <c r="AV22" s="175">
        <v>0</v>
      </c>
      <c r="AW22" s="180">
        <f t="shared" si="16"/>
        <v>0</v>
      </c>
      <c r="AX22" s="180">
        <f t="shared" si="17"/>
        <v>0</v>
      </c>
      <c r="AY22" s="180">
        <f t="shared" si="18"/>
        <v>0</v>
      </c>
      <c r="AZ22" s="180">
        <f t="shared" si="19"/>
        <v>30</v>
      </c>
      <c r="BA22" s="180">
        <f t="shared" si="20"/>
        <v>30</v>
      </c>
      <c r="BB22" s="56" t="e">
        <f>#REF!+1</f>
        <v>#REF!</v>
      </c>
    </row>
    <row r="23" spans="1:54" ht="18" customHeight="1" thickTop="1" thickBot="1">
      <c r="A23" s="210" t="str">
        <f>+'AS400 JEMBATAN'!A23</f>
        <v>BC111-V3891-6</v>
      </c>
      <c r="B23" s="200" t="str">
        <f>+'AS400 JEMBATAN'!B23</f>
        <v>BC111-V3891-6 B 0201</v>
      </c>
      <c r="C23" s="187" t="str">
        <f>'AS400 JEMBATAN'!C23</f>
        <v>BC 602W</v>
      </c>
      <c r="D23" s="175">
        <f>ROUNDUP(IF('AS400 JEMBATAN'!$J23&gt;='AS400 JEMBATAN'!$I23,'AS400 JEMBATAN'!D23,$J23/$D$4)+$L23,0)</f>
        <v>20</v>
      </c>
      <c r="E23" s="175">
        <f>ROUNDUP(IF('AS400 JEMBATAN'!$J23&gt;='AS400 JEMBATAN'!$I23,'AS400 JEMBATAN'!E23,$J23/$D$4)+$L23,0)</f>
        <v>0</v>
      </c>
      <c r="F23" s="175">
        <f>ROUNDUP(IF('AS400 JEMBATAN'!$J23&gt;='AS400 JEMBATAN'!$I23,'AS400 JEMBATAN'!F23,$J23/$D$4)+$L23,0)</f>
        <v>0</v>
      </c>
      <c r="G23" s="175">
        <f>ROUNDUP(IF('AS400 JEMBATAN'!$J23&gt;='AS400 JEMBATAN'!$I23,'AS400 JEMBATAN'!G23,$J23/$D$4)+$L23,0)</f>
        <v>0</v>
      </c>
      <c r="H23" s="175"/>
      <c r="I23" s="175">
        <f t="shared" si="2"/>
        <v>20</v>
      </c>
      <c r="J23" s="176">
        <f>'QTY '!Q23</f>
        <v>20</v>
      </c>
      <c r="K23" s="176">
        <f t="shared" si="3"/>
        <v>0</v>
      </c>
      <c r="L23" s="177"/>
      <c r="M23" s="175">
        <f>ROUNDUP(IF('AS400 JEMBATAN'!$S23&gt;='AS400 JEMBATAN'!$R23,'AS400 JEMBATAN'!M23,$S23/$M$4)+$U23,0)</f>
        <v>0</v>
      </c>
      <c r="N23" s="175">
        <f>ROUNDUP(IF('AS400 JEMBATAN'!$S23&gt;='AS400 JEMBATAN'!$R23,'AS400 JEMBATAN'!N23,$S23/$M$4)+$U23,0)</f>
        <v>0</v>
      </c>
      <c r="O23" s="175">
        <f>ROUNDUP(IF('AS400 JEMBATAN'!$S23&gt;='AS400 JEMBATAN'!$R23,'AS400 JEMBATAN'!O23,$S23/$M$4)+$U23,0)</f>
        <v>0</v>
      </c>
      <c r="P23" s="175">
        <f>ROUNDUP(IF('AS400 JEMBATAN'!$S23&gt;='AS400 JEMBATAN'!$R23,'AS400 JEMBATAN'!P23,$S23/$M$4)+$U23,0)</f>
        <v>0</v>
      </c>
      <c r="Q23" s="175">
        <f>ROUNDUP(IF('AS400 JEMBATAN'!$S23&gt;='AS400 JEMBATAN'!$R23,'AS400 JEMBATAN'!Q23,$S23/$M$4)+$U23,0)</f>
        <v>0</v>
      </c>
      <c r="R23" s="175">
        <f t="shared" si="4"/>
        <v>0</v>
      </c>
      <c r="S23" s="175">
        <f>'QTY '!T23</f>
        <v>0</v>
      </c>
      <c r="T23" s="176">
        <f t="shared" si="5"/>
        <v>0</v>
      </c>
      <c r="U23" s="178"/>
      <c r="V23" s="175">
        <f>ROUNDUP(IF('AS400 JEMBATAN'!$AB23&gt;='AS400 JEMBATAN'!$AA23,'AS400 JEMBATAN'!V23,$AB23/$V$4)+$AD23,0)</f>
        <v>0</v>
      </c>
      <c r="W23" s="175">
        <f>ROUNDUP(IF('AS400 JEMBATAN'!$AB23&gt;='AS400 JEMBATAN'!$AA23,'AS400 JEMBATAN'!W23,$AB23/$V$4)+$AD23,0)</f>
        <v>0</v>
      </c>
      <c r="X23" s="175">
        <f>ROUNDUP(IF('AS400 JEMBATAN'!$AB23&gt;='AS400 JEMBATAN'!$AA23,'AS400 JEMBATAN'!X23,$AB23/$V$4)+$AD23,0)</f>
        <v>0</v>
      </c>
      <c r="Y23" s="175">
        <f>ROUNDUP(IF('AS400 JEMBATAN'!$AB23&gt;='AS400 JEMBATAN'!$AA23,'AS400 JEMBATAN'!Y23,$AB23/$V$4)+$AD23,0)</f>
        <v>0</v>
      </c>
      <c r="Z23" s="175">
        <f>ROUNDUP(IF('AS400 JEMBATAN'!$AB23&gt;='AS400 JEMBATAN'!$AA23,'AS400 JEMBATAN'!Z23,$AB23/$V$4)+$AD23,0)</f>
        <v>0</v>
      </c>
      <c r="AA23" s="175">
        <f t="shared" si="6"/>
        <v>0</v>
      </c>
      <c r="AB23" s="175">
        <f>'QTY '!W23</f>
        <v>0</v>
      </c>
      <c r="AC23" s="175">
        <f t="shared" si="7"/>
        <v>0</v>
      </c>
      <c r="AD23" s="183"/>
      <c r="AE23" s="175">
        <f>ROUNDUP(IF('AS400 JEMBATAN'!$AK23&gt;='AS400 JEMBATAN'!$AJ23,'AS400 JEMBATAN'!AE23,$AK23/$AE$4)+$AM23,0)</f>
        <v>0</v>
      </c>
      <c r="AF23" s="175">
        <f>ROUNDUP(IF('AS400 JEMBATAN'!$AK23&gt;='AS400 JEMBATAN'!$AJ23,'AS400 JEMBATAN'!AF23,$AK23/$AE$4)+$AM23,0)</f>
        <v>0</v>
      </c>
      <c r="AG23" s="175">
        <f>ROUNDUP(IF('AS400 JEMBATAN'!$AK23&gt;='AS400 JEMBATAN'!$AJ23,'AS400 JEMBATAN'!AG23,$AK23/$AE$4)+$AM23,0)</f>
        <v>0</v>
      </c>
      <c r="AH23" s="175">
        <f>ROUNDUP(IF('AS400 JEMBATAN'!$AK23&gt;='AS400 JEMBATAN'!$AJ23,'AS400 JEMBATAN'!AH23,$AK23/$AE$4)+$AM23,0)</f>
        <v>0</v>
      </c>
      <c r="AI23" s="175"/>
      <c r="AJ23" s="175">
        <f t="shared" si="8"/>
        <v>0</v>
      </c>
      <c r="AK23" s="175">
        <f>'QTY '!Z23</f>
        <v>0</v>
      </c>
      <c r="AL23" s="175">
        <f t="shared" si="9"/>
        <v>0</v>
      </c>
      <c r="AM23" s="178"/>
      <c r="AN23" s="179">
        <f>+'AS400 JEMBATAN'!AN23</f>
        <v>0</v>
      </c>
      <c r="AO23" s="179">
        <f>+'AS400 JEMBATAN'!AO23</f>
        <v>0</v>
      </c>
      <c r="AP23" s="179">
        <f>+'AS400 JEMBATAN'!AP23</f>
        <v>0</v>
      </c>
      <c r="AQ23" s="179">
        <f>+'AS400 JEMBATAN'!AQ23</f>
        <v>0</v>
      </c>
      <c r="AR23" s="175"/>
      <c r="AS23" s="175">
        <f t="shared" si="10"/>
        <v>0</v>
      </c>
      <c r="AT23" s="175">
        <f>'QTY '!AC23</f>
        <v>0</v>
      </c>
      <c r="AU23" s="175">
        <f t="shared" si="1"/>
        <v>0</v>
      </c>
      <c r="AV23" s="175">
        <v>0</v>
      </c>
      <c r="AW23" s="180">
        <f t="shared" si="16"/>
        <v>20</v>
      </c>
      <c r="AX23" s="180">
        <f t="shared" si="17"/>
        <v>0</v>
      </c>
      <c r="AY23" s="180">
        <f t="shared" si="18"/>
        <v>0</v>
      </c>
      <c r="AZ23" s="180">
        <f t="shared" si="19"/>
        <v>0</v>
      </c>
      <c r="BA23" s="180">
        <f t="shared" si="20"/>
        <v>0</v>
      </c>
      <c r="BB23" s="56" t="e">
        <f>#REF!+1</f>
        <v>#REF!</v>
      </c>
    </row>
    <row r="24" spans="1:54" ht="18" customHeight="1" thickTop="1" thickBot="1">
      <c r="A24" s="210" t="str">
        <f>+'AS400 JEMBATAN'!A24</f>
        <v>BC111-V3891-1</v>
      </c>
      <c r="B24" s="200" t="str">
        <f>+'AS400 JEMBATAN'!B24</f>
        <v>BC111-V3891-1 F 0001</v>
      </c>
      <c r="C24" s="187" t="str">
        <f>'AS400 JEMBATAN'!C24</f>
        <v>BC 602W</v>
      </c>
      <c r="D24" s="175">
        <f>ROUNDUP(IF('AS400 JEMBATAN'!$J24&gt;='AS400 JEMBATAN'!$I24,'AS400 JEMBATAN'!D24,$J24/$D$4)+$L24,0)</f>
        <v>0</v>
      </c>
      <c r="E24" s="175">
        <f>ROUNDUP(IF('AS400 JEMBATAN'!$J24&gt;='AS400 JEMBATAN'!$I24,'AS400 JEMBATAN'!E24,$J24/$D$4)+$L24,0)</f>
        <v>0</v>
      </c>
      <c r="F24" s="175">
        <f>ROUNDUP(IF('AS400 JEMBATAN'!$J24&gt;='AS400 JEMBATAN'!$I24,'AS400 JEMBATAN'!F24,$J24/$D$4)+$L24,0)</f>
        <v>0</v>
      </c>
      <c r="G24" s="175">
        <f>ROUNDUP(IF('AS400 JEMBATAN'!$J24&gt;='AS400 JEMBATAN'!$I24,'AS400 JEMBATAN'!G24,$J24/$D$4)+$L24,0)</f>
        <v>0</v>
      </c>
      <c r="H24" s="175"/>
      <c r="I24" s="175">
        <f t="shared" si="2"/>
        <v>0</v>
      </c>
      <c r="J24" s="176">
        <f>'QTY '!Q24</f>
        <v>0</v>
      </c>
      <c r="K24" s="176">
        <f t="shared" si="3"/>
        <v>0</v>
      </c>
      <c r="L24" s="177"/>
      <c r="M24" s="175">
        <f>ROUNDUP(IF('AS400 JEMBATAN'!$S24&gt;='AS400 JEMBATAN'!$R24,'AS400 JEMBATAN'!M24,$S24/$M$4)+$U24,0)</f>
        <v>0</v>
      </c>
      <c r="N24" s="175">
        <f>ROUNDUP(IF('AS400 JEMBATAN'!$S24&gt;='AS400 JEMBATAN'!$R24,'AS400 JEMBATAN'!N24,$S24/$M$4)+$U24,0)</f>
        <v>0</v>
      </c>
      <c r="O24" s="175">
        <f>ROUNDUP(IF('AS400 JEMBATAN'!$S24&gt;='AS400 JEMBATAN'!$R24,'AS400 JEMBATAN'!O24,$S24/$M$4)+$U24,0)</f>
        <v>0</v>
      </c>
      <c r="P24" s="175">
        <f>ROUNDUP(IF('AS400 JEMBATAN'!$S24&gt;='AS400 JEMBATAN'!$R24,'AS400 JEMBATAN'!P24,$S24/$M$4)+$U24,0)</f>
        <v>0</v>
      </c>
      <c r="Q24" s="175">
        <f>ROUNDUP(IF('AS400 JEMBATAN'!$S24&gt;='AS400 JEMBATAN'!$R24,'AS400 JEMBATAN'!Q24,$S24/$M$4)+$U24,0)</f>
        <v>0</v>
      </c>
      <c r="R24" s="175">
        <f t="shared" si="4"/>
        <v>0</v>
      </c>
      <c r="S24" s="175">
        <f>'QTY '!T24</f>
        <v>0</v>
      </c>
      <c r="T24" s="176">
        <f t="shared" si="5"/>
        <v>0</v>
      </c>
      <c r="U24" s="178"/>
      <c r="V24" s="175">
        <f>ROUNDUP(IF('AS400 JEMBATAN'!$AB24&gt;='AS400 JEMBATAN'!$AA24,'AS400 JEMBATAN'!V24,$AB24/$V$4)+$AD24,0)</f>
        <v>0</v>
      </c>
      <c r="W24" s="175">
        <f>ROUNDUP(IF('AS400 JEMBATAN'!$AB24&gt;='AS400 JEMBATAN'!$AA24,'AS400 JEMBATAN'!W24,$AB24/$V$4)+$AD24,0)</f>
        <v>0</v>
      </c>
      <c r="X24" s="175">
        <f>ROUNDUP(IF('AS400 JEMBATAN'!$AB24&gt;='AS400 JEMBATAN'!$AA24,'AS400 JEMBATAN'!X24,$AB24/$V$4)+$AD24,0)</f>
        <v>0</v>
      </c>
      <c r="Y24" s="175">
        <f>ROUNDUP(IF('AS400 JEMBATAN'!$AB24&gt;='AS400 JEMBATAN'!$AA24,'AS400 JEMBATAN'!Y24,$AB24/$V$4)+$AD24,0)</f>
        <v>0</v>
      </c>
      <c r="Z24" s="175">
        <f>ROUNDUP(IF('AS400 JEMBATAN'!$AB24&gt;='AS400 JEMBATAN'!$AA24,'AS400 JEMBATAN'!Z24,$AB24/$V$4)+$AD24,0)</f>
        <v>0</v>
      </c>
      <c r="AA24" s="175">
        <f t="shared" si="6"/>
        <v>0</v>
      </c>
      <c r="AB24" s="175">
        <f>'QTY '!W24</f>
        <v>0</v>
      </c>
      <c r="AC24" s="175">
        <f t="shared" si="7"/>
        <v>0</v>
      </c>
      <c r="AD24" s="183"/>
      <c r="AE24" s="175">
        <f>ROUNDUP(IF('AS400 JEMBATAN'!$AK24&gt;='AS400 JEMBATAN'!$AJ24,'AS400 JEMBATAN'!AE24,$AK24/$AE$4)+$AM24,0)</f>
        <v>0</v>
      </c>
      <c r="AF24" s="175">
        <f>ROUNDUP(IF('AS400 JEMBATAN'!$AK24&gt;='AS400 JEMBATAN'!$AJ24,'AS400 JEMBATAN'!AF24,$AK24/$AE$4)+$AM24,0)</f>
        <v>0</v>
      </c>
      <c r="AG24" s="175">
        <f>ROUNDUP(IF('AS400 JEMBATAN'!$AK24&gt;='AS400 JEMBATAN'!$AJ24,'AS400 JEMBATAN'!AG24,$AK24/$AE$4)+$AM24,0)</f>
        <v>0</v>
      </c>
      <c r="AH24" s="175">
        <f>ROUNDUP(IF('AS400 JEMBATAN'!$AK24&gt;='AS400 JEMBATAN'!$AJ24,'AS400 JEMBATAN'!AH24,$AK24/$AE$4)+$AM24,0)</f>
        <v>0</v>
      </c>
      <c r="AI24" s="175"/>
      <c r="AJ24" s="175">
        <f t="shared" si="8"/>
        <v>0</v>
      </c>
      <c r="AK24" s="175">
        <f>'QTY '!Z24</f>
        <v>0</v>
      </c>
      <c r="AL24" s="175">
        <f t="shared" si="9"/>
        <v>0</v>
      </c>
      <c r="AM24" s="178"/>
      <c r="AN24" s="179">
        <f>+'AS400 JEMBATAN'!AN24</f>
        <v>0</v>
      </c>
      <c r="AO24" s="179">
        <f>+'AS400 JEMBATAN'!AO24</f>
        <v>0</v>
      </c>
      <c r="AP24" s="179">
        <f>+'AS400 JEMBATAN'!AP24</f>
        <v>0</v>
      </c>
      <c r="AQ24" s="179">
        <f>+'AS400 JEMBATAN'!AQ24</f>
        <v>0</v>
      </c>
      <c r="AR24" s="175"/>
      <c r="AS24" s="175">
        <f t="shared" si="10"/>
        <v>0</v>
      </c>
      <c r="AT24" s="175">
        <f>'QTY '!AC24</f>
        <v>0</v>
      </c>
      <c r="AU24" s="175">
        <f t="shared" si="1"/>
        <v>0</v>
      </c>
      <c r="AV24" s="175">
        <v>0</v>
      </c>
      <c r="AW24" s="180">
        <f>+D24*D$8</f>
        <v>0</v>
      </c>
      <c r="AX24" s="180">
        <f>+M24*M$8</f>
        <v>0</v>
      </c>
      <c r="AY24" s="180">
        <f>+V24*V$8</f>
        <v>0</v>
      </c>
      <c r="AZ24" s="180">
        <f>+AE24*AE$8</f>
        <v>0</v>
      </c>
      <c r="BA24" s="180">
        <f>+AN24*AN$8</f>
        <v>0</v>
      </c>
      <c r="BB24" s="56" t="e">
        <f>#REF!+1</f>
        <v>#REF!</v>
      </c>
    </row>
    <row r="25" spans="1:54" ht="18" customHeight="1" thickTop="1" thickBot="1">
      <c r="A25" s="210" t="str">
        <f>+'AS400 JEMBATAN'!A25</f>
        <v>BC111-V3891-2</v>
      </c>
      <c r="B25" s="200" t="str">
        <f>+'AS400 JEMBATAN'!B25</f>
        <v>BC111-V3891-2 F 0001</v>
      </c>
      <c r="C25" s="187" t="str">
        <f>'AS400 JEMBATAN'!C25</f>
        <v>BC 602W</v>
      </c>
      <c r="D25" s="175">
        <f>ROUNDUP(IF('AS400 JEMBATAN'!$J25&gt;='AS400 JEMBATAN'!$I25,'AS400 JEMBATAN'!D25,$J25/$D$4)+$L25,0)</f>
        <v>0</v>
      </c>
      <c r="E25" s="175">
        <f>ROUNDUP(IF('AS400 JEMBATAN'!$J25&gt;='AS400 JEMBATAN'!$I25,'AS400 JEMBATAN'!E25,$J25/$D$4)+$L25,0)</f>
        <v>0</v>
      </c>
      <c r="F25" s="175">
        <f>ROUNDUP(IF('AS400 JEMBATAN'!$J25&gt;='AS400 JEMBATAN'!$I25,'AS400 JEMBATAN'!F25,$J25/$D$4)+$L25,0)</f>
        <v>0</v>
      </c>
      <c r="G25" s="175">
        <f>ROUNDUP(IF('AS400 JEMBATAN'!$J25&gt;='AS400 JEMBATAN'!$I25,'AS400 JEMBATAN'!G25,$J25/$D$4)+$L25,0)</f>
        <v>0</v>
      </c>
      <c r="H25" s="175"/>
      <c r="I25" s="175">
        <f t="shared" si="2"/>
        <v>0</v>
      </c>
      <c r="J25" s="176">
        <f>'QTY '!Q25</f>
        <v>0</v>
      </c>
      <c r="K25" s="176">
        <f t="shared" si="3"/>
        <v>0</v>
      </c>
      <c r="L25" s="177"/>
      <c r="M25" s="175">
        <f>ROUNDUP(IF('AS400 JEMBATAN'!$S25&gt;='AS400 JEMBATAN'!$R25,'AS400 JEMBATAN'!M25,$S25/$M$4)+$U25,0)</f>
        <v>0</v>
      </c>
      <c r="N25" s="175">
        <f>ROUNDUP(IF('AS400 JEMBATAN'!$S25&gt;='AS400 JEMBATAN'!$R25,'AS400 JEMBATAN'!N25,$S25/$M$4)+$U25,0)</f>
        <v>0</v>
      </c>
      <c r="O25" s="175">
        <f>ROUNDUP(IF('AS400 JEMBATAN'!$S25&gt;='AS400 JEMBATAN'!$R25,'AS400 JEMBATAN'!O25,$S25/$M$4)+$U25,0)</f>
        <v>0</v>
      </c>
      <c r="P25" s="175">
        <f>ROUNDUP(IF('AS400 JEMBATAN'!$S25&gt;='AS400 JEMBATAN'!$R25,'AS400 JEMBATAN'!P25,$S25/$M$4)+$U25,0)</f>
        <v>0</v>
      </c>
      <c r="Q25" s="175">
        <f>ROUNDUP(IF('AS400 JEMBATAN'!$S25&gt;='AS400 JEMBATAN'!$R25,'AS400 JEMBATAN'!Q25,$S25/$M$4)+$U25,0)</f>
        <v>0</v>
      </c>
      <c r="R25" s="175">
        <f t="shared" si="4"/>
        <v>0</v>
      </c>
      <c r="S25" s="175">
        <f>'QTY '!T25</f>
        <v>0</v>
      </c>
      <c r="T25" s="176">
        <f t="shared" si="5"/>
        <v>0</v>
      </c>
      <c r="U25" s="178"/>
      <c r="V25" s="175">
        <f>ROUNDUP(IF('AS400 JEMBATAN'!$AB25&gt;='AS400 JEMBATAN'!$AA25,'AS400 JEMBATAN'!V25,$AB25/$V$4)+$AD25,0)</f>
        <v>0</v>
      </c>
      <c r="W25" s="175">
        <f>ROUNDUP(IF('AS400 JEMBATAN'!$AB25&gt;='AS400 JEMBATAN'!$AA25,'AS400 JEMBATAN'!W25,$AB25/$V$4)+$AD25,0)</f>
        <v>0</v>
      </c>
      <c r="X25" s="175">
        <f>ROUNDUP(IF('AS400 JEMBATAN'!$AB25&gt;='AS400 JEMBATAN'!$AA25,'AS400 JEMBATAN'!X25,$AB25/$V$4)+$AD25,0)</f>
        <v>0</v>
      </c>
      <c r="Y25" s="175">
        <f>ROUNDUP(IF('AS400 JEMBATAN'!$AB25&gt;='AS400 JEMBATAN'!$AA25,'AS400 JEMBATAN'!Y25,$AB25/$V$4)+$AD25,0)</f>
        <v>0</v>
      </c>
      <c r="Z25" s="175">
        <f>ROUNDUP(IF('AS400 JEMBATAN'!$AB25&gt;='AS400 JEMBATAN'!$AA25,'AS400 JEMBATAN'!Z25,$AB25/$V$4)+$AD25,0)</f>
        <v>0</v>
      </c>
      <c r="AA25" s="175">
        <f t="shared" si="6"/>
        <v>0</v>
      </c>
      <c r="AB25" s="175">
        <f>'QTY '!W25</f>
        <v>0</v>
      </c>
      <c r="AC25" s="175">
        <f t="shared" si="7"/>
        <v>0</v>
      </c>
      <c r="AD25" s="183"/>
      <c r="AE25" s="175">
        <f>ROUNDUP(IF('AS400 JEMBATAN'!$AK25&gt;='AS400 JEMBATAN'!$AJ25,'AS400 JEMBATAN'!AE25,$AK25/$AE$4)+$AM25,0)</f>
        <v>0</v>
      </c>
      <c r="AF25" s="175">
        <f>ROUNDUP(IF('AS400 JEMBATAN'!$AK25&gt;='AS400 JEMBATAN'!$AJ25,'AS400 JEMBATAN'!AF25,$AK25/$AE$4)+$AM25,0)</f>
        <v>0</v>
      </c>
      <c r="AG25" s="175">
        <f>ROUNDUP(IF('AS400 JEMBATAN'!$AK25&gt;='AS400 JEMBATAN'!$AJ25,'AS400 JEMBATAN'!AG25,$AK25/$AE$4)+$AM25,0)</f>
        <v>0</v>
      </c>
      <c r="AH25" s="175">
        <f>ROUNDUP(IF('AS400 JEMBATAN'!$AK25&gt;='AS400 JEMBATAN'!$AJ25,'AS400 JEMBATAN'!AH25,$AK25/$AE$4)+$AM25,0)</f>
        <v>0</v>
      </c>
      <c r="AI25" s="175"/>
      <c r="AJ25" s="175">
        <f t="shared" si="8"/>
        <v>0</v>
      </c>
      <c r="AK25" s="175">
        <f>'QTY '!Z25</f>
        <v>0</v>
      </c>
      <c r="AL25" s="175">
        <f t="shared" si="9"/>
        <v>0</v>
      </c>
      <c r="AM25" s="178"/>
      <c r="AN25" s="179">
        <f>+'AS400 JEMBATAN'!AN25</f>
        <v>0</v>
      </c>
      <c r="AO25" s="179">
        <f>+'AS400 JEMBATAN'!AO25</f>
        <v>0</v>
      </c>
      <c r="AP25" s="179">
        <f>+'AS400 JEMBATAN'!AP25</f>
        <v>0</v>
      </c>
      <c r="AQ25" s="179">
        <f>+'AS400 JEMBATAN'!AQ25</f>
        <v>0</v>
      </c>
      <c r="AR25" s="175"/>
      <c r="AS25" s="175">
        <f t="shared" si="10"/>
        <v>0</v>
      </c>
      <c r="AT25" s="175">
        <f>'QTY '!AC25</f>
        <v>0</v>
      </c>
      <c r="AU25" s="175">
        <f t="shared" si="1"/>
        <v>0</v>
      </c>
      <c r="AV25" s="175">
        <v>0</v>
      </c>
      <c r="AW25" s="180">
        <f>+D25*D$8</f>
        <v>0</v>
      </c>
      <c r="AX25" s="180">
        <f>+M25*M$8</f>
        <v>0</v>
      </c>
      <c r="AY25" s="180">
        <f>+V25*V$8</f>
        <v>0</v>
      </c>
      <c r="AZ25" s="180">
        <f>+AE25*AE$8</f>
        <v>0</v>
      </c>
      <c r="BA25" s="180">
        <f>+AN25*AN$8</f>
        <v>0</v>
      </c>
      <c r="BB25" s="56" t="e">
        <f>#REF!+1</f>
        <v>#REF!</v>
      </c>
    </row>
    <row r="26" spans="1:54" ht="18" customHeight="1" thickTop="1" thickBot="1">
      <c r="A26" s="210" t="str">
        <f>+'AS400 JEMBATAN'!A26</f>
        <v>DC111-2FE72</v>
      </c>
      <c r="B26" s="200" t="str">
        <f>+'AS400 JEMBATAN'!B26</f>
        <v>DC111-2FE72 F 0201</v>
      </c>
      <c r="C26" s="187" t="str">
        <f>'AS400 JEMBATAN'!C26</f>
        <v>BC 602W</v>
      </c>
      <c r="D26" s="175">
        <f>ROUNDUP(IF('AS400 JEMBATAN'!$J26&gt;='AS400 JEMBATAN'!$I26,'AS400 JEMBATAN'!D26,$J26/$D$4)+$L26,0)</f>
        <v>40</v>
      </c>
      <c r="E26" s="175">
        <f>ROUNDUP(IF('AS400 JEMBATAN'!$J26&gt;='AS400 JEMBATAN'!$I26,'AS400 JEMBATAN'!E26,$J26/$D$4)+$L26,0)</f>
        <v>0</v>
      </c>
      <c r="F26" s="175">
        <f>ROUNDUP(IF('AS400 JEMBATAN'!$J26&gt;='AS400 JEMBATAN'!$I26,'AS400 JEMBATAN'!F26,$J26/$D$4)+$L26,0)</f>
        <v>40</v>
      </c>
      <c r="G26" s="175">
        <f>ROUNDUP(IF('AS400 JEMBATAN'!$J26&gt;='AS400 JEMBATAN'!$I26,'AS400 JEMBATAN'!G26,$J26/$D$4)+$L26,0)</f>
        <v>0</v>
      </c>
      <c r="H26" s="175"/>
      <c r="I26" s="175">
        <f t="shared" si="2"/>
        <v>80</v>
      </c>
      <c r="J26" s="176">
        <f>'QTY '!Q26</f>
        <v>80</v>
      </c>
      <c r="K26" s="176">
        <f t="shared" si="3"/>
        <v>0</v>
      </c>
      <c r="L26" s="177"/>
      <c r="M26" s="175">
        <f>ROUNDUP(IF('AS400 JEMBATAN'!$S26&gt;='AS400 JEMBATAN'!$R26,'AS400 JEMBATAN'!M26,$S26/$M$4)+$U26,0)</f>
        <v>40</v>
      </c>
      <c r="N26" s="175">
        <f>ROUNDUP(IF('AS400 JEMBATAN'!$S26&gt;='AS400 JEMBATAN'!$R26,'AS400 JEMBATAN'!N26,$S26/$M$4)+$U26,0)</f>
        <v>0</v>
      </c>
      <c r="O26" s="175">
        <f>ROUNDUP(IF('AS400 JEMBATAN'!$S26&gt;='AS400 JEMBATAN'!$R26,'AS400 JEMBATAN'!O26,$S26/$M$4)+$U26,0)</f>
        <v>0</v>
      </c>
      <c r="P26" s="175">
        <f>ROUNDUP(IF('AS400 JEMBATAN'!$S26&gt;='AS400 JEMBATAN'!$R26,'AS400 JEMBATAN'!P26,$S26/$M$4)+$U26,0)</f>
        <v>40</v>
      </c>
      <c r="Q26" s="175">
        <f>ROUNDUP(IF('AS400 JEMBATAN'!$S26&gt;='AS400 JEMBATAN'!$R26,'AS400 JEMBATAN'!Q26,$S26/$M$4)+$U26,0)</f>
        <v>0</v>
      </c>
      <c r="R26" s="175">
        <f t="shared" si="4"/>
        <v>80</v>
      </c>
      <c r="S26" s="175">
        <f>'QTY '!T26</f>
        <v>80</v>
      </c>
      <c r="T26" s="176">
        <f t="shared" si="5"/>
        <v>0</v>
      </c>
      <c r="U26" s="178"/>
      <c r="V26" s="175">
        <f>ROUNDUP(IF('AS400 JEMBATAN'!$AB26&gt;='AS400 JEMBATAN'!$AA26,'AS400 JEMBATAN'!V26,$AB26/$V$4)+$AD26,0)</f>
        <v>40</v>
      </c>
      <c r="W26" s="175">
        <f>ROUNDUP(IF('AS400 JEMBATAN'!$AB26&gt;='AS400 JEMBATAN'!$AA26,'AS400 JEMBATAN'!W26,$AB26/$V$4)+$AD26,0)</f>
        <v>0</v>
      </c>
      <c r="X26" s="175">
        <f>ROUNDUP(IF('AS400 JEMBATAN'!$AB26&gt;='AS400 JEMBATAN'!$AA26,'AS400 JEMBATAN'!X26,$AB26/$V$4)+$AD26,0)</f>
        <v>40</v>
      </c>
      <c r="Y26" s="175">
        <f>ROUNDUP(IF('AS400 JEMBATAN'!$AB26&gt;='AS400 JEMBATAN'!$AA26,'AS400 JEMBATAN'!Y26,$AB26/$V$4)+$AD26,0)</f>
        <v>0</v>
      </c>
      <c r="Z26" s="175">
        <f>ROUNDUP(IF('AS400 JEMBATAN'!$AB26&gt;='AS400 JEMBATAN'!$AA26,'AS400 JEMBATAN'!Z26,$AB26/$V$4)+$AD26,0)</f>
        <v>0</v>
      </c>
      <c r="AA26" s="175">
        <f t="shared" si="6"/>
        <v>80</v>
      </c>
      <c r="AB26" s="175">
        <f>'QTY '!W26</f>
        <v>80</v>
      </c>
      <c r="AC26" s="175">
        <f t="shared" si="7"/>
        <v>0</v>
      </c>
      <c r="AD26" s="183"/>
      <c r="AE26" s="175">
        <f>ROUNDUP(IF('AS400 JEMBATAN'!$AK26&gt;='AS400 JEMBATAN'!$AJ26,'AS400 JEMBATAN'!AE26,$AK26/$AE$4)+$AM26,0)</f>
        <v>30</v>
      </c>
      <c r="AF26" s="175">
        <f>ROUNDUP(IF('AS400 JEMBATAN'!$AK26&gt;='AS400 JEMBATAN'!$AJ26,'AS400 JEMBATAN'!AF26,$AK26/$AE$4)+$AM26,0)</f>
        <v>30</v>
      </c>
      <c r="AG26" s="175">
        <f>ROUNDUP(IF('AS400 JEMBATAN'!$AK26&gt;='AS400 JEMBATAN'!$AJ26,'AS400 JEMBATAN'!AG26,$AK26/$AE$4)+$AM26,0)</f>
        <v>30</v>
      </c>
      <c r="AH26" s="175">
        <f>ROUNDUP(IF('AS400 JEMBATAN'!$AK26&gt;='AS400 JEMBATAN'!$AJ26,'AS400 JEMBATAN'!AH26,$AK26/$AE$4)+$AM26,0)</f>
        <v>30</v>
      </c>
      <c r="AI26" s="175"/>
      <c r="AJ26" s="175">
        <f t="shared" si="8"/>
        <v>120</v>
      </c>
      <c r="AK26" s="175">
        <f>'QTY '!Z26</f>
        <v>120</v>
      </c>
      <c r="AL26" s="175">
        <f t="shared" si="9"/>
        <v>0</v>
      </c>
      <c r="AM26" s="178"/>
      <c r="AN26" s="179">
        <f>+'AS400 JEMBATAN'!AN26</f>
        <v>30</v>
      </c>
      <c r="AO26" s="179">
        <f>+'AS400 JEMBATAN'!AO26</f>
        <v>30</v>
      </c>
      <c r="AP26" s="179">
        <f>+'AS400 JEMBATAN'!AP26</f>
        <v>30</v>
      </c>
      <c r="AQ26" s="179">
        <f>+'AS400 JEMBATAN'!AQ26</f>
        <v>30</v>
      </c>
      <c r="AR26" s="175"/>
      <c r="AS26" s="175">
        <f t="shared" si="10"/>
        <v>120</v>
      </c>
      <c r="AT26" s="175">
        <f>'QTY '!AC26</f>
        <v>120</v>
      </c>
      <c r="AU26" s="175">
        <f t="shared" si="1"/>
        <v>0</v>
      </c>
      <c r="AV26" s="175">
        <v>0</v>
      </c>
      <c r="AW26" s="180"/>
      <c r="AX26" s="180"/>
      <c r="AY26" s="180"/>
      <c r="AZ26" s="180"/>
      <c r="BA26" s="180"/>
    </row>
    <row r="27" spans="1:54" ht="18" customHeight="1" thickTop="1" thickBot="1">
      <c r="A27" s="210" t="str">
        <f>+'AS400 JEMBATAN'!A27</f>
        <v>DC111-2FK53</v>
      </c>
      <c r="B27" s="200" t="str">
        <f>+'AS400 JEMBATAN'!B27</f>
        <v>DC111-2FK53 F 0201</v>
      </c>
      <c r="C27" s="187" t="str">
        <f>'AS400 JEMBATAN'!C27</f>
        <v>BC 602W</v>
      </c>
      <c r="D27" s="175">
        <f>ROUNDUP(IF('AS400 JEMBATAN'!$J27&gt;='AS400 JEMBATAN'!$I27,'AS400 JEMBATAN'!D27,$J27/$D$4)+$L27,0)</f>
        <v>280</v>
      </c>
      <c r="E27" s="175">
        <f>ROUNDUP(IF('AS400 JEMBATAN'!$J27&gt;='AS400 JEMBATAN'!$I27,'AS400 JEMBATAN'!E27,$J27/$D$4)+$L27,0)</f>
        <v>280</v>
      </c>
      <c r="F27" s="175">
        <f>ROUNDUP(IF('AS400 JEMBATAN'!$J27&gt;='AS400 JEMBATAN'!$I27,'AS400 JEMBATAN'!F27,$J27/$D$4)+$L27,0)</f>
        <v>360</v>
      </c>
      <c r="G27" s="175">
        <f>ROUNDUP(IF('AS400 JEMBATAN'!$J27&gt;='AS400 JEMBATAN'!$I27,'AS400 JEMBATAN'!G27,$J27/$D$4)+$L27,0)</f>
        <v>320</v>
      </c>
      <c r="H27" s="175"/>
      <c r="I27" s="175">
        <f t="shared" si="2"/>
        <v>1240</v>
      </c>
      <c r="J27" s="176">
        <f>'QTY '!Q27</f>
        <v>1240</v>
      </c>
      <c r="K27" s="176">
        <f t="shared" si="3"/>
        <v>0</v>
      </c>
      <c r="L27" s="177"/>
      <c r="M27" s="175">
        <f>ROUNDUP(IF('AS400 JEMBATAN'!$S27&gt;='AS400 JEMBATAN'!$R27,'AS400 JEMBATAN'!M27,$S27/$M$4)+$U27,0)</f>
        <v>400</v>
      </c>
      <c r="N27" s="175">
        <f>ROUNDUP(IF('AS400 JEMBATAN'!$S27&gt;='AS400 JEMBATAN'!$R27,'AS400 JEMBATAN'!N27,$S27/$M$4)+$U27,0)</f>
        <v>240</v>
      </c>
      <c r="O27" s="175">
        <f>ROUNDUP(IF('AS400 JEMBATAN'!$S27&gt;='AS400 JEMBATAN'!$R27,'AS400 JEMBATAN'!O27,$S27/$M$4)+$U27,0)</f>
        <v>0</v>
      </c>
      <c r="P27" s="175">
        <f>ROUNDUP(IF('AS400 JEMBATAN'!$S27&gt;='AS400 JEMBATAN'!$R27,'AS400 JEMBATAN'!P27,$S27/$M$4)+$U27,0)</f>
        <v>400</v>
      </c>
      <c r="Q27" s="175">
        <f>ROUNDUP(IF('AS400 JEMBATAN'!$S27&gt;='AS400 JEMBATAN'!$R27,'AS400 JEMBATAN'!Q27,$S27/$M$4)+$U27,0)</f>
        <v>0</v>
      </c>
      <c r="R27" s="175">
        <f t="shared" si="4"/>
        <v>1040</v>
      </c>
      <c r="S27" s="175">
        <f>'QTY '!T27</f>
        <v>1040</v>
      </c>
      <c r="T27" s="176">
        <f t="shared" si="5"/>
        <v>0</v>
      </c>
      <c r="U27" s="178"/>
      <c r="V27" s="175">
        <f>ROUNDUP(IF('AS400 JEMBATAN'!$AB27&gt;='AS400 JEMBATAN'!$AA27,'AS400 JEMBATAN'!V27,$AB27/$V$4)+$AD27,0)</f>
        <v>280</v>
      </c>
      <c r="W27" s="175">
        <f>ROUNDUP(IF('AS400 JEMBATAN'!$AB27&gt;='AS400 JEMBATAN'!$AA27,'AS400 JEMBATAN'!W27,$AB27/$V$4)+$AD27,0)</f>
        <v>280</v>
      </c>
      <c r="X27" s="175">
        <f>ROUNDUP(IF('AS400 JEMBATAN'!$AB27&gt;='AS400 JEMBATAN'!$AA27,'AS400 JEMBATAN'!X27,$AB27/$V$4)+$AD27,0)</f>
        <v>280</v>
      </c>
      <c r="Y27" s="175">
        <f>ROUNDUP(IF('AS400 JEMBATAN'!$AB27&gt;='AS400 JEMBATAN'!$AA27,'AS400 JEMBATAN'!Y27,$AB27/$V$4)+$AD27,0)</f>
        <v>240</v>
      </c>
      <c r="Z27" s="175">
        <f>ROUNDUP(IF('AS400 JEMBATAN'!$AB27&gt;='AS400 JEMBATAN'!$AA27,'AS400 JEMBATAN'!Z27,$AB27/$V$4)+$AD27,0)</f>
        <v>0</v>
      </c>
      <c r="AA27" s="175">
        <f t="shared" si="6"/>
        <v>1080</v>
      </c>
      <c r="AB27" s="175">
        <f>'QTY '!W27</f>
        <v>1080</v>
      </c>
      <c r="AC27" s="175">
        <f t="shared" si="7"/>
        <v>0</v>
      </c>
      <c r="AD27" s="183"/>
      <c r="AE27" s="175">
        <f>ROUNDUP(IF('AS400 JEMBATAN'!$AK27&gt;='AS400 JEMBATAN'!$AJ27,'AS400 JEMBATAN'!AE27,$AK27/$AE$4)+$AM27,0)</f>
        <v>310</v>
      </c>
      <c r="AF27" s="175">
        <f>ROUNDUP(IF('AS400 JEMBATAN'!$AK27&gt;='AS400 JEMBATAN'!$AJ27,'AS400 JEMBATAN'!AF27,$AK27/$AE$4)+$AM27,0)</f>
        <v>310</v>
      </c>
      <c r="AG27" s="175">
        <f>ROUNDUP(IF('AS400 JEMBATAN'!$AK27&gt;='AS400 JEMBATAN'!$AJ27,'AS400 JEMBATAN'!AG27,$AK27/$AE$4)+$AM27,0)</f>
        <v>310</v>
      </c>
      <c r="AH27" s="175">
        <f>ROUNDUP(IF('AS400 JEMBATAN'!$AK27&gt;='AS400 JEMBATAN'!$AJ27,'AS400 JEMBATAN'!AH27,$AK27/$AE$4)+$AM27,0)</f>
        <v>310</v>
      </c>
      <c r="AI27" s="175"/>
      <c r="AJ27" s="175">
        <f t="shared" si="8"/>
        <v>1240</v>
      </c>
      <c r="AK27" s="175">
        <f>'QTY '!Z27</f>
        <v>1240</v>
      </c>
      <c r="AL27" s="175">
        <f t="shared" si="9"/>
        <v>0</v>
      </c>
      <c r="AM27" s="178"/>
      <c r="AN27" s="179">
        <f>+'AS400 JEMBATAN'!AN27</f>
        <v>310</v>
      </c>
      <c r="AO27" s="179">
        <f>+'AS400 JEMBATAN'!AO27</f>
        <v>310</v>
      </c>
      <c r="AP27" s="179">
        <f>+'AS400 JEMBATAN'!AP27</f>
        <v>310</v>
      </c>
      <c r="AQ27" s="179">
        <f>+'AS400 JEMBATAN'!AQ27</f>
        <v>310</v>
      </c>
      <c r="AR27" s="175"/>
      <c r="AS27" s="175">
        <f t="shared" si="10"/>
        <v>1240</v>
      </c>
      <c r="AT27" s="175">
        <f>'QTY '!AC27</f>
        <v>1240</v>
      </c>
      <c r="AU27" s="175">
        <f t="shared" si="1"/>
        <v>0</v>
      </c>
      <c r="AV27" s="175">
        <v>0</v>
      </c>
      <c r="AW27" s="180"/>
      <c r="AX27" s="180"/>
      <c r="AY27" s="180"/>
      <c r="AZ27" s="180"/>
      <c r="BA27" s="180"/>
    </row>
    <row r="28" spans="1:54" ht="18" customHeight="1" thickTop="1" thickBot="1">
      <c r="A28" s="210" t="str">
        <f>+'AS400 JEMBATAN'!A28</f>
        <v>DC111-V3A41</v>
      </c>
      <c r="B28" s="200" t="str">
        <f>+'AS400 JEMBATAN'!B28</f>
        <v>DC111-V3A41 B 0201</v>
      </c>
      <c r="C28" s="187" t="str">
        <f>'AS400 JEMBATAN'!C28</f>
        <v>BC 602W</v>
      </c>
      <c r="D28" s="175">
        <f>ROUNDUP(IF('AS400 JEMBATAN'!$J28&gt;='AS400 JEMBATAN'!$I28,'AS400 JEMBATAN'!D28,$J28/$D$4)+$L28,0)</f>
        <v>0</v>
      </c>
      <c r="E28" s="175">
        <f>ROUNDUP(IF('AS400 JEMBATAN'!$J28&gt;='AS400 JEMBATAN'!$I28,'AS400 JEMBATAN'!E28,$J28/$D$4)+$L28,0)</f>
        <v>0</v>
      </c>
      <c r="F28" s="175">
        <f>ROUNDUP(IF('AS400 JEMBATAN'!$J28&gt;='AS400 JEMBATAN'!$I28,'AS400 JEMBATAN'!F28,$J28/$D$4)+$L28,0)</f>
        <v>0</v>
      </c>
      <c r="G28" s="175">
        <f>ROUNDUP(IF('AS400 JEMBATAN'!$J28&gt;='AS400 JEMBATAN'!$I28,'AS400 JEMBATAN'!G28,$J28/$D$4)+$L28,0)</f>
        <v>0</v>
      </c>
      <c r="H28" s="175"/>
      <c r="I28" s="175">
        <f t="shared" si="2"/>
        <v>0</v>
      </c>
      <c r="J28" s="176">
        <f>'QTY '!Q28</f>
        <v>0</v>
      </c>
      <c r="K28" s="176">
        <f t="shared" si="3"/>
        <v>0</v>
      </c>
      <c r="L28" s="177"/>
      <c r="M28" s="175">
        <f>ROUNDUP(IF('AS400 JEMBATAN'!$S28&gt;='AS400 JEMBATAN'!$R28,'AS400 JEMBATAN'!M28,$S28/$M$4)+$U28,0)</f>
        <v>0</v>
      </c>
      <c r="N28" s="175">
        <f>ROUNDUP(IF('AS400 JEMBATAN'!$S28&gt;='AS400 JEMBATAN'!$R28,'AS400 JEMBATAN'!N28,$S28/$M$4)+$U28,0)</f>
        <v>0</v>
      </c>
      <c r="O28" s="175">
        <f>ROUNDUP(IF('AS400 JEMBATAN'!$S28&gt;='AS400 JEMBATAN'!$R28,'AS400 JEMBATAN'!O28,$S28/$M$4)+$U28,0)</f>
        <v>0</v>
      </c>
      <c r="P28" s="175">
        <f>ROUNDUP(IF('AS400 JEMBATAN'!$S28&gt;='AS400 JEMBATAN'!$R28,'AS400 JEMBATAN'!P28,$S28/$M$4)+$U28,0)</f>
        <v>0</v>
      </c>
      <c r="Q28" s="175">
        <f>ROUNDUP(IF('AS400 JEMBATAN'!$S28&gt;='AS400 JEMBATAN'!$R28,'AS400 JEMBATAN'!Q28,$S28/$M$4)+$U28,0)</f>
        <v>0</v>
      </c>
      <c r="R28" s="175">
        <f t="shared" si="4"/>
        <v>0</v>
      </c>
      <c r="S28" s="175">
        <f>'QTY '!T28</f>
        <v>0</v>
      </c>
      <c r="T28" s="176">
        <f t="shared" si="5"/>
        <v>0</v>
      </c>
      <c r="U28" s="178"/>
      <c r="V28" s="175">
        <f>ROUNDUP(IF('AS400 JEMBATAN'!$AB28&gt;='AS400 JEMBATAN'!$AA28,'AS400 JEMBATAN'!V28,$AB28/$V$4)+$AD28,0)</f>
        <v>0</v>
      </c>
      <c r="W28" s="175">
        <f>ROUNDUP(IF('AS400 JEMBATAN'!$AB28&gt;='AS400 JEMBATAN'!$AA28,'AS400 JEMBATAN'!W28,$AB28/$V$4)+$AD28,0)</f>
        <v>0</v>
      </c>
      <c r="X28" s="175">
        <f>ROUNDUP(IF('AS400 JEMBATAN'!$AB28&gt;='AS400 JEMBATAN'!$AA28,'AS400 JEMBATAN'!X28,$AB28/$V$4)+$AD28,0)</f>
        <v>0</v>
      </c>
      <c r="Y28" s="175">
        <f>ROUNDUP(IF('AS400 JEMBATAN'!$AB28&gt;='AS400 JEMBATAN'!$AA28,'AS400 JEMBATAN'!Y28,$AB28/$V$4)+$AD28,0)</f>
        <v>0</v>
      </c>
      <c r="Z28" s="175">
        <f>ROUNDUP(IF('AS400 JEMBATAN'!$AB28&gt;='AS400 JEMBATAN'!$AA28,'AS400 JEMBATAN'!Z28,$AB28/$V$4)+$AD28,0)</f>
        <v>0</v>
      </c>
      <c r="AA28" s="175">
        <f t="shared" si="6"/>
        <v>0</v>
      </c>
      <c r="AB28" s="175">
        <f>'QTY '!W28</f>
        <v>0</v>
      </c>
      <c r="AC28" s="175">
        <f t="shared" si="7"/>
        <v>0</v>
      </c>
      <c r="AD28" s="183"/>
      <c r="AE28" s="175">
        <f>ROUNDUP(IF('AS400 JEMBATAN'!$AK28&gt;='AS400 JEMBATAN'!$AJ28,'AS400 JEMBATAN'!AE28,$AK28/$AE$4)+$AM28,0)</f>
        <v>0</v>
      </c>
      <c r="AF28" s="175">
        <f>ROUNDUP(IF('AS400 JEMBATAN'!$AK28&gt;='AS400 JEMBATAN'!$AJ28,'AS400 JEMBATAN'!AF28,$AK28/$AE$4)+$AM28,0)</f>
        <v>0</v>
      </c>
      <c r="AG28" s="175">
        <f>ROUNDUP(IF('AS400 JEMBATAN'!$AK28&gt;='AS400 JEMBATAN'!$AJ28,'AS400 JEMBATAN'!AG28,$AK28/$AE$4)+$AM28,0)</f>
        <v>0</v>
      </c>
      <c r="AH28" s="175">
        <f>ROUNDUP(IF('AS400 JEMBATAN'!$AK28&gt;='AS400 JEMBATAN'!$AJ28,'AS400 JEMBATAN'!AH28,$AK28/$AE$4)+$AM28,0)</f>
        <v>0</v>
      </c>
      <c r="AI28" s="175"/>
      <c r="AJ28" s="175">
        <f t="shared" si="8"/>
        <v>0</v>
      </c>
      <c r="AK28" s="175">
        <f>'QTY '!Z28</f>
        <v>0</v>
      </c>
      <c r="AL28" s="175">
        <f t="shared" si="9"/>
        <v>0</v>
      </c>
      <c r="AM28" s="178"/>
      <c r="AN28" s="179">
        <f>+'AS400 JEMBATAN'!AN28</f>
        <v>0</v>
      </c>
      <c r="AO28" s="179">
        <f>+'AS400 JEMBATAN'!AO28</f>
        <v>0</v>
      </c>
      <c r="AP28" s="179">
        <f>+'AS400 JEMBATAN'!AP28</f>
        <v>0</v>
      </c>
      <c r="AQ28" s="179">
        <f>+'AS400 JEMBATAN'!AQ28</f>
        <v>0</v>
      </c>
      <c r="AR28" s="175"/>
      <c r="AS28" s="175">
        <f t="shared" si="10"/>
        <v>0</v>
      </c>
      <c r="AT28" s="175">
        <f>'QTY '!AC28</f>
        <v>0</v>
      </c>
      <c r="AU28" s="175">
        <f t="shared" si="1"/>
        <v>0</v>
      </c>
      <c r="AV28" s="175">
        <v>0</v>
      </c>
      <c r="AW28" s="180"/>
      <c r="AX28" s="180"/>
      <c r="AY28" s="180"/>
      <c r="AZ28" s="180"/>
      <c r="BA28" s="180"/>
    </row>
    <row r="29" spans="1:54" ht="18" customHeight="1" thickTop="1" thickBot="1">
      <c r="A29" s="210" t="str">
        <f>+'AS400 JEMBATAN'!A29</f>
        <v>DC111-V3881</v>
      </c>
      <c r="B29" s="200" t="str">
        <f>+'AS400 JEMBATAN'!B29</f>
        <v>DC111-V3881 B 0201</v>
      </c>
      <c r="C29" s="187" t="str">
        <f>'AS400 JEMBATAN'!C29</f>
        <v>BC 602W</v>
      </c>
      <c r="D29" s="175">
        <f>ROUNDUP(IF('AS400 JEMBATAN'!$J29&gt;='AS400 JEMBATAN'!$I29,'AS400 JEMBATAN'!D29,$J29/$D$4)+$L29,0)</f>
        <v>0</v>
      </c>
      <c r="E29" s="175">
        <f>ROUNDUP(IF('AS400 JEMBATAN'!$J29&gt;='AS400 JEMBATAN'!$I29,'AS400 JEMBATAN'!E29,$J29/$D$4)+$L29,0)</f>
        <v>0</v>
      </c>
      <c r="F29" s="175">
        <f>ROUNDUP(IF('AS400 JEMBATAN'!$J29&gt;='AS400 JEMBATAN'!$I29,'AS400 JEMBATAN'!F29,$J29/$D$4)+$L29,0)</f>
        <v>0</v>
      </c>
      <c r="G29" s="175">
        <f>ROUNDUP(IF('AS400 JEMBATAN'!$J29&gt;='AS400 JEMBATAN'!$I29,'AS400 JEMBATAN'!G29,$J29/$D$4)+$L29,0)</f>
        <v>0</v>
      </c>
      <c r="H29" s="175"/>
      <c r="I29" s="175">
        <f t="shared" si="2"/>
        <v>0</v>
      </c>
      <c r="J29" s="176">
        <f>'QTY '!Q29</f>
        <v>0</v>
      </c>
      <c r="K29" s="176">
        <f t="shared" si="3"/>
        <v>0</v>
      </c>
      <c r="L29" s="177"/>
      <c r="M29" s="175">
        <f>ROUNDUP(IF('AS400 JEMBATAN'!$S29&gt;='AS400 JEMBATAN'!$R29,'AS400 JEMBATAN'!M29,$S29/$M$4)+$U29,0)</f>
        <v>0</v>
      </c>
      <c r="N29" s="175">
        <f>ROUNDUP(IF('AS400 JEMBATAN'!$S29&gt;='AS400 JEMBATAN'!$R29,'AS400 JEMBATAN'!N29,$S29/$M$4)+$U29,0)</f>
        <v>0</v>
      </c>
      <c r="O29" s="175">
        <f>ROUNDUP(IF('AS400 JEMBATAN'!$S29&gt;='AS400 JEMBATAN'!$R29,'AS400 JEMBATAN'!O29,$S29/$M$4)+$U29,0)</f>
        <v>0</v>
      </c>
      <c r="P29" s="175">
        <f>ROUNDUP(IF('AS400 JEMBATAN'!$S29&gt;='AS400 JEMBATAN'!$R29,'AS400 JEMBATAN'!P29,$S29/$M$4)+$U29,0)</f>
        <v>0</v>
      </c>
      <c r="Q29" s="175">
        <f>ROUNDUP(IF('AS400 JEMBATAN'!$S29&gt;='AS400 JEMBATAN'!$R29,'AS400 JEMBATAN'!Q29,$S29/$M$4)+$U29,0)</f>
        <v>0</v>
      </c>
      <c r="R29" s="175">
        <f t="shared" si="4"/>
        <v>0</v>
      </c>
      <c r="S29" s="175">
        <f>'QTY '!T29</f>
        <v>0</v>
      </c>
      <c r="T29" s="176">
        <f t="shared" si="5"/>
        <v>0</v>
      </c>
      <c r="U29" s="178"/>
      <c r="V29" s="175">
        <f>ROUNDUP(IF('AS400 JEMBATAN'!$AB29&gt;='AS400 JEMBATAN'!$AA29,'AS400 JEMBATAN'!V29,$AB29/$V$4)+$AD29,0)</f>
        <v>0</v>
      </c>
      <c r="W29" s="175">
        <f>ROUNDUP(IF('AS400 JEMBATAN'!$AB29&gt;='AS400 JEMBATAN'!$AA29,'AS400 JEMBATAN'!W29,$AB29/$V$4)+$AD29,0)</f>
        <v>0</v>
      </c>
      <c r="X29" s="175">
        <f>ROUNDUP(IF('AS400 JEMBATAN'!$AB29&gt;='AS400 JEMBATAN'!$AA29,'AS400 JEMBATAN'!X29,$AB29/$V$4)+$AD29,0)</f>
        <v>0</v>
      </c>
      <c r="Y29" s="175">
        <f>ROUNDUP(IF('AS400 JEMBATAN'!$AB29&gt;='AS400 JEMBATAN'!$AA29,'AS400 JEMBATAN'!Y29,$AB29/$V$4)+$AD29,0)</f>
        <v>0</v>
      </c>
      <c r="Z29" s="175">
        <f>ROUNDUP(IF('AS400 JEMBATAN'!$AB29&gt;='AS400 JEMBATAN'!$AA29,'AS400 JEMBATAN'!Z29,$AB29/$V$4)+$AD29,0)</f>
        <v>0</v>
      </c>
      <c r="AA29" s="175">
        <f t="shared" si="6"/>
        <v>0</v>
      </c>
      <c r="AB29" s="175">
        <f>'QTY '!W29</f>
        <v>0</v>
      </c>
      <c r="AC29" s="175">
        <f t="shared" si="7"/>
        <v>0</v>
      </c>
      <c r="AD29" s="183"/>
      <c r="AE29" s="175">
        <f>ROUNDUP(IF('AS400 JEMBATAN'!$AK29&gt;='AS400 JEMBATAN'!$AJ29,'AS400 JEMBATAN'!AE29,$AK29/$AE$4)+$AM29,0)</f>
        <v>0</v>
      </c>
      <c r="AF29" s="175">
        <f>ROUNDUP(IF('AS400 JEMBATAN'!$AK29&gt;='AS400 JEMBATAN'!$AJ29,'AS400 JEMBATAN'!AF29,$AK29/$AE$4)+$AM29,0)</f>
        <v>0</v>
      </c>
      <c r="AG29" s="175">
        <f>ROUNDUP(IF('AS400 JEMBATAN'!$AK29&gt;='AS400 JEMBATAN'!$AJ29,'AS400 JEMBATAN'!AG29,$AK29/$AE$4)+$AM29,0)</f>
        <v>0</v>
      </c>
      <c r="AH29" s="175">
        <f>ROUNDUP(IF('AS400 JEMBATAN'!$AK29&gt;='AS400 JEMBATAN'!$AJ29,'AS400 JEMBATAN'!AH29,$AK29/$AE$4)+$AM29,0)</f>
        <v>0</v>
      </c>
      <c r="AI29" s="175"/>
      <c r="AJ29" s="175">
        <f t="shared" si="8"/>
        <v>0</v>
      </c>
      <c r="AK29" s="175">
        <f>'QTY '!Z29</f>
        <v>0</v>
      </c>
      <c r="AL29" s="175">
        <f t="shared" si="9"/>
        <v>0</v>
      </c>
      <c r="AM29" s="178"/>
      <c r="AN29" s="179">
        <f>+'AS400 JEMBATAN'!AN29</f>
        <v>0</v>
      </c>
      <c r="AO29" s="179">
        <f>+'AS400 JEMBATAN'!AO29</f>
        <v>0</v>
      </c>
      <c r="AP29" s="179">
        <f>+'AS400 JEMBATAN'!AP29</f>
        <v>0</v>
      </c>
      <c r="AQ29" s="179">
        <f>+'AS400 JEMBATAN'!AQ29</f>
        <v>0</v>
      </c>
      <c r="AR29" s="175"/>
      <c r="AS29" s="175">
        <f t="shared" si="10"/>
        <v>0</v>
      </c>
      <c r="AT29" s="175">
        <f>'QTY '!AC29</f>
        <v>0</v>
      </c>
      <c r="AU29" s="175">
        <f t="shared" si="1"/>
        <v>0</v>
      </c>
      <c r="AV29" s="175">
        <v>0</v>
      </c>
      <c r="AW29" s="180"/>
      <c r="AX29" s="180"/>
      <c r="AY29" s="180"/>
      <c r="AZ29" s="180"/>
      <c r="BA29" s="180"/>
    </row>
    <row r="30" spans="1:54" ht="18" customHeight="1" thickTop="1" thickBot="1">
      <c r="A30" s="210" t="str">
        <f>+'AS400 JEMBATAN'!A30</f>
        <v>DC111-V3650</v>
      </c>
      <c r="B30" s="200" t="str">
        <f>+'AS400 JEMBATAN'!B30</f>
        <v>DC111-V3650 C 0201</v>
      </c>
      <c r="C30" s="187" t="str">
        <f>'AS400 JEMBATAN'!C30</f>
        <v>BC 602W</v>
      </c>
      <c r="D30" s="175">
        <f>ROUNDUP(IF('AS400 JEMBATAN'!$J30&gt;='AS400 JEMBATAN'!$I30,'AS400 JEMBATAN'!D30,$J30/$D$4)+$L30,0)</f>
        <v>0</v>
      </c>
      <c r="E30" s="175">
        <f>ROUNDUP(IF('AS400 JEMBATAN'!$J30&gt;='AS400 JEMBATAN'!$I30,'AS400 JEMBATAN'!E30,$J30/$D$4)+$L30,0)</f>
        <v>0</v>
      </c>
      <c r="F30" s="175">
        <f>ROUNDUP(IF('AS400 JEMBATAN'!$J30&gt;='AS400 JEMBATAN'!$I30,'AS400 JEMBATAN'!F30,$J30/$D$4)+$L30,0)</f>
        <v>0</v>
      </c>
      <c r="G30" s="175">
        <f>ROUNDUP(IF('AS400 JEMBATAN'!$J30&gt;='AS400 JEMBATAN'!$I30,'AS400 JEMBATAN'!G30,$J30/$D$4)+$L30,0)</f>
        <v>0</v>
      </c>
      <c r="H30" s="175"/>
      <c r="I30" s="175">
        <f t="shared" si="2"/>
        <v>0</v>
      </c>
      <c r="J30" s="176">
        <f>'QTY '!Q30</f>
        <v>0</v>
      </c>
      <c r="K30" s="176">
        <f t="shared" si="3"/>
        <v>0</v>
      </c>
      <c r="L30" s="177"/>
      <c r="M30" s="175">
        <f>ROUNDUP(IF('AS400 JEMBATAN'!$S30&gt;='AS400 JEMBATAN'!$R30,'AS400 JEMBATAN'!M30,$S30/$M$4)+$U30,0)</f>
        <v>0</v>
      </c>
      <c r="N30" s="175">
        <f>ROUNDUP(IF('AS400 JEMBATAN'!$S30&gt;='AS400 JEMBATAN'!$R30,'AS400 JEMBATAN'!N30,$S30/$M$4)+$U30,0)</f>
        <v>0</v>
      </c>
      <c r="O30" s="175">
        <f>ROUNDUP(IF('AS400 JEMBATAN'!$S30&gt;='AS400 JEMBATAN'!$R30,'AS400 JEMBATAN'!O30,$S30/$M$4)+$U30,0)</f>
        <v>0</v>
      </c>
      <c r="P30" s="175">
        <f>ROUNDUP(IF('AS400 JEMBATAN'!$S30&gt;='AS400 JEMBATAN'!$R30,'AS400 JEMBATAN'!P30,$S30/$M$4)+$U30,0)</f>
        <v>0</v>
      </c>
      <c r="Q30" s="175">
        <f>ROUNDUP(IF('AS400 JEMBATAN'!$S30&gt;='AS400 JEMBATAN'!$R30,'AS400 JEMBATAN'!Q30,$S30/$M$4)+$U30,0)</f>
        <v>0</v>
      </c>
      <c r="R30" s="175">
        <f t="shared" si="4"/>
        <v>0</v>
      </c>
      <c r="S30" s="175">
        <f>'QTY '!T30</f>
        <v>0</v>
      </c>
      <c r="T30" s="176">
        <f t="shared" si="5"/>
        <v>0</v>
      </c>
      <c r="U30" s="178"/>
      <c r="V30" s="175">
        <f>ROUNDUP(IF('AS400 JEMBATAN'!$AB30&gt;='AS400 JEMBATAN'!$AA30,'AS400 JEMBATAN'!V30,$AB30/$V$4)+$AD30,0)</f>
        <v>0</v>
      </c>
      <c r="W30" s="175">
        <f>ROUNDUP(IF('AS400 JEMBATAN'!$AB30&gt;='AS400 JEMBATAN'!$AA30,'AS400 JEMBATAN'!W30,$AB30/$V$4)+$AD30,0)</f>
        <v>0</v>
      </c>
      <c r="X30" s="175">
        <f>ROUNDUP(IF('AS400 JEMBATAN'!$AB30&gt;='AS400 JEMBATAN'!$AA30,'AS400 JEMBATAN'!X30,$AB30/$V$4)+$AD30,0)</f>
        <v>0</v>
      </c>
      <c r="Y30" s="175">
        <f>ROUNDUP(IF('AS400 JEMBATAN'!$AB30&gt;='AS400 JEMBATAN'!$AA30,'AS400 JEMBATAN'!Y30,$AB30/$V$4)+$AD30,0)</f>
        <v>0</v>
      </c>
      <c r="Z30" s="175">
        <f>ROUNDUP(IF('AS400 JEMBATAN'!$AB30&gt;='AS400 JEMBATAN'!$AA30,'AS400 JEMBATAN'!Z30,$AB30/$V$4)+$AD30,0)</f>
        <v>0</v>
      </c>
      <c r="AA30" s="175">
        <f t="shared" si="6"/>
        <v>0</v>
      </c>
      <c r="AB30" s="175">
        <f>'QTY '!W30</f>
        <v>0</v>
      </c>
      <c r="AC30" s="175">
        <f t="shared" si="7"/>
        <v>0</v>
      </c>
      <c r="AD30" s="183"/>
      <c r="AE30" s="175">
        <f>ROUNDUP(IF('AS400 JEMBATAN'!$AK30&gt;='AS400 JEMBATAN'!$AJ30,'AS400 JEMBATAN'!AE30,$AK30/$AE$4)+$AM30,0)</f>
        <v>10</v>
      </c>
      <c r="AF30" s="175">
        <f>ROUNDUP(IF('AS400 JEMBATAN'!$AK30&gt;='AS400 JEMBATAN'!$AJ30,'AS400 JEMBATAN'!AF30,$AK30/$AE$4)+$AM30,0)</f>
        <v>10</v>
      </c>
      <c r="AG30" s="175">
        <f>ROUNDUP(IF('AS400 JEMBATAN'!$AK30&gt;='AS400 JEMBATAN'!$AJ30,'AS400 JEMBATAN'!AG30,$AK30/$AE$4)+$AM30,0)</f>
        <v>10</v>
      </c>
      <c r="AH30" s="175">
        <f>ROUNDUP(IF('AS400 JEMBATAN'!$AK30&gt;='AS400 JEMBATAN'!$AJ30,'AS400 JEMBATAN'!AH30,$AK30/$AE$4)+$AM30,0)</f>
        <v>10</v>
      </c>
      <c r="AI30" s="175"/>
      <c r="AJ30" s="175">
        <f t="shared" si="8"/>
        <v>40</v>
      </c>
      <c r="AK30" s="175">
        <f>'QTY '!Z30</f>
        <v>40</v>
      </c>
      <c r="AL30" s="175">
        <f t="shared" si="9"/>
        <v>0</v>
      </c>
      <c r="AM30" s="178"/>
      <c r="AN30" s="179">
        <f>+'AS400 JEMBATAN'!AN30</f>
        <v>10</v>
      </c>
      <c r="AO30" s="179">
        <f>+'AS400 JEMBATAN'!AO30</f>
        <v>10</v>
      </c>
      <c r="AP30" s="179">
        <f>+'AS400 JEMBATAN'!AP30</f>
        <v>10</v>
      </c>
      <c r="AQ30" s="179">
        <f>+'AS400 JEMBATAN'!AQ30</f>
        <v>10</v>
      </c>
      <c r="AR30" s="175"/>
      <c r="AS30" s="175">
        <f t="shared" si="10"/>
        <v>40</v>
      </c>
      <c r="AT30" s="175">
        <f>'QTY '!AC30</f>
        <v>40</v>
      </c>
      <c r="AU30" s="175">
        <f t="shared" si="1"/>
        <v>0</v>
      </c>
      <c r="AV30" s="175">
        <v>0</v>
      </c>
      <c r="AW30" s="180"/>
      <c r="AX30" s="180"/>
      <c r="AY30" s="180"/>
      <c r="AZ30" s="180"/>
      <c r="BA30" s="180"/>
    </row>
    <row r="31" spans="1:54" ht="18" customHeight="1" thickTop="1" thickBot="1">
      <c r="A31" s="210" t="str">
        <f>+'AS400 JEMBATAN'!A31</f>
        <v>DC111-V3891</v>
      </c>
      <c r="B31" s="200" t="str">
        <f>+'AS400 JEMBATAN'!B31</f>
        <v>DC111-V3891 B 0201</v>
      </c>
      <c r="C31" s="187" t="str">
        <f>'AS400 JEMBATAN'!C31</f>
        <v>BC 602W</v>
      </c>
      <c r="D31" s="175">
        <f>ROUNDUP(IF('AS400 JEMBATAN'!$J31&gt;='AS400 JEMBATAN'!$I31,'AS400 JEMBATAN'!D31,$J31/$D$4)+$L31,0)</f>
        <v>0</v>
      </c>
      <c r="E31" s="175">
        <f>ROUNDUP(IF('AS400 JEMBATAN'!$J31&gt;='AS400 JEMBATAN'!$I31,'AS400 JEMBATAN'!E31,$J31/$D$4)+$L31,0)</f>
        <v>0</v>
      </c>
      <c r="F31" s="175">
        <f>ROUNDUP(IF('AS400 JEMBATAN'!$J31&gt;='AS400 JEMBATAN'!$I31,'AS400 JEMBATAN'!F31,$J31/$D$4)+$L31,0)</f>
        <v>0</v>
      </c>
      <c r="G31" s="175">
        <f>ROUNDUP(IF('AS400 JEMBATAN'!$J31&gt;='AS400 JEMBATAN'!$I31,'AS400 JEMBATAN'!G31,$J31/$D$4)+$L31,0)</f>
        <v>0</v>
      </c>
      <c r="H31" s="175"/>
      <c r="I31" s="175">
        <f t="shared" si="2"/>
        <v>0</v>
      </c>
      <c r="J31" s="176">
        <f>'QTY '!Q31</f>
        <v>0</v>
      </c>
      <c r="K31" s="176">
        <f t="shared" si="3"/>
        <v>0</v>
      </c>
      <c r="L31" s="177"/>
      <c r="M31" s="175">
        <f>ROUNDUP(IF('AS400 JEMBATAN'!$S31&gt;='AS400 JEMBATAN'!$R31,'AS400 JEMBATAN'!M31,$S31/$M$4)+$U31,0)</f>
        <v>0</v>
      </c>
      <c r="N31" s="175">
        <f>ROUNDUP(IF('AS400 JEMBATAN'!$S31&gt;='AS400 JEMBATAN'!$R31,'AS400 JEMBATAN'!N31,$S31/$M$4)+$U31,0)</f>
        <v>0</v>
      </c>
      <c r="O31" s="175">
        <f>ROUNDUP(IF('AS400 JEMBATAN'!$S31&gt;='AS400 JEMBATAN'!$R31,'AS400 JEMBATAN'!O31,$S31/$M$4)+$U31,0)</f>
        <v>0</v>
      </c>
      <c r="P31" s="175">
        <f>ROUNDUP(IF('AS400 JEMBATAN'!$S31&gt;='AS400 JEMBATAN'!$R31,'AS400 JEMBATAN'!P31,$S31/$M$4)+$U31,0)</f>
        <v>0</v>
      </c>
      <c r="Q31" s="175">
        <f>ROUNDUP(IF('AS400 JEMBATAN'!$S31&gt;='AS400 JEMBATAN'!$R31,'AS400 JEMBATAN'!Q31,$S31/$M$4)+$U31,0)</f>
        <v>0</v>
      </c>
      <c r="R31" s="175">
        <f t="shared" si="4"/>
        <v>0</v>
      </c>
      <c r="S31" s="175">
        <f>'QTY '!T31</f>
        <v>0</v>
      </c>
      <c r="T31" s="176">
        <f t="shared" si="5"/>
        <v>0</v>
      </c>
      <c r="U31" s="178"/>
      <c r="V31" s="175">
        <f>ROUNDUP(IF('AS400 JEMBATAN'!$AB31&gt;='AS400 JEMBATAN'!$AA31,'AS400 JEMBATAN'!V31,$AB31/$V$4)+$AD31,0)</f>
        <v>0</v>
      </c>
      <c r="W31" s="175">
        <f>ROUNDUP(IF('AS400 JEMBATAN'!$AB31&gt;='AS400 JEMBATAN'!$AA31,'AS400 JEMBATAN'!W31,$AB31/$V$4)+$AD31,0)</f>
        <v>0</v>
      </c>
      <c r="X31" s="175">
        <f>ROUNDUP(IF('AS400 JEMBATAN'!$AB31&gt;='AS400 JEMBATAN'!$AA31,'AS400 JEMBATAN'!X31,$AB31/$V$4)+$AD31,0)</f>
        <v>0</v>
      </c>
      <c r="Y31" s="175">
        <f>ROUNDUP(IF('AS400 JEMBATAN'!$AB31&gt;='AS400 JEMBATAN'!$AA31,'AS400 JEMBATAN'!Y31,$AB31/$V$4)+$AD31,0)</f>
        <v>0</v>
      </c>
      <c r="Z31" s="175">
        <f>ROUNDUP(IF('AS400 JEMBATAN'!$AB31&gt;='AS400 JEMBATAN'!$AA31,'AS400 JEMBATAN'!Z31,$AB31/$V$4)+$AD31,0)</f>
        <v>0</v>
      </c>
      <c r="AA31" s="175">
        <f t="shared" si="6"/>
        <v>0</v>
      </c>
      <c r="AB31" s="175">
        <f>'QTY '!W31</f>
        <v>0</v>
      </c>
      <c r="AC31" s="175">
        <f t="shared" si="7"/>
        <v>0</v>
      </c>
      <c r="AD31" s="183"/>
      <c r="AE31" s="175">
        <f>ROUNDUP(IF('AS400 JEMBATAN'!$AK31&gt;='AS400 JEMBATAN'!$AJ31,'AS400 JEMBATAN'!AE31,$AK31/$AE$4)+$AM31,0)</f>
        <v>0</v>
      </c>
      <c r="AF31" s="175">
        <f>ROUNDUP(IF('AS400 JEMBATAN'!$AK31&gt;='AS400 JEMBATAN'!$AJ31,'AS400 JEMBATAN'!AF31,$AK31/$AE$4)+$AM31,0)</f>
        <v>0</v>
      </c>
      <c r="AG31" s="175">
        <f>ROUNDUP(IF('AS400 JEMBATAN'!$AK31&gt;='AS400 JEMBATAN'!$AJ31,'AS400 JEMBATAN'!AG31,$AK31/$AE$4)+$AM31,0)</f>
        <v>0</v>
      </c>
      <c r="AH31" s="175">
        <f>ROUNDUP(IF('AS400 JEMBATAN'!$AK31&gt;='AS400 JEMBATAN'!$AJ31,'AS400 JEMBATAN'!AH31,$AK31/$AE$4)+$AM31,0)</f>
        <v>0</v>
      </c>
      <c r="AI31" s="175"/>
      <c r="AJ31" s="175">
        <f t="shared" si="8"/>
        <v>0</v>
      </c>
      <c r="AK31" s="175">
        <f>'QTY '!Z31</f>
        <v>0</v>
      </c>
      <c r="AL31" s="175">
        <f t="shared" si="9"/>
        <v>0</v>
      </c>
      <c r="AM31" s="178"/>
      <c r="AN31" s="179">
        <f>+'AS400 JEMBATAN'!AN31</f>
        <v>0</v>
      </c>
      <c r="AO31" s="179">
        <f>+'AS400 JEMBATAN'!AO31</f>
        <v>0</v>
      </c>
      <c r="AP31" s="179">
        <f>+'AS400 JEMBATAN'!AP31</f>
        <v>0</v>
      </c>
      <c r="AQ31" s="179">
        <f>+'AS400 JEMBATAN'!AQ31</f>
        <v>0</v>
      </c>
      <c r="AR31" s="175"/>
      <c r="AS31" s="175">
        <f t="shared" si="10"/>
        <v>0</v>
      </c>
      <c r="AT31" s="175">
        <f>'QTY '!AC31</f>
        <v>0</v>
      </c>
      <c r="AU31" s="175">
        <f t="shared" si="1"/>
        <v>0</v>
      </c>
      <c r="AV31" s="175">
        <v>0</v>
      </c>
      <c r="AW31" s="180"/>
      <c r="AX31" s="180"/>
      <c r="AY31" s="180"/>
      <c r="AZ31" s="180"/>
      <c r="BA31" s="180"/>
    </row>
    <row r="32" spans="1:54" ht="18" customHeight="1" thickTop="1" thickBot="1">
      <c r="A32" s="210" t="str">
        <f>+'AS400 JEMBATAN'!A32</f>
        <v>BC111-11730-3</v>
      </c>
      <c r="B32" s="200" t="str">
        <f>+'AS400 JEMBATAN'!B32</f>
        <v>BC111-11730-3 B 0001</v>
      </c>
      <c r="C32" s="187" t="str">
        <f>'AS400 JEMBATAN'!C32</f>
        <v>BC 819W</v>
      </c>
      <c r="D32" s="175">
        <f>ROUNDUP(IF('AS400 JEMBATAN'!$J32&gt;='AS400 JEMBATAN'!$I32,'AS400 JEMBATAN'!D32,$J32/$D$4)+$L32,0)</f>
        <v>0</v>
      </c>
      <c r="E32" s="175">
        <f>ROUNDUP(IF('AS400 JEMBATAN'!$J32&gt;='AS400 JEMBATAN'!$I32,'AS400 JEMBATAN'!E32,$J32/$D$4)+$L32,0)</f>
        <v>0</v>
      </c>
      <c r="F32" s="175">
        <f>ROUNDUP(IF('AS400 JEMBATAN'!$J32&gt;='AS400 JEMBATAN'!$I32,'AS400 JEMBATAN'!F32,$J32/$D$4)+$L32,0)</f>
        <v>0</v>
      </c>
      <c r="G32" s="175">
        <f>ROUNDUP(IF('AS400 JEMBATAN'!$J32&gt;='AS400 JEMBATAN'!$I32,'AS400 JEMBATAN'!G32,$J32/$D$4)+$L32,0)</f>
        <v>0</v>
      </c>
      <c r="H32" s="175"/>
      <c r="I32" s="175">
        <f t="shared" si="2"/>
        <v>0</v>
      </c>
      <c r="J32" s="176">
        <f>'QTY '!Q32</f>
        <v>0</v>
      </c>
      <c r="K32" s="176">
        <f t="shared" si="3"/>
        <v>0</v>
      </c>
      <c r="L32" s="177"/>
      <c r="M32" s="175">
        <f>ROUNDUP(IF('AS400 JEMBATAN'!$S32&gt;='AS400 JEMBATAN'!$R32,'AS400 JEMBATAN'!M32,$S32/$M$4)+$U32,0)</f>
        <v>0</v>
      </c>
      <c r="N32" s="175">
        <f>ROUNDUP(IF('AS400 JEMBATAN'!$S32&gt;='AS400 JEMBATAN'!$R32,'AS400 JEMBATAN'!N32,$S32/$M$4)+$U32,0)</f>
        <v>0</v>
      </c>
      <c r="O32" s="175">
        <f>ROUNDUP(IF('AS400 JEMBATAN'!$S32&gt;='AS400 JEMBATAN'!$R32,'AS400 JEMBATAN'!O32,$S32/$M$4)+$U32,0)</f>
        <v>0</v>
      </c>
      <c r="P32" s="175">
        <f>ROUNDUP(IF('AS400 JEMBATAN'!$S32&gt;='AS400 JEMBATAN'!$R32,'AS400 JEMBATAN'!P32,$S32/$M$4)+$U32,0)</f>
        <v>0</v>
      </c>
      <c r="Q32" s="175">
        <f>ROUNDUP(IF('AS400 JEMBATAN'!$S32&gt;='AS400 JEMBATAN'!$R32,'AS400 JEMBATAN'!Q32,$S32/$M$4)+$U32,0)</f>
        <v>0</v>
      </c>
      <c r="R32" s="175">
        <f t="shared" si="4"/>
        <v>0</v>
      </c>
      <c r="S32" s="175">
        <f>'QTY '!T32</f>
        <v>0</v>
      </c>
      <c r="T32" s="176">
        <f t="shared" si="5"/>
        <v>0</v>
      </c>
      <c r="U32" s="178"/>
      <c r="V32" s="175">
        <f>ROUNDUP(IF('AS400 JEMBATAN'!$AB32&gt;='AS400 JEMBATAN'!$AA32,'AS400 JEMBATAN'!V32,$AB32/$V$4)+$AD32,0)</f>
        <v>0</v>
      </c>
      <c r="W32" s="175">
        <f>ROUNDUP(IF('AS400 JEMBATAN'!$AB32&gt;='AS400 JEMBATAN'!$AA32,'AS400 JEMBATAN'!W32,$AB32/$V$4)+$AD32,0)</f>
        <v>0</v>
      </c>
      <c r="X32" s="175">
        <f>ROUNDUP(IF('AS400 JEMBATAN'!$AB32&gt;='AS400 JEMBATAN'!$AA32,'AS400 JEMBATAN'!X32,$AB32/$V$4)+$AD32,0)</f>
        <v>0</v>
      </c>
      <c r="Y32" s="175">
        <f>ROUNDUP(IF('AS400 JEMBATAN'!$AB32&gt;='AS400 JEMBATAN'!$AA32,'AS400 JEMBATAN'!Y32,$AB32/$V$4)+$AD32,0)</f>
        <v>0</v>
      </c>
      <c r="Z32" s="175">
        <f>ROUNDUP(IF('AS400 JEMBATAN'!$AB32&gt;='AS400 JEMBATAN'!$AA32,'AS400 JEMBATAN'!Z32,$AB32/$V$4)+$AD32,0)</f>
        <v>0</v>
      </c>
      <c r="AA32" s="175">
        <f t="shared" si="6"/>
        <v>0</v>
      </c>
      <c r="AB32" s="175">
        <f>'QTY '!W32</f>
        <v>0</v>
      </c>
      <c r="AC32" s="175">
        <f t="shared" si="7"/>
        <v>0</v>
      </c>
      <c r="AD32" s="183"/>
      <c r="AE32" s="175">
        <f>ROUNDUP(IF('AS400 JEMBATAN'!$AK32&gt;='AS400 JEMBATAN'!$AJ32,'AS400 JEMBATAN'!AE32,$AK32/$AE$4)+$AM32,0)</f>
        <v>0</v>
      </c>
      <c r="AF32" s="175">
        <f>ROUNDUP(IF('AS400 JEMBATAN'!$AK32&gt;='AS400 JEMBATAN'!$AJ32,'AS400 JEMBATAN'!AF32,$AK32/$AE$4)+$AM32,0)</f>
        <v>0</v>
      </c>
      <c r="AG32" s="175">
        <f>ROUNDUP(IF('AS400 JEMBATAN'!$AK32&gt;='AS400 JEMBATAN'!$AJ32,'AS400 JEMBATAN'!AG32,$AK32/$AE$4)+$AM32,0)</f>
        <v>0</v>
      </c>
      <c r="AH32" s="175">
        <f>ROUNDUP(IF('AS400 JEMBATAN'!$AK32&gt;='AS400 JEMBATAN'!$AJ32,'AS400 JEMBATAN'!AH32,$AK32/$AE$4)+$AM32,0)</f>
        <v>0</v>
      </c>
      <c r="AI32" s="175"/>
      <c r="AJ32" s="175">
        <f t="shared" si="8"/>
        <v>0</v>
      </c>
      <c r="AK32" s="175">
        <f>'QTY '!Z32</f>
        <v>0</v>
      </c>
      <c r="AL32" s="175">
        <f t="shared" si="9"/>
        <v>0</v>
      </c>
      <c r="AM32" s="178"/>
      <c r="AN32" s="179">
        <f>+'AS400 JEMBATAN'!AN32</f>
        <v>0</v>
      </c>
      <c r="AO32" s="179">
        <f>+'AS400 JEMBATAN'!AO32</f>
        <v>0</v>
      </c>
      <c r="AP32" s="179">
        <f>+'AS400 JEMBATAN'!AP32</f>
        <v>0</v>
      </c>
      <c r="AQ32" s="179">
        <f>+'AS400 JEMBATAN'!AQ32</f>
        <v>0</v>
      </c>
      <c r="AR32" s="175"/>
      <c r="AS32" s="175">
        <f t="shared" si="10"/>
        <v>0</v>
      </c>
      <c r="AT32" s="175">
        <f>'QTY '!AC32</f>
        <v>0</v>
      </c>
      <c r="AU32" s="175">
        <f t="shared" si="1"/>
        <v>0</v>
      </c>
      <c r="AV32" s="175">
        <v>0</v>
      </c>
      <c r="AW32" s="180"/>
      <c r="AX32" s="180"/>
      <c r="AY32" s="180"/>
      <c r="AZ32" s="180"/>
      <c r="BA32" s="180"/>
    </row>
    <row r="33" spans="1:53" ht="18" customHeight="1" thickTop="1" thickBot="1">
      <c r="A33" s="210" t="str">
        <f>+'AS400 JEMBATAN'!A33</f>
        <v>BC111-11810-3</v>
      </c>
      <c r="B33" s="200" t="str">
        <f>+'AS400 JEMBATAN'!B33</f>
        <v>BC111-11810-3 2001</v>
      </c>
      <c r="C33" s="187" t="str">
        <f>'AS400 JEMBATAN'!C33</f>
        <v>BC 819W</v>
      </c>
      <c r="D33" s="175">
        <f>ROUNDUP(IF('AS400 JEMBATAN'!$J33&gt;='AS400 JEMBATAN'!$I33,'AS400 JEMBATAN'!D33,$J33/$D$4)+$L33,0)</f>
        <v>20</v>
      </c>
      <c r="E33" s="175">
        <f>ROUNDUP(IF('AS400 JEMBATAN'!$J33&gt;='AS400 JEMBATAN'!$I33,'AS400 JEMBATAN'!E33,$J33/$D$4)+$L33,0)</f>
        <v>0</v>
      </c>
      <c r="F33" s="175">
        <f>ROUNDUP(IF('AS400 JEMBATAN'!$J33&gt;='AS400 JEMBATAN'!$I33,'AS400 JEMBATAN'!F33,$J33/$D$4)+$L33,0)</f>
        <v>0</v>
      </c>
      <c r="G33" s="175">
        <f>ROUNDUP(IF('AS400 JEMBATAN'!$J33&gt;='AS400 JEMBATAN'!$I33,'AS400 JEMBATAN'!G33,$J33/$D$4)+$L33,0)</f>
        <v>0</v>
      </c>
      <c r="H33" s="175"/>
      <c r="I33" s="175">
        <f t="shared" si="2"/>
        <v>20</v>
      </c>
      <c r="J33" s="176">
        <f>'QTY '!Q33</f>
        <v>20</v>
      </c>
      <c r="K33" s="176">
        <f t="shared" si="3"/>
        <v>0</v>
      </c>
      <c r="L33" s="177"/>
      <c r="M33" s="175">
        <f>ROUNDUP(IF('AS400 JEMBATAN'!$S33&gt;='AS400 JEMBATAN'!$R33,'AS400 JEMBATAN'!M33,$S33/$M$4)+$U33,0)</f>
        <v>0</v>
      </c>
      <c r="N33" s="175">
        <f>ROUNDUP(IF('AS400 JEMBATAN'!$S33&gt;='AS400 JEMBATAN'!$R33,'AS400 JEMBATAN'!N33,$S33/$M$4)+$U33,0)</f>
        <v>0</v>
      </c>
      <c r="O33" s="175">
        <f>ROUNDUP(IF('AS400 JEMBATAN'!$S33&gt;='AS400 JEMBATAN'!$R33,'AS400 JEMBATAN'!O33,$S33/$M$4)+$U33,0)</f>
        <v>0</v>
      </c>
      <c r="P33" s="175">
        <f>ROUNDUP(IF('AS400 JEMBATAN'!$S33&gt;='AS400 JEMBATAN'!$R33,'AS400 JEMBATAN'!P33,$S33/$M$4)+$U33,0)</f>
        <v>0</v>
      </c>
      <c r="Q33" s="175">
        <f>ROUNDUP(IF('AS400 JEMBATAN'!$S33&gt;='AS400 JEMBATAN'!$R33,'AS400 JEMBATAN'!Q33,$S33/$M$4)+$U33,0)</f>
        <v>0</v>
      </c>
      <c r="R33" s="175">
        <f t="shared" si="4"/>
        <v>0</v>
      </c>
      <c r="S33" s="175">
        <f>'QTY '!T33</f>
        <v>0</v>
      </c>
      <c r="T33" s="176">
        <f t="shared" si="5"/>
        <v>0</v>
      </c>
      <c r="U33" s="178"/>
      <c r="V33" s="175">
        <f>ROUNDUP(IF('AS400 JEMBATAN'!$AB33&gt;='AS400 JEMBATAN'!$AA33,'AS400 JEMBATAN'!V33,$AB33/$V$4)+$AD33,0)</f>
        <v>0</v>
      </c>
      <c r="W33" s="175">
        <f>ROUNDUP(IF('AS400 JEMBATAN'!$AB33&gt;='AS400 JEMBATAN'!$AA33,'AS400 JEMBATAN'!W33,$AB33/$V$4)+$AD33,0)</f>
        <v>0</v>
      </c>
      <c r="X33" s="175">
        <f>ROUNDUP(IF('AS400 JEMBATAN'!$AB33&gt;='AS400 JEMBATAN'!$AA33,'AS400 JEMBATAN'!X33,$AB33/$V$4)+$AD33,0)</f>
        <v>0</v>
      </c>
      <c r="Y33" s="175">
        <f>ROUNDUP(IF('AS400 JEMBATAN'!$AB33&gt;='AS400 JEMBATAN'!$AA33,'AS400 JEMBATAN'!Y33,$AB33/$V$4)+$AD33,0)</f>
        <v>0</v>
      </c>
      <c r="Z33" s="175">
        <f>ROUNDUP(IF('AS400 JEMBATAN'!$AB33&gt;='AS400 JEMBATAN'!$AA33,'AS400 JEMBATAN'!Z33,$AB33/$V$4)+$AD33,0)</f>
        <v>0</v>
      </c>
      <c r="AA33" s="175">
        <f t="shared" si="6"/>
        <v>0</v>
      </c>
      <c r="AB33" s="175">
        <f>'QTY '!W33</f>
        <v>0</v>
      </c>
      <c r="AC33" s="175">
        <f t="shared" si="7"/>
        <v>0</v>
      </c>
      <c r="AD33" s="183"/>
      <c r="AE33" s="175">
        <f>ROUNDUP(IF('AS400 JEMBATAN'!$AK33&gt;='AS400 JEMBATAN'!$AJ33,'AS400 JEMBATAN'!AE33,$AK33/$AE$4)+$AM33,0)</f>
        <v>0</v>
      </c>
      <c r="AF33" s="175">
        <f>ROUNDUP(IF('AS400 JEMBATAN'!$AK33&gt;='AS400 JEMBATAN'!$AJ33,'AS400 JEMBATAN'!AF33,$AK33/$AE$4)+$AM33,0)</f>
        <v>0</v>
      </c>
      <c r="AG33" s="175">
        <f>ROUNDUP(IF('AS400 JEMBATAN'!$AK33&gt;='AS400 JEMBATAN'!$AJ33,'AS400 JEMBATAN'!AG33,$AK33/$AE$4)+$AM33,0)</f>
        <v>0</v>
      </c>
      <c r="AH33" s="175">
        <f>ROUNDUP(IF('AS400 JEMBATAN'!$AK33&gt;='AS400 JEMBATAN'!$AJ33,'AS400 JEMBATAN'!AH33,$AK33/$AE$4)+$AM33,0)</f>
        <v>0</v>
      </c>
      <c r="AI33" s="175"/>
      <c r="AJ33" s="175">
        <f t="shared" si="8"/>
        <v>0</v>
      </c>
      <c r="AK33" s="175">
        <f>'QTY '!Z33</f>
        <v>0</v>
      </c>
      <c r="AL33" s="175">
        <f t="shared" si="9"/>
        <v>0</v>
      </c>
      <c r="AM33" s="178"/>
      <c r="AN33" s="179">
        <f>+'AS400 JEMBATAN'!AN33</f>
        <v>0</v>
      </c>
      <c r="AO33" s="179">
        <f>+'AS400 JEMBATAN'!AO33</f>
        <v>0</v>
      </c>
      <c r="AP33" s="179">
        <f>+'AS400 JEMBATAN'!AP33</f>
        <v>0</v>
      </c>
      <c r="AQ33" s="179">
        <f>+'AS400 JEMBATAN'!AQ33</f>
        <v>0</v>
      </c>
      <c r="AR33" s="175"/>
      <c r="AS33" s="175">
        <f t="shared" si="10"/>
        <v>0</v>
      </c>
      <c r="AT33" s="175">
        <f>'QTY '!AC33</f>
        <v>0</v>
      </c>
      <c r="AU33" s="175">
        <f t="shared" si="1"/>
        <v>0</v>
      </c>
      <c r="AV33" s="175">
        <v>0</v>
      </c>
      <c r="AW33" s="180"/>
      <c r="AX33" s="180"/>
      <c r="AY33" s="180"/>
      <c r="AZ33" s="180"/>
      <c r="BA33" s="180"/>
    </row>
    <row r="34" spans="1:53" ht="18" customHeight="1" thickTop="1" thickBot="1">
      <c r="A34" s="210" t="str">
        <f>+'AS400 JEMBATAN'!A34</f>
        <v>BC111-5A851-2</v>
      </c>
      <c r="B34" s="200" t="str">
        <f>+'AS400 JEMBATAN'!B34</f>
        <v>BC111-5A843-2 0001</v>
      </c>
      <c r="C34" s="187" t="str">
        <f>'AS400 JEMBATAN'!C34</f>
        <v>BC 819W</v>
      </c>
      <c r="D34" s="175">
        <f>ROUNDUP(IF('AS400 JEMBATAN'!$J34&gt;='AS400 JEMBATAN'!$I34,'AS400 JEMBATAN'!D34,$J34/$D$4)+$L34,0)</f>
        <v>20</v>
      </c>
      <c r="E34" s="175">
        <f>ROUNDUP(IF('AS400 JEMBATAN'!$J34&gt;='AS400 JEMBATAN'!$I34,'AS400 JEMBATAN'!E34,$J34/$D$4)+$L34,0)</f>
        <v>0</v>
      </c>
      <c r="F34" s="175">
        <f>ROUNDUP(IF('AS400 JEMBATAN'!$J34&gt;='AS400 JEMBATAN'!$I34,'AS400 JEMBATAN'!F34,$J34/$D$4)+$L34,0)</f>
        <v>20</v>
      </c>
      <c r="G34" s="175">
        <f>ROUNDUP(IF('AS400 JEMBATAN'!$J34&gt;='AS400 JEMBATAN'!$I34,'AS400 JEMBATAN'!G34,$J34/$D$4)+$L34,0)</f>
        <v>0</v>
      </c>
      <c r="H34" s="175"/>
      <c r="I34" s="175">
        <f t="shared" si="2"/>
        <v>40</v>
      </c>
      <c r="J34" s="176">
        <f>'QTY '!Q34</f>
        <v>40</v>
      </c>
      <c r="K34" s="176">
        <f t="shared" si="3"/>
        <v>0</v>
      </c>
      <c r="L34" s="177"/>
      <c r="M34" s="175">
        <f>ROUNDUP(IF('AS400 JEMBATAN'!$S34&gt;='AS400 JEMBATAN'!$R34,'AS400 JEMBATAN'!M34,$S34/$M$4)+$U34,0)</f>
        <v>0</v>
      </c>
      <c r="N34" s="175">
        <f>ROUNDUP(IF('AS400 JEMBATAN'!$S34&gt;='AS400 JEMBATAN'!$R34,'AS400 JEMBATAN'!N34,$S34/$M$4)+$U34,0)</f>
        <v>0</v>
      </c>
      <c r="O34" s="175">
        <f>ROUNDUP(IF('AS400 JEMBATAN'!$S34&gt;='AS400 JEMBATAN'!$R34,'AS400 JEMBATAN'!O34,$S34/$M$4)+$U34,0)</f>
        <v>0</v>
      </c>
      <c r="P34" s="175">
        <f>ROUNDUP(IF('AS400 JEMBATAN'!$S34&gt;='AS400 JEMBATAN'!$R34,'AS400 JEMBATAN'!P34,$S34/$M$4)+$U34,0)</f>
        <v>0</v>
      </c>
      <c r="Q34" s="175">
        <f>ROUNDUP(IF('AS400 JEMBATAN'!$S34&gt;='AS400 JEMBATAN'!$R34,'AS400 JEMBATAN'!Q34,$S34/$M$4)+$U34,0)</f>
        <v>0</v>
      </c>
      <c r="R34" s="175">
        <f t="shared" si="4"/>
        <v>0</v>
      </c>
      <c r="S34" s="175">
        <f>'QTY '!T34</f>
        <v>0</v>
      </c>
      <c r="T34" s="176">
        <f t="shared" si="5"/>
        <v>0</v>
      </c>
      <c r="U34" s="178"/>
      <c r="V34" s="175">
        <f>ROUNDUP(IF('AS400 JEMBATAN'!$AB34&gt;='AS400 JEMBATAN'!$AA34,'AS400 JEMBATAN'!V34,$AB34/$V$4)+$AD34,0)</f>
        <v>0</v>
      </c>
      <c r="W34" s="175">
        <f>ROUNDUP(IF('AS400 JEMBATAN'!$AB34&gt;='AS400 JEMBATAN'!$AA34,'AS400 JEMBATAN'!W34,$AB34/$V$4)+$AD34,0)</f>
        <v>0</v>
      </c>
      <c r="X34" s="175">
        <f>ROUNDUP(IF('AS400 JEMBATAN'!$AB34&gt;='AS400 JEMBATAN'!$AA34,'AS400 JEMBATAN'!X34,$AB34/$V$4)+$AD34,0)</f>
        <v>0</v>
      </c>
      <c r="Y34" s="175">
        <f>ROUNDUP(IF('AS400 JEMBATAN'!$AB34&gt;='AS400 JEMBATAN'!$AA34,'AS400 JEMBATAN'!Y34,$AB34/$V$4)+$AD34,0)</f>
        <v>0</v>
      </c>
      <c r="Z34" s="175">
        <f>ROUNDUP(IF('AS400 JEMBATAN'!$AB34&gt;='AS400 JEMBATAN'!$AA34,'AS400 JEMBATAN'!Z34,$AB34/$V$4)+$AD34,0)</f>
        <v>0</v>
      </c>
      <c r="AA34" s="175">
        <f t="shared" si="6"/>
        <v>0</v>
      </c>
      <c r="AB34" s="175">
        <f>'QTY '!W34</f>
        <v>0</v>
      </c>
      <c r="AC34" s="175">
        <f t="shared" si="7"/>
        <v>0</v>
      </c>
      <c r="AD34" s="183"/>
      <c r="AE34" s="175">
        <f>ROUNDUP(IF('AS400 JEMBATAN'!$AK34&gt;='AS400 JEMBATAN'!$AJ34,'AS400 JEMBATAN'!AE34,$AK34/$AE$4)+$AM34,0)</f>
        <v>0</v>
      </c>
      <c r="AF34" s="175">
        <f>ROUNDUP(IF('AS400 JEMBATAN'!$AK34&gt;='AS400 JEMBATAN'!$AJ34,'AS400 JEMBATAN'!AF34,$AK34/$AE$4)+$AM34,0)</f>
        <v>0</v>
      </c>
      <c r="AG34" s="175">
        <f>ROUNDUP(IF('AS400 JEMBATAN'!$AK34&gt;='AS400 JEMBATAN'!$AJ34,'AS400 JEMBATAN'!AG34,$AK34/$AE$4)+$AM34,0)</f>
        <v>0</v>
      </c>
      <c r="AH34" s="175">
        <f>ROUNDUP(IF('AS400 JEMBATAN'!$AK34&gt;='AS400 JEMBATAN'!$AJ34,'AS400 JEMBATAN'!AH34,$AK34/$AE$4)+$AM34,0)</f>
        <v>0</v>
      </c>
      <c r="AI34" s="175"/>
      <c r="AJ34" s="175">
        <f t="shared" si="8"/>
        <v>0</v>
      </c>
      <c r="AK34" s="175">
        <f>'QTY '!Z34</f>
        <v>0</v>
      </c>
      <c r="AL34" s="175">
        <f t="shared" si="9"/>
        <v>0</v>
      </c>
      <c r="AM34" s="178"/>
      <c r="AN34" s="179">
        <f>+'AS400 JEMBATAN'!AN34</f>
        <v>0</v>
      </c>
      <c r="AO34" s="179">
        <f>+'AS400 JEMBATAN'!AO34</f>
        <v>0</v>
      </c>
      <c r="AP34" s="179">
        <f>+'AS400 JEMBATAN'!AP34</f>
        <v>0</v>
      </c>
      <c r="AQ34" s="179">
        <f>+'AS400 JEMBATAN'!AQ34</f>
        <v>0</v>
      </c>
      <c r="AR34" s="175"/>
      <c r="AS34" s="175">
        <f t="shared" si="10"/>
        <v>0</v>
      </c>
      <c r="AT34" s="175">
        <f>'QTY '!AC34</f>
        <v>0</v>
      </c>
      <c r="AU34" s="175">
        <f t="shared" si="1"/>
        <v>0</v>
      </c>
      <c r="AV34" s="175">
        <v>0</v>
      </c>
      <c r="AW34" s="180"/>
      <c r="AX34" s="180"/>
      <c r="AY34" s="180"/>
      <c r="AZ34" s="180"/>
      <c r="BA34" s="180"/>
    </row>
    <row r="35" spans="1:53" ht="18" customHeight="1" thickTop="1" thickBot="1">
      <c r="A35" s="210" t="str">
        <f>+'AS400 JEMBATAN'!A35</f>
        <v>BC111-5A852-2</v>
      </c>
      <c r="B35" s="200" t="str">
        <f>+'AS400 JEMBATAN'!B35</f>
        <v>BC111-5A852-2 A 0002</v>
      </c>
      <c r="C35" s="187" t="str">
        <f>'AS400 JEMBATAN'!C35</f>
        <v>BC 819W</v>
      </c>
      <c r="D35" s="175">
        <f>ROUNDUP(IF('AS400 JEMBATAN'!$J35&gt;='AS400 JEMBATAN'!$I35,'AS400 JEMBATAN'!D35,$J35/$D$4)+$L35,0)</f>
        <v>0</v>
      </c>
      <c r="E35" s="175">
        <f>ROUNDUP(IF('AS400 JEMBATAN'!$J35&gt;='AS400 JEMBATAN'!$I35,'AS400 JEMBATAN'!E35,$J35/$D$4)+$L35,0)</f>
        <v>0</v>
      </c>
      <c r="F35" s="175">
        <f>ROUNDUP(IF('AS400 JEMBATAN'!$J35&gt;='AS400 JEMBATAN'!$I35,'AS400 JEMBATAN'!F35,$J35/$D$4)+$L35,0)</f>
        <v>0</v>
      </c>
      <c r="G35" s="175">
        <f>ROUNDUP(IF('AS400 JEMBATAN'!$J35&gt;='AS400 JEMBATAN'!$I35,'AS400 JEMBATAN'!G35,$J35/$D$4)+$L35,0)</f>
        <v>0</v>
      </c>
      <c r="H35" s="175"/>
      <c r="I35" s="175">
        <f t="shared" si="2"/>
        <v>0</v>
      </c>
      <c r="J35" s="176">
        <f>'QTY '!Q35</f>
        <v>0</v>
      </c>
      <c r="K35" s="176">
        <f t="shared" si="3"/>
        <v>0</v>
      </c>
      <c r="L35" s="177"/>
      <c r="M35" s="175">
        <f>ROUNDUP(IF('AS400 JEMBATAN'!$S35&gt;='AS400 JEMBATAN'!$R35,'AS400 JEMBATAN'!M35,$S35/$M$4)+$U35,0)</f>
        <v>0</v>
      </c>
      <c r="N35" s="175">
        <f>ROUNDUP(IF('AS400 JEMBATAN'!$S35&gt;='AS400 JEMBATAN'!$R35,'AS400 JEMBATAN'!N35,$S35/$M$4)+$U35,0)</f>
        <v>0</v>
      </c>
      <c r="O35" s="175">
        <f>ROUNDUP(IF('AS400 JEMBATAN'!$S35&gt;='AS400 JEMBATAN'!$R35,'AS400 JEMBATAN'!O35,$S35/$M$4)+$U35,0)</f>
        <v>0</v>
      </c>
      <c r="P35" s="175">
        <f>ROUNDUP(IF('AS400 JEMBATAN'!$S35&gt;='AS400 JEMBATAN'!$R35,'AS400 JEMBATAN'!P35,$S35/$M$4)+$U35,0)</f>
        <v>0</v>
      </c>
      <c r="Q35" s="175">
        <f>ROUNDUP(IF('AS400 JEMBATAN'!$S35&gt;='AS400 JEMBATAN'!$R35,'AS400 JEMBATAN'!Q35,$S35/$M$4)+$U35,0)</f>
        <v>0</v>
      </c>
      <c r="R35" s="175">
        <f t="shared" si="4"/>
        <v>0</v>
      </c>
      <c r="S35" s="175">
        <f>'QTY '!T35</f>
        <v>0</v>
      </c>
      <c r="T35" s="176">
        <f t="shared" si="5"/>
        <v>0</v>
      </c>
      <c r="U35" s="178"/>
      <c r="V35" s="175">
        <f>ROUNDUP(IF('AS400 JEMBATAN'!$AB35&gt;='AS400 JEMBATAN'!$AA35,'AS400 JEMBATAN'!V35,$AB35/$V$4)+$AD35,0)</f>
        <v>0</v>
      </c>
      <c r="W35" s="175">
        <f>ROUNDUP(IF('AS400 JEMBATAN'!$AB35&gt;='AS400 JEMBATAN'!$AA35,'AS400 JEMBATAN'!W35,$AB35/$V$4)+$AD35,0)</f>
        <v>0</v>
      </c>
      <c r="X35" s="175">
        <f>ROUNDUP(IF('AS400 JEMBATAN'!$AB35&gt;='AS400 JEMBATAN'!$AA35,'AS400 JEMBATAN'!X35,$AB35/$V$4)+$AD35,0)</f>
        <v>0</v>
      </c>
      <c r="Y35" s="175">
        <f>ROUNDUP(IF('AS400 JEMBATAN'!$AB35&gt;='AS400 JEMBATAN'!$AA35,'AS400 JEMBATAN'!Y35,$AB35/$V$4)+$AD35,0)</f>
        <v>0</v>
      </c>
      <c r="Z35" s="175">
        <f>ROUNDUP(IF('AS400 JEMBATAN'!$AB35&gt;='AS400 JEMBATAN'!$AA35,'AS400 JEMBATAN'!Z35,$AB35/$V$4)+$AD35,0)</f>
        <v>0</v>
      </c>
      <c r="AA35" s="175">
        <f t="shared" si="6"/>
        <v>0</v>
      </c>
      <c r="AB35" s="175">
        <f>'QTY '!W35</f>
        <v>0</v>
      </c>
      <c r="AC35" s="175">
        <f t="shared" si="7"/>
        <v>0</v>
      </c>
      <c r="AD35" s="183"/>
      <c r="AE35" s="175">
        <f>ROUNDUP(IF('AS400 JEMBATAN'!$AK35&gt;='AS400 JEMBATAN'!$AJ35,'AS400 JEMBATAN'!AE35,$AK35/$AE$4)+$AM35,0)</f>
        <v>0</v>
      </c>
      <c r="AF35" s="175">
        <f>ROUNDUP(IF('AS400 JEMBATAN'!$AK35&gt;='AS400 JEMBATAN'!$AJ35,'AS400 JEMBATAN'!AF35,$AK35/$AE$4)+$AM35,0)</f>
        <v>0</v>
      </c>
      <c r="AG35" s="175">
        <f>ROUNDUP(IF('AS400 JEMBATAN'!$AK35&gt;='AS400 JEMBATAN'!$AJ35,'AS400 JEMBATAN'!AG35,$AK35/$AE$4)+$AM35,0)</f>
        <v>0</v>
      </c>
      <c r="AH35" s="175">
        <f>ROUNDUP(IF('AS400 JEMBATAN'!$AK35&gt;='AS400 JEMBATAN'!$AJ35,'AS400 JEMBATAN'!AH35,$AK35/$AE$4)+$AM35,0)</f>
        <v>0</v>
      </c>
      <c r="AI35" s="175"/>
      <c r="AJ35" s="175">
        <f t="shared" si="8"/>
        <v>0</v>
      </c>
      <c r="AK35" s="175">
        <f>'QTY '!Z35</f>
        <v>0</v>
      </c>
      <c r="AL35" s="175">
        <f t="shared" si="9"/>
        <v>0</v>
      </c>
      <c r="AM35" s="178"/>
      <c r="AN35" s="179">
        <f>+'AS400 JEMBATAN'!AN35</f>
        <v>0</v>
      </c>
      <c r="AO35" s="179">
        <f>+'AS400 JEMBATAN'!AO35</f>
        <v>0</v>
      </c>
      <c r="AP35" s="179">
        <f>+'AS400 JEMBATAN'!AP35</f>
        <v>0</v>
      </c>
      <c r="AQ35" s="179">
        <f>+'AS400 JEMBATAN'!AQ35</f>
        <v>0</v>
      </c>
      <c r="AR35" s="175"/>
      <c r="AS35" s="175">
        <f t="shared" si="10"/>
        <v>0</v>
      </c>
      <c r="AT35" s="175">
        <f>'QTY '!AC35</f>
        <v>0</v>
      </c>
      <c r="AU35" s="175">
        <f t="shared" si="1"/>
        <v>0</v>
      </c>
      <c r="AV35" s="175">
        <v>0</v>
      </c>
      <c r="AW35" s="180"/>
      <c r="AX35" s="180"/>
      <c r="AY35" s="180"/>
      <c r="AZ35" s="180"/>
      <c r="BA35" s="180"/>
    </row>
    <row r="36" spans="1:53" ht="18" customHeight="1" thickTop="1" thickBot="1">
      <c r="A36" s="210" t="str">
        <f>+'AS400 JEMBATAN'!A36</f>
        <v>BC111-5AA01-2</v>
      </c>
      <c r="B36" s="200" t="str">
        <f>+'AS400 JEMBATAN'!B36</f>
        <v>BC111-5A883-2 0001</v>
      </c>
      <c r="C36" s="187" t="str">
        <f>'AS400 JEMBATAN'!C36</f>
        <v>BC 819W</v>
      </c>
      <c r="D36" s="175">
        <f>ROUNDUP(IF('AS400 JEMBATAN'!$J36&gt;='AS400 JEMBATAN'!$I36,'AS400 JEMBATAN'!D36,$J36/$D$4)+$L36,0)</f>
        <v>20</v>
      </c>
      <c r="E36" s="175">
        <f>ROUNDUP(IF('AS400 JEMBATAN'!$J36&gt;='AS400 JEMBATAN'!$I36,'AS400 JEMBATAN'!E36,$J36/$D$4)+$L36,0)</f>
        <v>0</v>
      </c>
      <c r="F36" s="175">
        <f>ROUNDUP(IF('AS400 JEMBATAN'!$J36&gt;='AS400 JEMBATAN'!$I36,'AS400 JEMBATAN'!F36,$J36/$D$4)+$L36,0)</f>
        <v>20</v>
      </c>
      <c r="G36" s="175">
        <f>ROUNDUP(IF('AS400 JEMBATAN'!$J36&gt;='AS400 JEMBATAN'!$I36,'AS400 JEMBATAN'!G36,$J36/$D$4)+$L36,0)</f>
        <v>0</v>
      </c>
      <c r="H36" s="175"/>
      <c r="I36" s="175">
        <f t="shared" si="2"/>
        <v>40</v>
      </c>
      <c r="J36" s="176">
        <f>'QTY '!Q36</f>
        <v>40</v>
      </c>
      <c r="K36" s="176">
        <f t="shared" si="3"/>
        <v>0</v>
      </c>
      <c r="L36" s="177"/>
      <c r="M36" s="175">
        <f>ROUNDUP(IF('AS400 JEMBATAN'!$S36&gt;='AS400 JEMBATAN'!$R36,'AS400 JEMBATAN'!M36,$S36/$M$4)+$U36,0)</f>
        <v>20</v>
      </c>
      <c r="N36" s="175">
        <f>ROUNDUP(IF('AS400 JEMBATAN'!$S36&gt;='AS400 JEMBATAN'!$R36,'AS400 JEMBATAN'!N36,$S36/$M$4)+$U36,0)</f>
        <v>0</v>
      </c>
      <c r="O36" s="175">
        <f>ROUNDUP(IF('AS400 JEMBATAN'!$S36&gt;='AS400 JEMBATAN'!$R36,'AS400 JEMBATAN'!O36,$S36/$M$4)+$U36,0)</f>
        <v>0</v>
      </c>
      <c r="P36" s="175">
        <f>ROUNDUP(IF('AS400 JEMBATAN'!$S36&gt;='AS400 JEMBATAN'!$R36,'AS400 JEMBATAN'!P36,$S36/$M$4)+$U36,0)</f>
        <v>0</v>
      </c>
      <c r="Q36" s="175">
        <f>ROUNDUP(IF('AS400 JEMBATAN'!$S36&gt;='AS400 JEMBATAN'!$R36,'AS400 JEMBATAN'!Q36,$S36/$M$4)+$U36,0)</f>
        <v>0</v>
      </c>
      <c r="R36" s="175">
        <f t="shared" si="4"/>
        <v>20</v>
      </c>
      <c r="S36" s="175">
        <f>'QTY '!T36</f>
        <v>20</v>
      </c>
      <c r="T36" s="176">
        <f t="shared" si="5"/>
        <v>0</v>
      </c>
      <c r="U36" s="178"/>
      <c r="V36" s="175">
        <f>ROUNDUP(IF('AS400 JEMBATAN'!$AB36&gt;='AS400 JEMBATAN'!$AA36,'AS400 JEMBATAN'!V36,$AB36/$V$4)+$AD36,0)</f>
        <v>0</v>
      </c>
      <c r="W36" s="175">
        <f>ROUNDUP(IF('AS400 JEMBATAN'!$AB36&gt;='AS400 JEMBATAN'!$AA36,'AS400 JEMBATAN'!W36,$AB36/$V$4)+$AD36,0)</f>
        <v>0</v>
      </c>
      <c r="X36" s="175">
        <f>ROUNDUP(IF('AS400 JEMBATAN'!$AB36&gt;='AS400 JEMBATAN'!$AA36,'AS400 JEMBATAN'!X36,$AB36/$V$4)+$AD36,0)</f>
        <v>0</v>
      </c>
      <c r="Y36" s="175">
        <f>ROUNDUP(IF('AS400 JEMBATAN'!$AB36&gt;='AS400 JEMBATAN'!$AA36,'AS400 JEMBATAN'!Y36,$AB36/$V$4)+$AD36,0)</f>
        <v>0</v>
      </c>
      <c r="Z36" s="175">
        <f>ROUNDUP(IF('AS400 JEMBATAN'!$AB36&gt;='AS400 JEMBATAN'!$AA36,'AS400 JEMBATAN'!Z36,$AB36/$V$4)+$AD36,0)</f>
        <v>0</v>
      </c>
      <c r="AA36" s="175">
        <f t="shared" si="6"/>
        <v>0</v>
      </c>
      <c r="AB36" s="175">
        <f>'QTY '!W36</f>
        <v>0</v>
      </c>
      <c r="AC36" s="175">
        <f t="shared" si="7"/>
        <v>0</v>
      </c>
      <c r="AD36" s="183"/>
      <c r="AE36" s="175">
        <f>ROUNDUP(IF('AS400 JEMBATAN'!$AK36&gt;='AS400 JEMBATAN'!$AJ36,'AS400 JEMBATAN'!AE36,$AK36/$AE$4)+$AM36,0)</f>
        <v>0</v>
      </c>
      <c r="AF36" s="175">
        <f>ROUNDUP(IF('AS400 JEMBATAN'!$AK36&gt;='AS400 JEMBATAN'!$AJ36,'AS400 JEMBATAN'!AF36,$AK36/$AE$4)+$AM36,0)</f>
        <v>0</v>
      </c>
      <c r="AG36" s="175">
        <f>ROUNDUP(IF('AS400 JEMBATAN'!$AK36&gt;='AS400 JEMBATAN'!$AJ36,'AS400 JEMBATAN'!AG36,$AK36/$AE$4)+$AM36,0)</f>
        <v>0</v>
      </c>
      <c r="AH36" s="175">
        <f>ROUNDUP(IF('AS400 JEMBATAN'!$AK36&gt;='AS400 JEMBATAN'!$AJ36,'AS400 JEMBATAN'!AH36,$AK36/$AE$4)+$AM36,0)</f>
        <v>0</v>
      </c>
      <c r="AI36" s="175"/>
      <c r="AJ36" s="175">
        <f t="shared" si="8"/>
        <v>0</v>
      </c>
      <c r="AK36" s="175">
        <f>'QTY '!Z36</f>
        <v>0</v>
      </c>
      <c r="AL36" s="175">
        <f t="shared" si="9"/>
        <v>0</v>
      </c>
      <c r="AM36" s="178"/>
      <c r="AN36" s="179">
        <f>+'AS400 JEMBATAN'!AN36</f>
        <v>0</v>
      </c>
      <c r="AO36" s="179">
        <f>+'AS400 JEMBATAN'!AO36</f>
        <v>0</v>
      </c>
      <c r="AP36" s="179">
        <f>+'AS400 JEMBATAN'!AP36</f>
        <v>0</v>
      </c>
      <c r="AQ36" s="179">
        <f>+'AS400 JEMBATAN'!AQ36</f>
        <v>0</v>
      </c>
      <c r="AR36" s="175"/>
      <c r="AS36" s="175">
        <f t="shared" si="10"/>
        <v>0</v>
      </c>
      <c r="AT36" s="175">
        <f>'QTY '!AC36</f>
        <v>0</v>
      </c>
      <c r="AU36" s="175">
        <f t="shared" si="1"/>
        <v>0</v>
      </c>
      <c r="AV36" s="175">
        <v>0</v>
      </c>
      <c r="AW36" s="180"/>
      <c r="AX36" s="180"/>
      <c r="AY36" s="180"/>
      <c r="AZ36" s="180"/>
      <c r="BA36" s="180"/>
    </row>
    <row r="37" spans="1:53" ht="18" customHeight="1" thickTop="1" thickBot="1">
      <c r="A37" s="210" t="str">
        <f>+'AS400 JEMBATAN'!A37</f>
        <v>BC111-5AE91-2</v>
      </c>
      <c r="B37" s="200" t="str">
        <f>+'AS400 JEMBATAN'!B37</f>
        <v>BC111-5AC33-2 0001</v>
      </c>
      <c r="C37" s="187" t="str">
        <f>'AS400 JEMBATAN'!C37</f>
        <v>BC 819W</v>
      </c>
      <c r="D37" s="175">
        <f>ROUNDUP(IF('AS400 JEMBATAN'!$J37&gt;='AS400 JEMBATAN'!$I37,'AS400 JEMBATAN'!D37,$J37/$D$4)+$L37,0)</f>
        <v>20</v>
      </c>
      <c r="E37" s="175">
        <f>ROUNDUP(IF('AS400 JEMBATAN'!$J37&gt;='AS400 JEMBATAN'!$I37,'AS400 JEMBATAN'!E37,$J37/$D$4)+$L37,0)</f>
        <v>0</v>
      </c>
      <c r="F37" s="175">
        <f>ROUNDUP(IF('AS400 JEMBATAN'!$J37&gt;='AS400 JEMBATAN'!$I37,'AS400 JEMBATAN'!F37,$J37/$D$4)+$L37,0)</f>
        <v>0</v>
      </c>
      <c r="G37" s="175">
        <f>ROUNDUP(IF('AS400 JEMBATAN'!$J37&gt;='AS400 JEMBATAN'!$I37,'AS400 JEMBATAN'!G37,$J37/$D$4)+$L37,0)</f>
        <v>0</v>
      </c>
      <c r="H37" s="175"/>
      <c r="I37" s="175">
        <f t="shared" si="2"/>
        <v>20</v>
      </c>
      <c r="J37" s="176">
        <f>'QTY '!Q37</f>
        <v>20</v>
      </c>
      <c r="K37" s="176">
        <f t="shared" si="3"/>
        <v>0</v>
      </c>
      <c r="L37" s="177"/>
      <c r="M37" s="175">
        <f>ROUNDUP(IF('AS400 JEMBATAN'!$S37&gt;='AS400 JEMBATAN'!$R37,'AS400 JEMBATAN'!M37,$S37/$M$4)+$U37,0)</f>
        <v>0</v>
      </c>
      <c r="N37" s="175">
        <f>ROUNDUP(IF('AS400 JEMBATAN'!$S37&gt;='AS400 JEMBATAN'!$R37,'AS400 JEMBATAN'!N37,$S37/$M$4)+$U37,0)</f>
        <v>20</v>
      </c>
      <c r="O37" s="175">
        <f>ROUNDUP(IF('AS400 JEMBATAN'!$S37&gt;='AS400 JEMBATAN'!$R37,'AS400 JEMBATAN'!O37,$S37/$M$4)+$U37,0)</f>
        <v>0</v>
      </c>
      <c r="P37" s="175">
        <f>ROUNDUP(IF('AS400 JEMBATAN'!$S37&gt;='AS400 JEMBATAN'!$R37,'AS400 JEMBATAN'!P37,$S37/$M$4)+$U37,0)</f>
        <v>0</v>
      </c>
      <c r="Q37" s="175">
        <f>ROUNDUP(IF('AS400 JEMBATAN'!$S37&gt;='AS400 JEMBATAN'!$R37,'AS400 JEMBATAN'!Q37,$S37/$M$4)+$U37,0)</f>
        <v>0</v>
      </c>
      <c r="R37" s="175">
        <f t="shared" si="4"/>
        <v>20</v>
      </c>
      <c r="S37" s="175">
        <f>'QTY '!T37</f>
        <v>20</v>
      </c>
      <c r="T37" s="176">
        <f t="shared" si="5"/>
        <v>0</v>
      </c>
      <c r="U37" s="178"/>
      <c r="V37" s="175">
        <f>ROUNDUP(IF('AS400 JEMBATAN'!$AB37&gt;='AS400 JEMBATAN'!$AA37,'AS400 JEMBATAN'!V37,$AB37/$V$4)+$AD37,0)</f>
        <v>0</v>
      </c>
      <c r="W37" s="175">
        <f>ROUNDUP(IF('AS400 JEMBATAN'!$AB37&gt;='AS400 JEMBATAN'!$AA37,'AS400 JEMBATAN'!W37,$AB37/$V$4)+$AD37,0)</f>
        <v>0</v>
      </c>
      <c r="X37" s="175">
        <f>ROUNDUP(IF('AS400 JEMBATAN'!$AB37&gt;='AS400 JEMBATAN'!$AA37,'AS400 JEMBATAN'!X37,$AB37/$V$4)+$AD37,0)</f>
        <v>0</v>
      </c>
      <c r="Y37" s="175">
        <f>ROUNDUP(IF('AS400 JEMBATAN'!$AB37&gt;='AS400 JEMBATAN'!$AA37,'AS400 JEMBATAN'!Y37,$AB37/$V$4)+$AD37,0)</f>
        <v>0</v>
      </c>
      <c r="Z37" s="175">
        <f>ROUNDUP(IF('AS400 JEMBATAN'!$AB37&gt;='AS400 JEMBATAN'!$AA37,'AS400 JEMBATAN'!Z37,$AB37/$V$4)+$AD37,0)</f>
        <v>0</v>
      </c>
      <c r="AA37" s="175">
        <f t="shared" si="6"/>
        <v>0</v>
      </c>
      <c r="AB37" s="175">
        <f>'QTY '!W37</f>
        <v>0</v>
      </c>
      <c r="AC37" s="175">
        <f t="shared" si="7"/>
        <v>0</v>
      </c>
      <c r="AD37" s="183"/>
      <c r="AE37" s="175">
        <f>ROUNDUP(IF('AS400 JEMBATAN'!$AK37&gt;='AS400 JEMBATAN'!$AJ37,'AS400 JEMBATAN'!AE37,$AK37/$AE$4)+$AM37,0)</f>
        <v>0</v>
      </c>
      <c r="AF37" s="175">
        <f>ROUNDUP(IF('AS400 JEMBATAN'!$AK37&gt;='AS400 JEMBATAN'!$AJ37,'AS400 JEMBATAN'!AF37,$AK37/$AE$4)+$AM37,0)</f>
        <v>0</v>
      </c>
      <c r="AG37" s="175">
        <f>ROUNDUP(IF('AS400 JEMBATAN'!$AK37&gt;='AS400 JEMBATAN'!$AJ37,'AS400 JEMBATAN'!AG37,$AK37/$AE$4)+$AM37,0)</f>
        <v>0</v>
      </c>
      <c r="AH37" s="175">
        <f>ROUNDUP(IF('AS400 JEMBATAN'!$AK37&gt;='AS400 JEMBATAN'!$AJ37,'AS400 JEMBATAN'!AH37,$AK37/$AE$4)+$AM37,0)</f>
        <v>0</v>
      </c>
      <c r="AI37" s="175"/>
      <c r="AJ37" s="175">
        <f t="shared" si="8"/>
        <v>0</v>
      </c>
      <c r="AK37" s="175">
        <f>'QTY '!Z37</f>
        <v>0</v>
      </c>
      <c r="AL37" s="175">
        <f t="shared" si="9"/>
        <v>0</v>
      </c>
      <c r="AM37" s="178"/>
      <c r="AN37" s="179">
        <f>+'AS400 JEMBATAN'!AN37</f>
        <v>0</v>
      </c>
      <c r="AO37" s="179">
        <f>+'AS400 JEMBATAN'!AO37</f>
        <v>0</v>
      </c>
      <c r="AP37" s="179">
        <f>+'AS400 JEMBATAN'!AP37</f>
        <v>0</v>
      </c>
      <c r="AQ37" s="179">
        <f>+'AS400 JEMBATAN'!AQ37</f>
        <v>0</v>
      </c>
      <c r="AR37" s="175"/>
      <c r="AS37" s="175">
        <f t="shared" si="10"/>
        <v>0</v>
      </c>
      <c r="AT37" s="175">
        <f>'QTY '!AC37</f>
        <v>0</v>
      </c>
      <c r="AU37" s="175">
        <f t="shared" si="1"/>
        <v>0</v>
      </c>
      <c r="AV37" s="175">
        <v>0</v>
      </c>
      <c r="AW37" s="180"/>
      <c r="AX37" s="180"/>
      <c r="AY37" s="180"/>
      <c r="AZ37" s="180"/>
      <c r="BA37" s="180"/>
    </row>
    <row r="38" spans="1:53" ht="18" customHeight="1" thickTop="1" thickBot="1">
      <c r="A38" s="210" t="str">
        <f>+'AS400 JEMBATAN'!A38</f>
        <v>BC111-5AA03-2</v>
      </c>
      <c r="B38" s="200" t="str">
        <f>+'AS400 JEMBATAN'!B38</f>
        <v>BC111-5AA03-2 0001</v>
      </c>
      <c r="C38" s="187" t="str">
        <f>'AS400 JEMBATAN'!C38</f>
        <v>BC 819W</v>
      </c>
      <c r="D38" s="175">
        <f>ROUNDUP(IF('AS400 JEMBATAN'!$J38&gt;='AS400 JEMBATAN'!$I38,'AS400 JEMBATAN'!D38,$J38/$D$4)+$L38,0)</f>
        <v>20</v>
      </c>
      <c r="E38" s="175">
        <f>ROUNDUP(IF('AS400 JEMBATAN'!$J38&gt;='AS400 JEMBATAN'!$I38,'AS400 JEMBATAN'!E38,$J38/$D$4)+$L38,0)</f>
        <v>0</v>
      </c>
      <c r="F38" s="175">
        <f>ROUNDUP(IF('AS400 JEMBATAN'!$J38&gt;='AS400 JEMBATAN'!$I38,'AS400 JEMBATAN'!F38,$J38/$D$4)+$L38,0)</f>
        <v>20</v>
      </c>
      <c r="G38" s="175">
        <f>ROUNDUP(IF('AS400 JEMBATAN'!$J38&gt;='AS400 JEMBATAN'!$I38,'AS400 JEMBATAN'!G38,$J38/$D$4)+$L38,0)</f>
        <v>0</v>
      </c>
      <c r="H38" s="175"/>
      <c r="I38" s="175">
        <f t="shared" si="2"/>
        <v>40</v>
      </c>
      <c r="J38" s="176">
        <f>'QTY '!Q38</f>
        <v>40</v>
      </c>
      <c r="K38" s="176">
        <f t="shared" si="3"/>
        <v>0</v>
      </c>
      <c r="L38" s="177"/>
      <c r="M38" s="175">
        <f>ROUNDUP(IF('AS400 JEMBATAN'!$S38&gt;='AS400 JEMBATAN'!$R38,'AS400 JEMBATAN'!M38,$S38/$M$4)+$U38,0)</f>
        <v>20</v>
      </c>
      <c r="N38" s="175">
        <f>ROUNDUP(IF('AS400 JEMBATAN'!$S38&gt;='AS400 JEMBATAN'!$R38,'AS400 JEMBATAN'!N38,$S38/$M$4)+$U38,0)</f>
        <v>0</v>
      </c>
      <c r="O38" s="175">
        <f>ROUNDUP(IF('AS400 JEMBATAN'!$S38&gt;='AS400 JEMBATAN'!$R38,'AS400 JEMBATAN'!O38,$S38/$M$4)+$U38,0)</f>
        <v>0</v>
      </c>
      <c r="P38" s="175">
        <f>ROUNDUP(IF('AS400 JEMBATAN'!$S38&gt;='AS400 JEMBATAN'!$R38,'AS400 JEMBATAN'!P38,$S38/$M$4)+$U38,0)</f>
        <v>0</v>
      </c>
      <c r="Q38" s="175">
        <f>ROUNDUP(IF('AS400 JEMBATAN'!$S38&gt;='AS400 JEMBATAN'!$R38,'AS400 JEMBATAN'!Q38,$S38/$M$4)+$U38,0)</f>
        <v>0</v>
      </c>
      <c r="R38" s="175">
        <f>SUM(M38:Q38)</f>
        <v>20</v>
      </c>
      <c r="S38" s="175">
        <f>'QTY '!T38</f>
        <v>20</v>
      </c>
      <c r="T38" s="176">
        <f t="shared" si="5"/>
        <v>0</v>
      </c>
      <c r="U38" s="178"/>
      <c r="V38" s="175">
        <f>ROUNDUP(IF('AS400 JEMBATAN'!$AB38&gt;='AS400 JEMBATAN'!$AA38,'AS400 JEMBATAN'!V38,$AB38/$V$4)+$AD38,0)</f>
        <v>0</v>
      </c>
      <c r="W38" s="175">
        <f>ROUNDUP(IF('AS400 JEMBATAN'!$AB38&gt;='AS400 JEMBATAN'!$AA38,'AS400 JEMBATAN'!W38,$AB38/$V$4)+$AD38,0)</f>
        <v>0</v>
      </c>
      <c r="X38" s="175">
        <f>ROUNDUP(IF('AS400 JEMBATAN'!$AB38&gt;='AS400 JEMBATAN'!$AA38,'AS400 JEMBATAN'!X38,$AB38/$V$4)+$AD38,0)</f>
        <v>0</v>
      </c>
      <c r="Y38" s="175">
        <f>ROUNDUP(IF('AS400 JEMBATAN'!$AB38&gt;='AS400 JEMBATAN'!$AA38,'AS400 JEMBATAN'!Y38,$AB38/$V$4)+$AD38,0)</f>
        <v>0</v>
      </c>
      <c r="Z38" s="175">
        <f>ROUNDUP(IF('AS400 JEMBATAN'!$AB38&gt;='AS400 JEMBATAN'!$AA38,'AS400 JEMBATAN'!Z38,$AB38/$V$4)+$AD38,0)</f>
        <v>0</v>
      </c>
      <c r="AA38" s="175">
        <f t="shared" si="6"/>
        <v>0</v>
      </c>
      <c r="AB38" s="175">
        <f>'QTY '!W38</f>
        <v>0</v>
      </c>
      <c r="AC38" s="175">
        <f t="shared" si="7"/>
        <v>0</v>
      </c>
      <c r="AD38" s="183"/>
      <c r="AE38" s="175">
        <f>ROUNDUP(IF('AS400 JEMBATAN'!$AK38&gt;='AS400 JEMBATAN'!$AJ38,'AS400 JEMBATAN'!AE38,$AK38/$AE$4)+$AM38,0)</f>
        <v>0</v>
      </c>
      <c r="AF38" s="175">
        <f>ROUNDUP(IF('AS400 JEMBATAN'!$AK38&gt;='AS400 JEMBATAN'!$AJ38,'AS400 JEMBATAN'!AF38,$AK38/$AE$4)+$AM38,0)</f>
        <v>0</v>
      </c>
      <c r="AG38" s="175">
        <f>ROUNDUP(IF('AS400 JEMBATAN'!$AK38&gt;='AS400 JEMBATAN'!$AJ38,'AS400 JEMBATAN'!AG38,$AK38/$AE$4)+$AM38,0)</f>
        <v>0</v>
      </c>
      <c r="AH38" s="175">
        <f>ROUNDUP(IF('AS400 JEMBATAN'!$AK38&gt;='AS400 JEMBATAN'!$AJ38,'AS400 JEMBATAN'!AH38,$AK38/$AE$4)+$AM38,0)</f>
        <v>0</v>
      </c>
      <c r="AI38" s="175"/>
      <c r="AJ38" s="175">
        <f t="shared" si="8"/>
        <v>0</v>
      </c>
      <c r="AK38" s="175">
        <f>'QTY '!Z38</f>
        <v>0</v>
      </c>
      <c r="AL38" s="175">
        <f t="shared" si="9"/>
        <v>0</v>
      </c>
      <c r="AM38" s="178"/>
      <c r="AN38" s="179">
        <f>+'AS400 JEMBATAN'!AN38</f>
        <v>0</v>
      </c>
      <c r="AO38" s="179">
        <f>+'AS400 JEMBATAN'!AO38</f>
        <v>0</v>
      </c>
      <c r="AP38" s="179">
        <f>+'AS400 JEMBATAN'!AP38</f>
        <v>0</v>
      </c>
      <c r="AQ38" s="179">
        <f>+'AS400 JEMBATAN'!AQ38</f>
        <v>0</v>
      </c>
      <c r="AR38" s="175"/>
      <c r="AS38" s="175">
        <f t="shared" si="10"/>
        <v>0</v>
      </c>
      <c r="AT38" s="175">
        <f>'QTY '!AC38</f>
        <v>0</v>
      </c>
      <c r="AU38" s="175">
        <f t="shared" si="1"/>
        <v>0</v>
      </c>
      <c r="AV38" s="175">
        <v>0</v>
      </c>
      <c r="AW38" s="180"/>
      <c r="AX38" s="180"/>
      <c r="AY38" s="180"/>
      <c r="AZ38" s="180"/>
      <c r="BA38" s="180"/>
    </row>
    <row r="39" spans="1:53" ht="18" customHeight="1" thickTop="1" thickBot="1">
      <c r="A39" s="210" t="str">
        <f>+'AS400 JEMBATAN'!A39</f>
        <v>BC111-5AA02-2</v>
      </c>
      <c r="B39" s="200" t="str">
        <f>+'AS400 JEMBATAN'!B39</f>
        <v>BC111-5AA02-2 A 0002</v>
      </c>
      <c r="C39" s="187" t="str">
        <f>'AS400 JEMBATAN'!C39</f>
        <v>BC 819W</v>
      </c>
      <c r="D39" s="175">
        <f>ROUNDUP(IF('AS400 JEMBATAN'!$J39&gt;='AS400 JEMBATAN'!$I39,'AS400 JEMBATAN'!D39,$J39/$D$4)+$L39,0)</f>
        <v>0</v>
      </c>
      <c r="E39" s="175">
        <f>ROUNDUP(IF('AS400 JEMBATAN'!$J39&gt;='AS400 JEMBATAN'!$I39,'AS400 JEMBATAN'!E39,$J39/$D$4)+$L39,0)</f>
        <v>0</v>
      </c>
      <c r="F39" s="175">
        <f>ROUNDUP(IF('AS400 JEMBATAN'!$J39&gt;='AS400 JEMBATAN'!$I39,'AS400 JEMBATAN'!F39,$J39/$D$4)+$L39,0)</f>
        <v>0</v>
      </c>
      <c r="G39" s="175">
        <f>ROUNDUP(IF('AS400 JEMBATAN'!$J39&gt;='AS400 JEMBATAN'!$I39,'AS400 JEMBATAN'!G39,$J39/$D$4)+$L39,0)</f>
        <v>0</v>
      </c>
      <c r="H39" s="175"/>
      <c r="I39" s="175">
        <f t="shared" si="2"/>
        <v>0</v>
      </c>
      <c r="J39" s="176">
        <f>'QTY '!Q39</f>
        <v>0</v>
      </c>
      <c r="K39" s="176">
        <f t="shared" si="3"/>
        <v>0</v>
      </c>
      <c r="L39" s="177"/>
      <c r="M39" s="175">
        <f>ROUNDUP(IF('AS400 JEMBATAN'!$S39&gt;='AS400 JEMBATAN'!$R39,'AS400 JEMBATAN'!M39,$S39/$M$4)+$U39,0)</f>
        <v>0</v>
      </c>
      <c r="N39" s="175">
        <f>ROUNDUP(IF('AS400 JEMBATAN'!$S39&gt;='AS400 JEMBATAN'!$R39,'AS400 JEMBATAN'!N39,$S39/$M$4)+$U39,0)</f>
        <v>0</v>
      </c>
      <c r="O39" s="175">
        <f>ROUNDUP(IF('AS400 JEMBATAN'!$S39&gt;='AS400 JEMBATAN'!$R39,'AS400 JEMBATAN'!O39,$S39/$M$4)+$U39,0)</f>
        <v>0</v>
      </c>
      <c r="P39" s="175">
        <f>ROUNDUP(IF('AS400 JEMBATAN'!$S39&gt;='AS400 JEMBATAN'!$R39,'AS400 JEMBATAN'!P39,$S39/$M$4)+$U39,0)</f>
        <v>0</v>
      </c>
      <c r="Q39" s="175">
        <f>ROUNDUP(IF('AS400 JEMBATAN'!$S39&gt;='AS400 JEMBATAN'!$R39,'AS400 JEMBATAN'!Q39,$S39/$M$4)+$U39,0)</f>
        <v>0</v>
      </c>
      <c r="R39" s="175">
        <f t="shared" si="4"/>
        <v>0</v>
      </c>
      <c r="S39" s="175">
        <f>'QTY '!T39</f>
        <v>0</v>
      </c>
      <c r="T39" s="176">
        <f t="shared" si="5"/>
        <v>0</v>
      </c>
      <c r="U39" s="178"/>
      <c r="V39" s="175">
        <f>ROUNDUP(IF('AS400 JEMBATAN'!$AB39&gt;='AS400 JEMBATAN'!$AA39,'AS400 JEMBATAN'!V39,$AB39/$V$4)+$AD39,0)</f>
        <v>0</v>
      </c>
      <c r="W39" s="175">
        <f>ROUNDUP(IF('AS400 JEMBATAN'!$AB39&gt;='AS400 JEMBATAN'!$AA39,'AS400 JEMBATAN'!W39,$AB39/$V$4)+$AD39,0)</f>
        <v>0</v>
      </c>
      <c r="X39" s="175">
        <f>ROUNDUP(IF('AS400 JEMBATAN'!$AB39&gt;='AS400 JEMBATAN'!$AA39,'AS400 JEMBATAN'!X39,$AB39/$V$4)+$AD39,0)</f>
        <v>0</v>
      </c>
      <c r="Y39" s="175">
        <f>ROUNDUP(IF('AS400 JEMBATAN'!$AB39&gt;='AS400 JEMBATAN'!$AA39,'AS400 JEMBATAN'!Y39,$AB39/$V$4)+$AD39,0)</f>
        <v>0</v>
      </c>
      <c r="Z39" s="175">
        <f>ROUNDUP(IF('AS400 JEMBATAN'!$AB39&gt;='AS400 JEMBATAN'!$AA39,'AS400 JEMBATAN'!Z39,$AB39/$V$4)+$AD39,0)</f>
        <v>0</v>
      </c>
      <c r="AA39" s="175">
        <f t="shared" si="6"/>
        <v>0</v>
      </c>
      <c r="AB39" s="175">
        <f>'QTY '!W39</f>
        <v>0</v>
      </c>
      <c r="AC39" s="175">
        <f t="shared" si="7"/>
        <v>0</v>
      </c>
      <c r="AD39" s="183"/>
      <c r="AE39" s="175">
        <f>ROUNDUP(IF('AS400 JEMBATAN'!$AK39&gt;='AS400 JEMBATAN'!$AJ39,'AS400 JEMBATAN'!AE39,$AK39/$AE$4)+$AM39,0)</f>
        <v>0</v>
      </c>
      <c r="AF39" s="175">
        <f>ROUNDUP(IF('AS400 JEMBATAN'!$AK39&gt;='AS400 JEMBATAN'!$AJ39,'AS400 JEMBATAN'!AF39,$AK39/$AE$4)+$AM39,0)</f>
        <v>0</v>
      </c>
      <c r="AG39" s="175">
        <f>ROUNDUP(IF('AS400 JEMBATAN'!$AK39&gt;='AS400 JEMBATAN'!$AJ39,'AS400 JEMBATAN'!AG39,$AK39/$AE$4)+$AM39,0)</f>
        <v>0</v>
      </c>
      <c r="AH39" s="175">
        <f>ROUNDUP(IF('AS400 JEMBATAN'!$AK39&gt;='AS400 JEMBATAN'!$AJ39,'AS400 JEMBATAN'!AH39,$AK39/$AE$4)+$AM39,0)</f>
        <v>0</v>
      </c>
      <c r="AI39" s="175"/>
      <c r="AJ39" s="175">
        <f t="shared" si="8"/>
        <v>0</v>
      </c>
      <c r="AK39" s="175">
        <f>'QTY '!Z39</f>
        <v>0</v>
      </c>
      <c r="AL39" s="175">
        <f t="shared" si="9"/>
        <v>0</v>
      </c>
      <c r="AM39" s="178"/>
      <c r="AN39" s="179">
        <f>+'AS400 JEMBATAN'!AN39</f>
        <v>0</v>
      </c>
      <c r="AO39" s="179">
        <f>+'AS400 JEMBATAN'!AO39</f>
        <v>0</v>
      </c>
      <c r="AP39" s="179">
        <f>+'AS400 JEMBATAN'!AP39</f>
        <v>0</v>
      </c>
      <c r="AQ39" s="179">
        <f>+'AS400 JEMBATAN'!AQ39</f>
        <v>0</v>
      </c>
      <c r="AR39" s="175"/>
      <c r="AS39" s="175">
        <f t="shared" si="10"/>
        <v>0</v>
      </c>
      <c r="AT39" s="175">
        <f>'QTY '!AC39</f>
        <v>0</v>
      </c>
      <c r="AU39" s="175">
        <f t="shared" si="1"/>
        <v>0</v>
      </c>
      <c r="AV39" s="175">
        <v>0</v>
      </c>
      <c r="AW39" s="180"/>
      <c r="AX39" s="180"/>
      <c r="AY39" s="180"/>
      <c r="AZ39" s="180"/>
      <c r="BA39" s="180"/>
    </row>
    <row r="40" spans="1:53" ht="18" customHeight="1" thickTop="1" thickBot="1">
      <c r="A40" s="210" t="str">
        <f>+'AS400 JEMBATAN'!A40</f>
        <v>BC111-5A841-2</v>
      </c>
      <c r="B40" s="200" t="str">
        <f>+'AS400 JEMBATAN'!B40</f>
        <v>BC111-5A841-2 A 0002</v>
      </c>
      <c r="C40" s="187" t="str">
        <f>'AS400 JEMBATAN'!C40</f>
        <v>BC 819W</v>
      </c>
      <c r="D40" s="175">
        <f>ROUNDUP(IF('AS400 JEMBATAN'!$J40&gt;='AS400 JEMBATAN'!$I40,'AS400 JEMBATAN'!D40,$J40/$D$4)+$L40,0)</f>
        <v>0</v>
      </c>
      <c r="E40" s="175">
        <f>ROUNDUP(IF('AS400 JEMBATAN'!$J40&gt;='AS400 JEMBATAN'!$I40,'AS400 JEMBATAN'!E40,$J40/$D$4)+$L40,0)</f>
        <v>0</v>
      </c>
      <c r="F40" s="175">
        <f>ROUNDUP(IF('AS400 JEMBATAN'!$J40&gt;='AS400 JEMBATAN'!$I40,'AS400 JEMBATAN'!F40,$J40/$D$4)+$L40,0)</f>
        <v>0</v>
      </c>
      <c r="G40" s="175">
        <f>ROUNDUP(IF('AS400 JEMBATAN'!$J40&gt;='AS400 JEMBATAN'!$I40,'AS400 JEMBATAN'!G40,$J40/$D$4)+$L40,0)</f>
        <v>0</v>
      </c>
      <c r="H40" s="175"/>
      <c r="I40" s="175">
        <f t="shared" si="2"/>
        <v>0</v>
      </c>
      <c r="J40" s="176">
        <f>'QTY '!Q40</f>
        <v>0</v>
      </c>
      <c r="K40" s="176">
        <f t="shared" si="3"/>
        <v>0</v>
      </c>
      <c r="L40" s="177"/>
      <c r="M40" s="175">
        <f>ROUNDUP(IF('AS400 JEMBATAN'!$S40&gt;='AS400 JEMBATAN'!$R40,'AS400 JEMBATAN'!M40,$S40/$M$4)+$U40,0)</f>
        <v>0</v>
      </c>
      <c r="N40" s="175">
        <f>ROUNDUP(IF('AS400 JEMBATAN'!$S40&gt;='AS400 JEMBATAN'!$R40,'AS400 JEMBATAN'!N40,$S40/$M$4)+$U40,0)</f>
        <v>0</v>
      </c>
      <c r="O40" s="175">
        <f>ROUNDUP(IF('AS400 JEMBATAN'!$S40&gt;='AS400 JEMBATAN'!$R40,'AS400 JEMBATAN'!O40,$S40/$M$4)+$U40,0)</f>
        <v>0</v>
      </c>
      <c r="P40" s="175">
        <f>ROUNDUP(IF('AS400 JEMBATAN'!$S40&gt;='AS400 JEMBATAN'!$R40,'AS400 JEMBATAN'!P40,$S40/$M$4)+$U40,0)</f>
        <v>0</v>
      </c>
      <c r="Q40" s="175">
        <f>ROUNDUP(IF('AS400 JEMBATAN'!$S40&gt;='AS400 JEMBATAN'!$R40,'AS400 JEMBATAN'!Q40,$S40/$M$4)+$U40,0)</f>
        <v>0</v>
      </c>
      <c r="R40" s="175">
        <f t="shared" si="4"/>
        <v>0</v>
      </c>
      <c r="S40" s="175">
        <f>'QTY '!T40</f>
        <v>0</v>
      </c>
      <c r="T40" s="176">
        <f t="shared" si="5"/>
        <v>0</v>
      </c>
      <c r="U40" s="178"/>
      <c r="V40" s="175">
        <f>ROUNDUP(IF('AS400 JEMBATAN'!$AB40&gt;='AS400 JEMBATAN'!$AA40,'AS400 JEMBATAN'!V40,$AB40/$V$4)+$AD40,0)</f>
        <v>0</v>
      </c>
      <c r="W40" s="175">
        <f>ROUNDUP(IF('AS400 JEMBATAN'!$AB40&gt;='AS400 JEMBATAN'!$AA40,'AS400 JEMBATAN'!W40,$AB40/$V$4)+$AD40,0)</f>
        <v>0</v>
      </c>
      <c r="X40" s="175">
        <f>ROUNDUP(IF('AS400 JEMBATAN'!$AB40&gt;='AS400 JEMBATAN'!$AA40,'AS400 JEMBATAN'!X40,$AB40/$V$4)+$AD40,0)</f>
        <v>0</v>
      </c>
      <c r="Y40" s="175">
        <f>ROUNDUP(IF('AS400 JEMBATAN'!$AB40&gt;='AS400 JEMBATAN'!$AA40,'AS400 JEMBATAN'!Y40,$AB40/$V$4)+$AD40,0)</f>
        <v>0</v>
      </c>
      <c r="Z40" s="175">
        <f>ROUNDUP(IF('AS400 JEMBATAN'!$AB40&gt;='AS400 JEMBATAN'!$AA40,'AS400 JEMBATAN'!Z40,$AB40/$V$4)+$AD40,0)</f>
        <v>0</v>
      </c>
      <c r="AA40" s="175">
        <f t="shared" si="6"/>
        <v>0</v>
      </c>
      <c r="AB40" s="175">
        <f>'QTY '!W40</f>
        <v>0</v>
      </c>
      <c r="AC40" s="175">
        <f t="shared" si="7"/>
        <v>0</v>
      </c>
      <c r="AD40" s="183"/>
      <c r="AE40" s="175">
        <f>ROUNDUP(IF('AS400 JEMBATAN'!$AK40&gt;='AS400 JEMBATAN'!$AJ40,'AS400 JEMBATAN'!AE40,$AK40/$AE$4)+$AM40,0)</f>
        <v>0</v>
      </c>
      <c r="AF40" s="175">
        <f>ROUNDUP(IF('AS400 JEMBATAN'!$AK40&gt;='AS400 JEMBATAN'!$AJ40,'AS400 JEMBATAN'!AF40,$AK40/$AE$4)+$AM40,0)</f>
        <v>0</v>
      </c>
      <c r="AG40" s="175">
        <f>ROUNDUP(IF('AS400 JEMBATAN'!$AK40&gt;='AS400 JEMBATAN'!$AJ40,'AS400 JEMBATAN'!AG40,$AK40/$AE$4)+$AM40,0)</f>
        <v>0</v>
      </c>
      <c r="AH40" s="175">
        <f>ROUNDUP(IF('AS400 JEMBATAN'!$AK40&gt;='AS400 JEMBATAN'!$AJ40,'AS400 JEMBATAN'!AH40,$AK40/$AE$4)+$AM40,0)</f>
        <v>0</v>
      </c>
      <c r="AI40" s="175"/>
      <c r="AJ40" s="175">
        <f t="shared" si="8"/>
        <v>0</v>
      </c>
      <c r="AK40" s="175">
        <f>'QTY '!Z40</f>
        <v>0</v>
      </c>
      <c r="AL40" s="175">
        <f t="shared" si="9"/>
        <v>0</v>
      </c>
      <c r="AM40" s="178"/>
      <c r="AN40" s="179">
        <f>+'AS400 JEMBATAN'!AN40</f>
        <v>0</v>
      </c>
      <c r="AO40" s="179">
        <f>+'AS400 JEMBATAN'!AO40</f>
        <v>0</v>
      </c>
      <c r="AP40" s="179">
        <f>+'AS400 JEMBATAN'!AP40</f>
        <v>0</v>
      </c>
      <c r="AQ40" s="179">
        <f>+'AS400 JEMBATAN'!AQ40</f>
        <v>0</v>
      </c>
      <c r="AR40" s="175"/>
      <c r="AS40" s="175">
        <f t="shared" si="10"/>
        <v>0</v>
      </c>
      <c r="AT40" s="175">
        <f>'QTY '!AC40</f>
        <v>0</v>
      </c>
      <c r="AU40" s="175">
        <f t="shared" si="1"/>
        <v>0</v>
      </c>
      <c r="AV40" s="175">
        <v>0</v>
      </c>
      <c r="AW40" s="180"/>
      <c r="AX40" s="180"/>
      <c r="AY40" s="180"/>
      <c r="AZ40" s="180"/>
      <c r="BA40" s="180"/>
    </row>
    <row r="41" spans="1:53" ht="18" customHeight="1" thickTop="1" thickBot="1">
      <c r="A41" s="210" t="str">
        <f>+'AS400 JEMBATAN'!A41</f>
        <v>BC111-5A881-2</v>
      </c>
      <c r="B41" s="200" t="str">
        <f>+'AS400 JEMBATAN'!B41</f>
        <v>BC111-5A881-2 A 0002</v>
      </c>
      <c r="C41" s="187" t="str">
        <f>'AS400 JEMBATAN'!C41</f>
        <v>BC 819W</v>
      </c>
      <c r="D41" s="175">
        <f>ROUNDUP(IF('AS400 JEMBATAN'!$J41&gt;='AS400 JEMBATAN'!$I41,'AS400 JEMBATAN'!D41,$J41/$D$4)+$L41,0)</f>
        <v>0</v>
      </c>
      <c r="E41" s="175">
        <f>ROUNDUP(IF('AS400 JEMBATAN'!$J41&gt;='AS400 JEMBATAN'!$I41,'AS400 JEMBATAN'!E41,$J41/$D$4)+$L41,0)</f>
        <v>0</v>
      </c>
      <c r="F41" s="175">
        <f>ROUNDUP(IF('AS400 JEMBATAN'!$J41&gt;='AS400 JEMBATAN'!$I41,'AS400 JEMBATAN'!F41,$J41/$D$4)+$L41,0)</f>
        <v>0</v>
      </c>
      <c r="G41" s="175">
        <f>ROUNDUP(IF('AS400 JEMBATAN'!$J41&gt;='AS400 JEMBATAN'!$I41,'AS400 JEMBATAN'!G41,$J41/$D$4)+$L41,0)</f>
        <v>0</v>
      </c>
      <c r="H41" s="175"/>
      <c r="I41" s="175">
        <f t="shared" si="2"/>
        <v>0</v>
      </c>
      <c r="J41" s="176">
        <f>'QTY '!Q41</f>
        <v>0</v>
      </c>
      <c r="K41" s="176">
        <f t="shared" si="3"/>
        <v>0</v>
      </c>
      <c r="L41" s="177"/>
      <c r="M41" s="175">
        <f>ROUNDUP(IF('AS400 JEMBATAN'!$S41&gt;='AS400 JEMBATAN'!$R41,'AS400 JEMBATAN'!M41,$S41/$M$4)+$U41,0)</f>
        <v>0</v>
      </c>
      <c r="N41" s="175">
        <f>ROUNDUP(IF('AS400 JEMBATAN'!$S41&gt;='AS400 JEMBATAN'!$R41,'AS400 JEMBATAN'!N41,$S41/$M$4)+$U41,0)</f>
        <v>0</v>
      </c>
      <c r="O41" s="175">
        <f>ROUNDUP(IF('AS400 JEMBATAN'!$S41&gt;='AS400 JEMBATAN'!$R41,'AS400 JEMBATAN'!O41,$S41/$M$4)+$U41,0)</f>
        <v>0</v>
      </c>
      <c r="P41" s="175">
        <f>ROUNDUP(IF('AS400 JEMBATAN'!$S41&gt;='AS400 JEMBATAN'!$R41,'AS400 JEMBATAN'!P41,$S41/$M$4)+$U41,0)</f>
        <v>0</v>
      </c>
      <c r="Q41" s="175">
        <f>ROUNDUP(IF('AS400 JEMBATAN'!$S41&gt;='AS400 JEMBATAN'!$R41,'AS400 JEMBATAN'!Q41,$S41/$M$4)+$U41,0)</f>
        <v>0</v>
      </c>
      <c r="R41" s="175">
        <f t="shared" si="4"/>
        <v>0</v>
      </c>
      <c r="S41" s="175">
        <f>'QTY '!T41</f>
        <v>0</v>
      </c>
      <c r="T41" s="176">
        <f t="shared" si="5"/>
        <v>0</v>
      </c>
      <c r="U41" s="178"/>
      <c r="V41" s="175">
        <f>ROUNDUP(IF('AS400 JEMBATAN'!$AB41&gt;='AS400 JEMBATAN'!$AA41,'AS400 JEMBATAN'!V41,$AB41/$V$4)+$AD41,0)</f>
        <v>0</v>
      </c>
      <c r="W41" s="175">
        <f>ROUNDUP(IF('AS400 JEMBATAN'!$AB41&gt;='AS400 JEMBATAN'!$AA41,'AS400 JEMBATAN'!W41,$AB41/$V$4)+$AD41,0)</f>
        <v>0</v>
      </c>
      <c r="X41" s="175">
        <f>ROUNDUP(IF('AS400 JEMBATAN'!$AB41&gt;='AS400 JEMBATAN'!$AA41,'AS400 JEMBATAN'!X41,$AB41/$V$4)+$AD41,0)</f>
        <v>0</v>
      </c>
      <c r="Y41" s="175">
        <f>ROUNDUP(IF('AS400 JEMBATAN'!$AB41&gt;='AS400 JEMBATAN'!$AA41,'AS400 JEMBATAN'!Y41,$AB41/$V$4)+$AD41,0)</f>
        <v>0</v>
      </c>
      <c r="Z41" s="175">
        <f>ROUNDUP(IF('AS400 JEMBATAN'!$AB41&gt;='AS400 JEMBATAN'!$AA41,'AS400 JEMBATAN'!Z41,$AB41/$V$4)+$AD41,0)</f>
        <v>0</v>
      </c>
      <c r="AA41" s="175">
        <f t="shared" si="6"/>
        <v>0</v>
      </c>
      <c r="AB41" s="175">
        <f>'QTY '!W41</f>
        <v>0</v>
      </c>
      <c r="AC41" s="175">
        <f t="shared" si="7"/>
        <v>0</v>
      </c>
      <c r="AD41" s="183"/>
      <c r="AE41" s="175">
        <f>ROUNDUP(IF('AS400 JEMBATAN'!$AK41&gt;='AS400 JEMBATAN'!$AJ41,'AS400 JEMBATAN'!AE41,$AK41/$AE$4)+$AM41,0)</f>
        <v>0</v>
      </c>
      <c r="AF41" s="175">
        <f>ROUNDUP(IF('AS400 JEMBATAN'!$AK41&gt;='AS400 JEMBATAN'!$AJ41,'AS400 JEMBATAN'!AF41,$AK41/$AE$4)+$AM41,0)</f>
        <v>0</v>
      </c>
      <c r="AG41" s="175">
        <f>ROUNDUP(IF('AS400 JEMBATAN'!$AK41&gt;='AS400 JEMBATAN'!$AJ41,'AS400 JEMBATAN'!AG41,$AK41/$AE$4)+$AM41,0)</f>
        <v>0</v>
      </c>
      <c r="AH41" s="175">
        <f>ROUNDUP(IF('AS400 JEMBATAN'!$AK41&gt;='AS400 JEMBATAN'!$AJ41,'AS400 JEMBATAN'!AH41,$AK41/$AE$4)+$AM41,0)</f>
        <v>0</v>
      </c>
      <c r="AI41" s="175"/>
      <c r="AJ41" s="175">
        <f t="shared" si="8"/>
        <v>0</v>
      </c>
      <c r="AK41" s="175">
        <f>'QTY '!Z41</f>
        <v>0</v>
      </c>
      <c r="AL41" s="175">
        <f t="shared" si="9"/>
        <v>0</v>
      </c>
      <c r="AM41" s="178"/>
      <c r="AN41" s="179">
        <f>+'AS400 JEMBATAN'!AN41</f>
        <v>0</v>
      </c>
      <c r="AO41" s="179">
        <f>+'AS400 JEMBATAN'!AO41</f>
        <v>0</v>
      </c>
      <c r="AP41" s="179">
        <f>+'AS400 JEMBATAN'!AP41</f>
        <v>0</v>
      </c>
      <c r="AQ41" s="179">
        <f>+'AS400 JEMBATAN'!AQ41</f>
        <v>0</v>
      </c>
      <c r="AR41" s="175"/>
      <c r="AS41" s="175">
        <f t="shared" si="10"/>
        <v>0</v>
      </c>
      <c r="AT41" s="175">
        <f>'QTY '!AC41</f>
        <v>0</v>
      </c>
      <c r="AU41" s="175">
        <f t="shared" si="1"/>
        <v>0</v>
      </c>
      <c r="AV41" s="175">
        <v>0</v>
      </c>
      <c r="AW41" s="180"/>
      <c r="AX41" s="180"/>
      <c r="AY41" s="180"/>
      <c r="AZ41" s="180"/>
      <c r="BA41" s="180"/>
    </row>
    <row r="42" spans="1:53" ht="18" customHeight="1" thickTop="1" thickBot="1">
      <c r="A42" s="210" t="str">
        <f>+'AS400 JEMBATAN'!A42</f>
        <v>BC111-1HQ61-1</v>
      </c>
      <c r="B42" s="200" t="str">
        <f>+'AS400 JEMBATAN'!B42</f>
        <v>BC111-1HQ61-1 A 1001</v>
      </c>
      <c r="C42" s="187" t="str">
        <f>'AS400 JEMBATAN'!C42</f>
        <v>BC 891W</v>
      </c>
      <c r="D42" s="175">
        <f>ROUNDUP(IF('AS400 JEMBATAN'!$J42&gt;='AS400 JEMBATAN'!$I42,'AS400 JEMBATAN'!D42,$J42/$D$4)+$L42,0)</f>
        <v>1200</v>
      </c>
      <c r="E42" s="175">
        <f>ROUNDUP(IF('AS400 JEMBATAN'!$J42&gt;='AS400 JEMBATAN'!$I42,'AS400 JEMBATAN'!E42,$J42/$D$4)+$L42,0)</f>
        <v>1240</v>
      </c>
      <c r="F42" s="175">
        <f>ROUNDUP(IF('AS400 JEMBATAN'!$J42&gt;='AS400 JEMBATAN'!$I42,'AS400 JEMBATAN'!F42,$J42/$D$4)+$L42,0)</f>
        <v>1440</v>
      </c>
      <c r="G42" s="175">
        <f>ROUNDUP(IF('AS400 JEMBATAN'!$J42&gt;='AS400 JEMBATAN'!$I42,'AS400 JEMBATAN'!G42,$J42/$D$4)+$L42,0)</f>
        <v>1440</v>
      </c>
      <c r="H42" s="175"/>
      <c r="I42" s="175">
        <f t="shared" si="2"/>
        <v>5320</v>
      </c>
      <c r="J42" s="176">
        <f>'QTY '!Q42</f>
        <v>5320</v>
      </c>
      <c r="K42" s="176">
        <f t="shared" si="3"/>
        <v>0</v>
      </c>
      <c r="L42" s="177"/>
      <c r="M42" s="175">
        <f>ROUNDUP(IF('AS400 JEMBATAN'!$S42&gt;='AS400 JEMBATAN'!$R42,'AS400 JEMBATAN'!M42,$S42/$M$4)+$U42,0)</f>
        <v>1680</v>
      </c>
      <c r="N42" s="175">
        <f>ROUNDUP(IF('AS400 JEMBATAN'!$S42&gt;='AS400 JEMBATAN'!$R42,'AS400 JEMBATAN'!N42,$S42/$M$4)+$U42,0)</f>
        <v>1120</v>
      </c>
      <c r="O42" s="175">
        <f>ROUNDUP(IF('AS400 JEMBATAN'!$S42&gt;='AS400 JEMBATAN'!$R42,'AS400 JEMBATAN'!O42,$S42/$M$4)+$U42,0)</f>
        <v>0</v>
      </c>
      <c r="P42" s="175">
        <f>ROUNDUP(IF('AS400 JEMBATAN'!$S42&gt;='AS400 JEMBATAN'!$R42,'AS400 JEMBATAN'!P42,$S42/$M$4)+$U42,0)</f>
        <v>1640</v>
      </c>
      <c r="Q42" s="175">
        <f>ROUNDUP(IF('AS400 JEMBATAN'!$S42&gt;='AS400 JEMBATAN'!$R42,'AS400 JEMBATAN'!Q42,$S42/$M$4)+$U42,0)</f>
        <v>0</v>
      </c>
      <c r="R42" s="175">
        <f t="shared" si="4"/>
        <v>4440</v>
      </c>
      <c r="S42" s="175">
        <f>'QTY '!T42</f>
        <v>4440</v>
      </c>
      <c r="T42" s="176">
        <f t="shared" si="5"/>
        <v>0</v>
      </c>
      <c r="U42" s="178"/>
      <c r="V42" s="175">
        <f>ROUNDUP(IF('AS400 JEMBATAN'!$AB42&gt;='AS400 JEMBATAN'!$AA42,'AS400 JEMBATAN'!V42,$AB42/$V$4)+$AD42,0)</f>
        <v>1360</v>
      </c>
      <c r="W42" s="175">
        <f>ROUNDUP(IF('AS400 JEMBATAN'!$AB42&gt;='AS400 JEMBATAN'!$AA42,'AS400 JEMBATAN'!W42,$AB42/$V$4)+$AD42,0)</f>
        <v>1080</v>
      </c>
      <c r="X42" s="175">
        <f>ROUNDUP(IF('AS400 JEMBATAN'!$AB42&gt;='AS400 JEMBATAN'!$AA42,'AS400 JEMBATAN'!X42,$AB42/$V$4)+$AD42,0)</f>
        <v>1360</v>
      </c>
      <c r="Y42" s="175">
        <f>ROUNDUP(IF('AS400 JEMBATAN'!$AB42&gt;='AS400 JEMBATAN'!$AA42,'AS400 JEMBATAN'!Y42,$AB42/$V$4)+$AD42,0)</f>
        <v>1480</v>
      </c>
      <c r="Z42" s="175">
        <f>ROUNDUP(IF('AS400 JEMBATAN'!$AB42&gt;='AS400 JEMBATAN'!$AA42,'AS400 JEMBATAN'!Z42,$AB42/$V$4)+$AD42,0)</f>
        <v>0</v>
      </c>
      <c r="AA42" s="175">
        <f t="shared" si="6"/>
        <v>5280</v>
      </c>
      <c r="AB42" s="175">
        <f>'QTY '!W42</f>
        <v>5280</v>
      </c>
      <c r="AC42" s="175">
        <f t="shared" si="7"/>
        <v>0</v>
      </c>
      <c r="AD42" s="183"/>
      <c r="AE42" s="175">
        <f>ROUNDUP(IF('AS400 JEMBATAN'!$AK42&gt;='AS400 JEMBATAN'!$AJ42,'AS400 JEMBATAN'!AE42,$AK42/$AE$4)+$AM42,0)</f>
        <v>1570</v>
      </c>
      <c r="AF42" s="175">
        <f>ROUNDUP(IF('AS400 JEMBATAN'!$AK42&gt;='AS400 JEMBATAN'!$AJ42,'AS400 JEMBATAN'!AF42,$AK42/$AE$4)+$AM42,0)</f>
        <v>1570</v>
      </c>
      <c r="AG42" s="175">
        <f>ROUNDUP(IF('AS400 JEMBATAN'!$AK42&gt;='AS400 JEMBATAN'!$AJ42,'AS400 JEMBATAN'!AG42,$AK42/$AE$4)+$AM42,0)</f>
        <v>1570</v>
      </c>
      <c r="AH42" s="175">
        <f>ROUNDUP(IF('AS400 JEMBATAN'!$AK42&gt;='AS400 JEMBATAN'!$AJ42,'AS400 JEMBATAN'!AH42,$AK42/$AE$4)+$AM42,0)</f>
        <v>1570</v>
      </c>
      <c r="AI42" s="175"/>
      <c r="AJ42" s="175">
        <f t="shared" si="8"/>
        <v>6280</v>
      </c>
      <c r="AK42" s="175">
        <f>'QTY '!Z42</f>
        <v>6280</v>
      </c>
      <c r="AL42" s="175">
        <f t="shared" si="9"/>
        <v>0</v>
      </c>
      <c r="AM42" s="178"/>
      <c r="AN42" s="179">
        <f>+'AS400 JEMBATAN'!AN42</f>
        <v>1570</v>
      </c>
      <c r="AO42" s="179">
        <f>+'AS400 JEMBATAN'!AO42</f>
        <v>1570</v>
      </c>
      <c r="AP42" s="179">
        <f>+'AS400 JEMBATAN'!AP42</f>
        <v>1570</v>
      </c>
      <c r="AQ42" s="179">
        <f>+'AS400 JEMBATAN'!AQ42</f>
        <v>1570</v>
      </c>
      <c r="AR42" s="175"/>
      <c r="AS42" s="175">
        <f t="shared" si="10"/>
        <v>6280</v>
      </c>
      <c r="AT42" s="175">
        <f>'QTY '!AC42</f>
        <v>6280</v>
      </c>
      <c r="AU42" s="175">
        <f t="shared" si="1"/>
        <v>0</v>
      </c>
      <c r="AV42" s="175">
        <v>0</v>
      </c>
      <c r="AW42" s="180"/>
      <c r="AX42" s="180"/>
      <c r="AY42" s="180"/>
      <c r="AZ42" s="180"/>
      <c r="BA42" s="180"/>
    </row>
    <row r="43" spans="1:53" ht="18" customHeight="1" thickTop="1" thickBot="1">
      <c r="A43" s="210" t="str">
        <f>+'AS400 JEMBATAN'!A43</f>
        <v>BC111-1HY10-1</v>
      </c>
      <c r="B43" s="200" t="str">
        <f>+'AS400 JEMBATAN'!B43</f>
        <v>BC111-1HY10-1 A 1001</v>
      </c>
      <c r="C43" s="187" t="str">
        <f>'AS400 JEMBATAN'!C43</f>
        <v>BC 891W</v>
      </c>
      <c r="D43" s="175">
        <f>ROUNDUP(IF('AS400 JEMBATAN'!$J43&gt;='AS400 JEMBATAN'!$I43,'AS400 JEMBATAN'!D43,$J43/$D$4)+$L43,0)</f>
        <v>0</v>
      </c>
      <c r="E43" s="175">
        <f>ROUNDUP(IF('AS400 JEMBATAN'!$J43&gt;='AS400 JEMBATAN'!$I43,'AS400 JEMBATAN'!E43,$J43/$D$4)+$L43,0)</f>
        <v>0</v>
      </c>
      <c r="F43" s="175">
        <f>ROUNDUP(IF('AS400 JEMBATAN'!$J43&gt;='AS400 JEMBATAN'!$I43,'AS400 JEMBATAN'!F43,$J43/$D$4)+$L43,0)</f>
        <v>0</v>
      </c>
      <c r="G43" s="175">
        <f>ROUNDUP(IF('AS400 JEMBATAN'!$J43&gt;='AS400 JEMBATAN'!$I43,'AS400 JEMBATAN'!G43,$J43/$D$4)+$L43,0)</f>
        <v>60</v>
      </c>
      <c r="H43" s="175"/>
      <c r="I43" s="175">
        <f t="shared" si="2"/>
        <v>60</v>
      </c>
      <c r="J43" s="176">
        <f>'QTY '!Q43</f>
        <v>60</v>
      </c>
      <c r="K43" s="176">
        <f t="shared" si="3"/>
        <v>0</v>
      </c>
      <c r="L43" s="177"/>
      <c r="M43" s="175">
        <f>ROUNDUP(IF('AS400 JEMBATAN'!$S43&gt;='AS400 JEMBATAN'!$R43,'AS400 JEMBATAN'!M43,$S43/$M$4)+$U43,0)</f>
        <v>0</v>
      </c>
      <c r="N43" s="175">
        <f>ROUNDUP(IF('AS400 JEMBATAN'!$S43&gt;='AS400 JEMBATAN'!$R43,'AS400 JEMBATAN'!N43,$S43/$M$4)+$U43,0)</f>
        <v>0</v>
      </c>
      <c r="O43" s="175">
        <f>ROUNDUP(IF('AS400 JEMBATAN'!$S43&gt;='AS400 JEMBATAN'!$R43,'AS400 JEMBATAN'!O43,$S43/$M$4)+$U43,0)</f>
        <v>0</v>
      </c>
      <c r="P43" s="175">
        <f>ROUNDUP(IF('AS400 JEMBATAN'!$S43&gt;='AS400 JEMBATAN'!$R43,'AS400 JEMBATAN'!P43,$S43/$M$4)+$U43,0)</f>
        <v>0</v>
      </c>
      <c r="Q43" s="175">
        <f>ROUNDUP(IF('AS400 JEMBATAN'!$S43&gt;='AS400 JEMBATAN'!$R43,'AS400 JEMBATAN'!Q43,$S43/$M$4)+$U43,0)</f>
        <v>0</v>
      </c>
      <c r="R43" s="175">
        <f t="shared" si="4"/>
        <v>0</v>
      </c>
      <c r="S43" s="175">
        <f>'QTY '!T43</f>
        <v>0</v>
      </c>
      <c r="T43" s="176">
        <f t="shared" si="5"/>
        <v>0</v>
      </c>
      <c r="U43" s="178"/>
      <c r="V43" s="175">
        <f>ROUNDUP(IF('AS400 JEMBATAN'!$AB43&gt;='AS400 JEMBATAN'!$AA43,'AS400 JEMBATAN'!V43,$AB43/$V$4)+$AD43,0)</f>
        <v>60</v>
      </c>
      <c r="W43" s="175">
        <f>ROUNDUP(IF('AS400 JEMBATAN'!$AB43&gt;='AS400 JEMBATAN'!$AA43,'AS400 JEMBATAN'!W43,$AB43/$V$4)+$AD43,0)</f>
        <v>0</v>
      </c>
      <c r="X43" s="175">
        <f>ROUNDUP(IF('AS400 JEMBATAN'!$AB43&gt;='AS400 JEMBATAN'!$AA43,'AS400 JEMBATAN'!X43,$AB43/$V$4)+$AD43,0)</f>
        <v>0</v>
      </c>
      <c r="Y43" s="175">
        <f>ROUNDUP(IF('AS400 JEMBATAN'!$AB43&gt;='AS400 JEMBATAN'!$AA43,'AS400 JEMBATAN'!Y43,$AB43/$V$4)+$AD43,0)</f>
        <v>0</v>
      </c>
      <c r="Z43" s="175">
        <f>ROUNDUP(IF('AS400 JEMBATAN'!$AB43&gt;='AS400 JEMBATAN'!$AA43,'AS400 JEMBATAN'!Z43,$AB43/$V$4)+$AD43,0)</f>
        <v>0</v>
      </c>
      <c r="AA43" s="175">
        <f t="shared" si="6"/>
        <v>60</v>
      </c>
      <c r="AB43" s="175">
        <f>'QTY '!W43</f>
        <v>60</v>
      </c>
      <c r="AC43" s="175">
        <f t="shared" si="7"/>
        <v>0</v>
      </c>
      <c r="AD43" s="183"/>
      <c r="AE43" s="175">
        <f>ROUNDUP(IF('AS400 JEMBATAN'!$AK43&gt;='AS400 JEMBATAN'!$AJ43,'AS400 JEMBATAN'!AE43,$AK43/$AE$4)+$AM43,0)</f>
        <v>15</v>
      </c>
      <c r="AF43" s="175">
        <f>ROUNDUP(IF('AS400 JEMBATAN'!$AK43&gt;='AS400 JEMBATAN'!$AJ43,'AS400 JEMBATAN'!AF43,$AK43/$AE$4)+$AM43,0)</f>
        <v>15</v>
      </c>
      <c r="AG43" s="175">
        <f>ROUNDUP(IF('AS400 JEMBATAN'!$AK43&gt;='AS400 JEMBATAN'!$AJ43,'AS400 JEMBATAN'!AG43,$AK43/$AE$4)+$AM43,0)</f>
        <v>15</v>
      </c>
      <c r="AH43" s="175">
        <f>ROUNDUP(IF('AS400 JEMBATAN'!$AK43&gt;='AS400 JEMBATAN'!$AJ43,'AS400 JEMBATAN'!AH43,$AK43/$AE$4)+$AM43,0)</f>
        <v>15</v>
      </c>
      <c r="AI43" s="175"/>
      <c r="AJ43" s="175">
        <f t="shared" si="8"/>
        <v>60</v>
      </c>
      <c r="AK43" s="175">
        <f>'QTY '!Z43</f>
        <v>60</v>
      </c>
      <c r="AL43" s="175">
        <f t="shared" si="9"/>
        <v>0</v>
      </c>
      <c r="AM43" s="178"/>
      <c r="AN43" s="179">
        <f>+'AS400 JEMBATAN'!AN43</f>
        <v>15</v>
      </c>
      <c r="AO43" s="179">
        <f>+'AS400 JEMBATAN'!AO43</f>
        <v>15</v>
      </c>
      <c r="AP43" s="179">
        <f>+'AS400 JEMBATAN'!AP43</f>
        <v>15</v>
      </c>
      <c r="AQ43" s="179">
        <f>+'AS400 JEMBATAN'!AQ43</f>
        <v>15</v>
      </c>
      <c r="AR43" s="175"/>
      <c r="AS43" s="175">
        <f t="shared" si="10"/>
        <v>60</v>
      </c>
      <c r="AT43" s="175">
        <f>'QTY '!AC43</f>
        <v>60</v>
      </c>
      <c r="AU43" s="175">
        <f t="shared" si="1"/>
        <v>0</v>
      </c>
      <c r="AV43" s="175">
        <v>0</v>
      </c>
      <c r="AW43" s="180"/>
      <c r="AX43" s="180"/>
      <c r="AY43" s="180"/>
      <c r="AZ43" s="180"/>
      <c r="BA43" s="180"/>
    </row>
    <row r="44" spans="1:53" ht="18" customHeight="1" thickTop="1" thickBot="1">
      <c r="A44" s="210" t="str">
        <f>+'AS400 JEMBATAN'!A44</f>
        <v>BC111-1HY10-2</v>
      </c>
      <c r="B44" s="200" t="str">
        <f>+'AS400 JEMBATAN'!B44</f>
        <v>BC111-1HY10-2 A 1001</v>
      </c>
      <c r="C44" s="187" t="str">
        <f>'AS400 JEMBATAN'!C44</f>
        <v>BC 891W</v>
      </c>
      <c r="D44" s="175">
        <f>ROUNDUP(IF('AS400 JEMBATAN'!$J44&gt;='AS400 JEMBATAN'!$I44,'AS400 JEMBATAN'!D44,$J44/$D$4)+$L44,0)</f>
        <v>0</v>
      </c>
      <c r="E44" s="175">
        <f>ROUNDUP(IF('AS400 JEMBATAN'!$J44&gt;='AS400 JEMBATAN'!$I44,'AS400 JEMBATAN'!E44,$J44/$D$4)+$L44,0)</f>
        <v>0</v>
      </c>
      <c r="F44" s="175">
        <f>ROUNDUP(IF('AS400 JEMBATAN'!$J44&gt;='AS400 JEMBATAN'!$I44,'AS400 JEMBATAN'!F44,$J44/$D$4)+$L44,0)</f>
        <v>0</v>
      </c>
      <c r="G44" s="175">
        <f>ROUNDUP(IF('AS400 JEMBATAN'!$J44&gt;='AS400 JEMBATAN'!$I44,'AS400 JEMBATAN'!G44,$J44/$D$4)+$L44,0)</f>
        <v>0</v>
      </c>
      <c r="H44" s="175"/>
      <c r="I44" s="175">
        <f t="shared" si="2"/>
        <v>0</v>
      </c>
      <c r="J44" s="176">
        <f>'QTY '!Q44</f>
        <v>0</v>
      </c>
      <c r="K44" s="176">
        <f t="shared" si="3"/>
        <v>0</v>
      </c>
      <c r="L44" s="177"/>
      <c r="M44" s="175">
        <f>ROUNDUP(IF('AS400 JEMBATAN'!$S44&gt;='AS400 JEMBATAN'!$R44,'AS400 JEMBATAN'!M44,$S44/$M$4)+$U44,0)</f>
        <v>0</v>
      </c>
      <c r="N44" s="175">
        <f>ROUNDUP(IF('AS400 JEMBATAN'!$S44&gt;='AS400 JEMBATAN'!$R44,'AS400 JEMBATAN'!N44,$S44/$M$4)+$U44,0)</f>
        <v>0</v>
      </c>
      <c r="O44" s="175">
        <f>ROUNDUP(IF('AS400 JEMBATAN'!$S44&gt;='AS400 JEMBATAN'!$R44,'AS400 JEMBATAN'!O44,$S44/$M$4)+$U44,0)</f>
        <v>0</v>
      </c>
      <c r="P44" s="175">
        <f>ROUNDUP(IF('AS400 JEMBATAN'!$S44&gt;='AS400 JEMBATAN'!$R44,'AS400 JEMBATAN'!P44,$S44/$M$4)+$U44,0)</f>
        <v>0</v>
      </c>
      <c r="Q44" s="175">
        <f>ROUNDUP(IF('AS400 JEMBATAN'!$S44&gt;='AS400 JEMBATAN'!$R44,'AS400 JEMBATAN'!Q44,$S44/$M$4)+$U44,0)</f>
        <v>0</v>
      </c>
      <c r="R44" s="175">
        <f t="shared" si="4"/>
        <v>0</v>
      </c>
      <c r="S44" s="175">
        <f>'QTY '!T44</f>
        <v>0</v>
      </c>
      <c r="T44" s="176">
        <f t="shared" si="5"/>
        <v>0</v>
      </c>
      <c r="U44" s="178"/>
      <c r="V44" s="175">
        <f>ROUNDUP(IF('AS400 JEMBATAN'!$AB44&gt;='AS400 JEMBATAN'!$AA44,'AS400 JEMBATAN'!V44,$AB44/$V$4)+$AD44,0)</f>
        <v>0</v>
      </c>
      <c r="W44" s="175">
        <f>ROUNDUP(IF('AS400 JEMBATAN'!$AB44&gt;='AS400 JEMBATAN'!$AA44,'AS400 JEMBATAN'!W44,$AB44/$V$4)+$AD44,0)</f>
        <v>0</v>
      </c>
      <c r="X44" s="175">
        <f>ROUNDUP(IF('AS400 JEMBATAN'!$AB44&gt;='AS400 JEMBATAN'!$AA44,'AS400 JEMBATAN'!X44,$AB44/$V$4)+$AD44,0)</f>
        <v>0</v>
      </c>
      <c r="Y44" s="175">
        <f>ROUNDUP(IF('AS400 JEMBATAN'!$AB44&gt;='AS400 JEMBATAN'!$AA44,'AS400 JEMBATAN'!Y44,$AB44/$V$4)+$AD44,0)</f>
        <v>0</v>
      </c>
      <c r="Z44" s="175">
        <f>ROUNDUP(IF('AS400 JEMBATAN'!$AB44&gt;='AS400 JEMBATAN'!$AA44,'AS400 JEMBATAN'!Z44,$AB44/$V$4)+$AD44,0)</f>
        <v>0</v>
      </c>
      <c r="AA44" s="175">
        <f t="shared" si="6"/>
        <v>0</v>
      </c>
      <c r="AB44" s="175">
        <f>'QTY '!W44</f>
        <v>0</v>
      </c>
      <c r="AC44" s="175">
        <f t="shared" si="7"/>
        <v>0</v>
      </c>
      <c r="AD44" s="183"/>
      <c r="AE44" s="175">
        <f>ROUNDUP(IF('AS400 JEMBATAN'!$AK44&gt;='AS400 JEMBATAN'!$AJ44,'AS400 JEMBATAN'!AE44,$AK44/$AE$4)+$AM44,0)</f>
        <v>0</v>
      </c>
      <c r="AF44" s="175">
        <f>ROUNDUP(IF('AS400 JEMBATAN'!$AK44&gt;='AS400 JEMBATAN'!$AJ44,'AS400 JEMBATAN'!AF44,$AK44/$AE$4)+$AM44,0)</f>
        <v>0</v>
      </c>
      <c r="AG44" s="175">
        <f>ROUNDUP(IF('AS400 JEMBATAN'!$AK44&gt;='AS400 JEMBATAN'!$AJ44,'AS400 JEMBATAN'!AG44,$AK44/$AE$4)+$AM44,0)</f>
        <v>0</v>
      </c>
      <c r="AH44" s="175">
        <f>ROUNDUP(IF('AS400 JEMBATAN'!$AK44&gt;='AS400 JEMBATAN'!$AJ44,'AS400 JEMBATAN'!AH44,$AK44/$AE$4)+$AM44,0)</f>
        <v>0</v>
      </c>
      <c r="AI44" s="175"/>
      <c r="AJ44" s="175">
        <f t="shared" si="8"/>
        <v>0</v>
      </c>
      <c r="AK44" s="175">
        <f>'QTY '!Z44</f>
        <v>0</v>
      </c>
      <c r="AL44" s="175">
        <f t="shared" si="9"/>
        <v>0</v>
      </c>
      <c r="AM44" s="178"/>
      <c r="AN44" s="179">
        <f>+'AS400 JEMBATAN'!AN44</f>
        <v>0</v>
      </c>
      <c r="AO44" s="179">
        <f>+'AS400 JEMBATAN'!AO44</f>
        <v>0</v>
      </c>
      <c r="AP44" s="179">
        <f>+'AS400 JEMBATAN'!AP44</f>
        <v>0</v>
      </c>
      <c r="AQ44" s="179">
        <f>+'AS400 JEMBATAN'!AQ44</f>
        <v>0</v>
      </c>
      <c r="AR44" s="175"/>
      <c r="AS44" s="175">
        <f t="shared" si="10"/>
        <v>0</v>
      </c>
      <c r="AT44" s="175">
        <f>'QTY '!AC44</f>
        <v>0</v>
      </c>
      <c r="AU44" s="175">
        <f t="shared" si="1"/>
        <v>0</v>
      </c>
      <c r="AV44" s="175">
        <v>0</v>
      </c>
      <c r="AW44" s="180"/>
      <c r="AX44" s="180"/>
      <c r="AY44" s="180"/>
      <c r="AZ44" s="180"/>
      <c r="BA44" s="180"/>
    </row>
    <row r="45" spans="1:53" ht="18" customHeight="1" thickTop="1" thickBot="1">
      <c r="A45" s="210" t="str">
        <f>+'AS400 JEMBATAN'!A45</f>
        <v>BC111-1HR01-1</v>
      </c>
      <c r="B45" s="200" t="str">
        <f>+'AS400 JEMBATAN'!B45</f>
        <v>BC111-1HR01-1 0002</v>
      </c>
      <c r="C45" s="187" t="str">
        <f>'AS400 JEMBATAN'!C45</f>
        <v>BC 891W</v>
      </c>
      <c r="D45" s="175">
        <f>ROUNDUP(IF('AS400 JEMBATAN'!$J45&gt;='AS400 JEMBATAN'!$I45,'AS400 JEMBATAN'!D45,$J45/$D$4)+$L45,0)</f>
        <v>1400</v>
      </c>
      <c r="E45" s="175">
        <f>ROUNDUP(IF('AS400 JEMBATAN'!$J45&gt;='AS400 JEMBATAN'!$I45,'AS400 JEMBATAN'!E45,$J45/$D$4)+$L45,0)</f>
        <v>1440</v>
      </c>
      <c r="F45" s="175">
        <f>ROUNDUP(IF('AS400 JEMBATAN'!$J45&gt;='AS400 JEMBATAN'!$I45,'AS400 JEMBATAN'!F45,$J45/$D$4)+$L45,0)</f>
        <v>1800</v>
      </c>
      <c r="G45" s="175">
        <f>ROUNDUP(IF('AS400 JEMBATAN'!$J45&gt;='AS400 JEMBATAN'!$I45,'AS400 JEMBATAN'!G45,$J45/$D$4)+$L45,0)</f>
        <v>1840</v>
      </c>
      <c r="H45" s="175"/>
      <c r="I45" s="175">
        <f t="shared" si="2"/>
        <v>6480</v>
      </c>
      <c r="J45" s="176">
        <f>'QTY '!Q45</f>
        <v>6480</v>
      </c>
      <c r="K45" s="176">
        <f t="shared" si="3"/>
        <v>0</v>
      </c>
      <c r="L45" s="177"/>
      <c r="M45" s="175">
        <f>ROUNDUP(IF('AS400 JEMBATAN'!$S45&gt;='AS400 JEMBATAN'!$R45,'AS400 JEMBATAN'!M45,$S45/$M$4)+$U45,0)</f>
        <v>2080</v>
      </c>
      <c r="N45" s="175">
        <f>ROUNDUP(IF('AS400 JEMBATAN'!$S45&gt;='AS400 JEMBATAN'!$R45,'AS400 JEMBATAN'!N45,$S45/$M$4)+$U45,0)</f>
        <v>1400</v>
      </c>
      <c r="O45" s="175">
        <f>ROUNDUP(IF('AS400 JEMBATAN'!$S45&gt;='AS400 JEMBATAN'!$R45,'AS400 JEMBATAN'!O45,$S45/$M$4)+$U45,0)</f>
        <v>0</v>
      </c>
      <c r="P45" s="175">
        <f>ROUNDUP(IF('AS400 JEMBATAN'!$S45&gt;='AS400 JEMBATAN'!$R45,'AS400 JEMBATAN'!P45,$S45/$M$4)+$U45,0)</f>
        <v>2120</v>
      </c>
      <c r="Q45" s="175">
        <f>ROUNDUP(IF('AS400 JEMBATAN'!$S45&gt;='AS400 JEMBATAN'!$R45,'AS400 JEMBATAN'!Q45,$S45/$M$4)+$U45,0)</f>
        <v>0</v>
      </c>
      <c r="R45" s="175">
        <f t="shared" si="4"/>
        <v>5600</v>
      </c>
      <c r="S45" s="175">
        <f>'QTY '!T45</f>
        <v>5600</v>
      </c>
      <c r="T45" s="176">
        <f t="shared" si="5"/>
        <v>0</v>
      </c>
      <c r="U45" s="178"/>
      <c r="V45" s="175">
        <f>ROUNDUP(IF('AS400 JEMBATAN'!$AB45&gt;='AS400 JEMBATAN'!$AA45,'AS400 JEMBATAN'!V45,$AB45/$V$4)+$AD45,0)</f>
        <v>1680</v>
      </c>
      <c r="W45" s="175">
        <f>ROUNDUP(IF('AS400 JEMBATAN'!$AB45&gt;='AS400 JEMBATAN'!$AA45,'AS400 JEMBATAN'!W45,$AB45/$V$4)+$AD45,0)</f>
        <v>1360</v>
      </c>
      <c r="X45" s="175">
        <f>ROUNDUP(IF('AS400 JEMBATAN'!$AB45&gt;='AS400 JEMBATAN'!$AA45,'AS400 JEMBATAN'!X45,$AB45/$V$4)+$AD45,0)</f>
        <v>1760</v>
      </c>
      <c r="Y45" s="175">
        <f>ROUNDUP(IF('AS400 JEMBATAN'!$AB45&gt;='AS400 JEMBATAN'!$AA45,'AS400 JEMBATAN'!Y45,$AB45/$V$4)+$AD45,0)</f>
        <v>2000</v>
      </c>
      <c r="Z45" s="175">
        <f>ROUNDUP(IF('AS400 JEMBATAN'!$AB45&gt;='AS400 JEMBATAN'!$AA45,'AS400 JEMBATAN'!Z45,$AB45/$V$4)+$AD45,0)</f>
        <v>0</v>
      </c>
      <c r="AA45" s="175">
        <f t="shared" si="6"/>
        <v>6800</v>
      </c>
      <c r="AB45" s="175">
        <f>'QTY '!W45</f>
        <v>6800</v>
      </c>
      <c r="AC45" s="175">
        <f t="shared" si="7"/>
        <v>0</v>
      </c>
      <c r="AD45" s="183"/>
      <c r="AE45" s="175">
        <f>ROUNDUP(IF('AS400 JEMBATAN'!$AK45&gt;='AS400 JEMBATAN'!$AJ45,'AS400 JEMBATAN'!AE45,$AK45/$AE$4)+$AM45,0)</f>
        <v>2110</v>
      </c>
      <c r="AF45" s="175">
        <f>ROUNDUP(IF('AS400 JEMBATAN'!$AK45&gt;='AS400 JEMBATAN'!$AJ45,'AS400 JEMBATAN'!AF45,$AK45/$AE$4)+$AM45,0)</f>
        <v>2110</v>
      </c>
      <c r="AG45" s="175">
        <f>ROUNDUP(IF('AS400 JEMBATAN'!$AK45&gt;='AS400 JEMBATAN'!$AJ45,'AS400 JEMBATAN'!AG45,$AK45/$AE$4)+$AM45,0)</f>
        <v>2110</v>
      </c>
      <c r="AH45" s="175">
        <f>ROUNDUP(IF('AS400 JEMBATAN'!$AK45&gt;='AS400 JEMBATAN'!$AJ45,'AS400 JEMBATAN'!AH45,$AK45/$AE$4)+$AM45,0)</f>
        <v>2110</v>
      </c>
      <c r="AI45" s="175"/>
      <c r="AJ45" s="175">
        <f t="shared" si="8"/>
        <v>8440</v>
      </c>
      <c r="AK45" s="175">
        <f>'QTY '!Z45</f>
        <v>8440</v>
      </c>
      <c r="AL45" s="175">
        <f t="shared" si="9"/>
        <v>0</v>
      </c>
      <c r="AM45" s="178"/>
      <c r="AN45" s="179">
        <f>+'AS400 JEMBATAN'!AN45</f>
        <v>2110</v>
      </c>
      <c r="AO45" s="179">
        <f>+'AS400 JEMBATAN'!AO45</f>
        <v>2110</v>
      </c>
      <c r="AP45" s="179">
        <f>+'AS400 JEMBATAN'!AP45</f>
        <v>2110</v>
      </c>
      <c r="AQ45" s="179">
        <f>+'AS400 JEMBATAN'!AQ45</f>
        <v>2110</v>
      </c>
      <c r="AR45" s="175"/>
      <c r="AS45" s="175">
        <f t="shared" si="10"/>
        <v>8440</v>
      </c>
      <c r="AT45" s="175">
        <f>'QTY '!AC45</f>
        <v>8440</v>
      </c>
      <c r="AU45" s="175">
        <f t="shared" si="1"/>
        <v>0</v>
      </c>
      <c r="AV45" s="175">
        <v>0</v>
      </c>
      <c r="AW45" s="180"/>
      <c r="AX45" s="180"/>
      <c r="AY45" s="180"/>
      <c r="AZ45" s="180"/>
      <c r="BA45" s="180"/>
    </row>
    <row r="46" spans="1:53" ht="18" customHeight="1" thickTop="1" thickBot="1">
      <c r="A46" s="210" t="str">
        <f>+'AS400 JEMBATAN'!A46</f>
        <v>BC111-62092-2</v>
      </c>
      <c r="B46" s="200" t="str">
        <f>+'AS400 JEMBATAN'!B46</f>
        <v>BC111-62092-2 B 1001</v>
      </c>
      <c r="C46" s="187" t="str">
        <f>'AS400 JEMBATAN'!C46</f>
        <v>BC 766W</v>
      </c>
      <c r="D46" s="175">
        <f>ROUNDUP(IF('AS400 JEMBATAN'!$J46&gt;='AS400 JEMBATAN'!$I46,'AS400 JEMBATAN'!D46,$J46/$D$4)+$L46,0)</f>
        <v>0</v>
      </c>
      <c r="E46" s="175">
        <f>ROUNDUP(IF('AS400 JEMBATAN'!$J46&gt;='AS400 JEMBATAN'!$I46,'AS400 JEMBATAN'!E46,$J46/$D$4)+$L46,0)</f>
        <v>0</v>
      </c>
      <c r="F46" s="175">
        <f>ROUNDUP(IF('AS400 JEMBATAN'!$J46&gt;='AS400 JEMBATAN'!$I46,'AS400 JEMBATAN'!F46,$J46/$D$4)+$L46,0)</f>
        <v>0</v>
      </c>
      <c r="G46" s="175">
        <f>ROUNDUP(IF('AS400 JEMBATAN'!$J46&gt;='AS400 JEMBATAN'!$I46,'AS400 JEMBATAN'!G46,$J46/$D$4)+$L46,0)</f>
        <v>0</v>
      </c>
      <c r="H46" s="175"/>
      <c r="I46" s="175">
        <f t="shared" si="2"/>
        <v>0</v>
      </c>
      <c r="J46" s="176">
        <f>'QTY '!Q46</f>
        <v>0</v>
      </c>
      <c r="K46" s="176">
        <f t="shared" si="3"/>
        <v>0</v>
      </c>
      <c r="L46" s="177"/>
      <c r="M46" s="175">
        <f>ROUNDUP(IF('AS400 JEMBATAN'!$S46&gt;='AS400 JEMBATAN'!$R46,'AS400 JEMBATAN'!M46,$S46/$M$4)+$U46,0)</f>
        <v>0</v>
      </c>
      <c r="N46" s="175">
        <f>ROUNDUP(IF('AS400 JEMBATAN'!$S46&gt;='AS400 JEMBATAN'!$R46,'AS400 JEMBATAN'!N46,$S46/$M$4)+$U46,0)</f>
        <v>0</v>
      </c>
      <c r="O46" s="175">
        <f>ROUNDUP(IF('AS400 JEMBATAN'!$S46&gt;='AS400 JEMBATAN'!$R46,'AS400 JEMBATAN'!O46,$S46/$M$4)+$U46,0)</f>
        <v>0</v>
      </c>
      <c r="P46" s="175">
        <f>ROUNDUP(IF('AS400 JEMBATAN'!$S46&gt;='AS400 JEMBATAN'!$R46,'AS400 JEMBATAN'!P46,$S46/$M$4)+$U46,0)</f>
        <v>0</v>
      </c>
      <c r="Q46" s="175">
        <f>ROUNDUP(IF('AS400 JEMBATAN'!$S46&gt;='AS400 JEMBATAN'!$R46,'AS400 JEMBATAN'!Q46,$S46/$M$4)+$U46,0)</f>
        <v>0</v>
      </c>
      <c r="R46" s="175">
        <f t="shared" si="4"/>
        <v>0</v>
      </c>
      <c r="S46" s="175">
        <f>'QTY '!T46</f>
        <v>0</v>
      </c>
      <c r="T46" s="176">
        <f t="shared" si="5"/>
        <v>0</v>
      </c>
      <c r="U46" s="178"/>
      <c r="V46" s="175">
        <f>ROUNDUP(IF('AS400 JEMBATAN'!$AB46&gt;='AS400 JEMBATAN'!$AA46,'AS400 JEMBATAN'!V46,$AB46/$V$4)+$AD46,0)</f>
        <v>0</v>
      </c>
      <c r="W46" s="175">
        <f>ROUNDUP(IF('AS400 JEMBATAN'!$AB46&gt;='AS400 JEMBATAN'!$AA46,'AS400 JEMBATAN'!W46,$AB46/$V$4)+$AD46,0)</f>
        <v>0</v>
      </c>
      <c r="X46" s="175">
        <f>ROUNDUP(IF('AS400 JEMBATAN'!$AB46&gt;='AS400 JEMBATAN'!$AA46,'AS400 JEMBATAN'!X46,$AB46/$V$4)+$AD46,0)</f>
        <v>0</v>
      </c>
      <c r="Y46" s="175">
        <f>ROUNDUP(IF('AS400 JEMBATAN'!$AB46&gt;='AS400 JEMBATAN'!$AA46,'AS400 JEMBATAN'!Y46,$AB46/$V$4)+$AD46,0)</f>
        <v>0</v>
      </c>
      <c r="Z46" s="175">
        <f>ROUNDUP(IF('AS400 JEMBATAN'!$AB46&gt;='AS400 JEMBATAN'!$AA46,'AS400 JEMBATAN'!Z46,$AB46/$V$4)+$AD46,0)</f>
        <v>0</v>
      </c>
      <c r="AA46" s="175">
        <f t="shared" si="6"/>
        <v>0</v>
      </c>
      <c r="AB46" s="175">
        <f>'QTY '!W46</f>
        <v>0</v>
      </c>
      <c r="AC46" s="175">
        <f t="shared" si="7"/>
        <v>0</v>
      </c>
      <c r="AD46" s="183"/>
      <c r="AE46" s="175">
        <f>ROUNDUP(IF('AS400 JEMBATAN'!$AK46&gt;='AS400 JEMBATAN'!$AJ46,'AS400 JEMBATAN'!AE46,$AK46/$AE$4)+$AM46,0)</f>
        <v>0</v>
      </c>
      <c r="AF46" s="175">
        <f>ROUNDUP(IF('AS400 JEMBATAN'!$AK46&gt;='AS400 JEMBATAN'!$AJ46,'AS400 JEMBATAN'!AF46,$AK46/$AE$4)+$AM46,0)</f>
        <v>0</v>
      </c>
      <c r="AG46" s="175">
        <f>ROUNDUP(IF('AS400 JEMBATAN'!$AK46&gt;='AS400 JEMBATAN'!$AJ46,'AS400 JEMBATAN'!AG46,$AK46/$AE$4)+$AM46,0)</f>
        <v>0</v>
      </c>
      <c r="AH46" s="175">
        <f>ROUNDUP(IF('AS400 JEMBATAN'!$AK46&gt;='AS400 JEMBATAN'!$AJ46,'AS400 JEMBATAN'!AH46,$AK46/$AE$4)+$AM46,0)</f>
        <v>0</v>
      </c>
      <c r="AI46" s="175"/>
      <c r="AJ46" s="175">
        <f t="shared" si="8"/>
        <v>0</v>
      </c>
      <c r="AK46" s="175">
        <f>'QTY '!Z46</f>
        <v>0</v>
      </c>
      <c r="AL46" s="175">
        <f t="shared" si="9"/>
        <v>0</v>
      </c>
      <c r="AM46" s="178"/>
      <c r="AN46" s="179">
        <f>+'AS400 JEMBATAN'!AN46</f>
        <v>0</v>
      </c>
      <c r="AO46" s="179">
        <f>+'AS400 JEMBATAN'!AO46</f>
        <v>0</v>
      </c>
      <c r="AP46" s="179">
        <f>+'AS400 JEMBATAN'!AP46</f>
        <v>0</v>
      </c>
      <c r="AQ46" s="179">
        <f>+'AS400 JEMBATAN'!AQ46</f>
        <v>0</v>
      </c>
      <c r="AR46" s="175"/>
      <c r="AS46" s="175">
        <f t="shared" si="10"/>
        <v>0</v>
      </c>
      <c r="AT46" s="175">
        <f>'QTY '!AC46</f>
        <v>0</v>
      </c>
      <c r="AU46" s="175">
        <f t="shared" si="1"/>
        <v>0</v>
      </c>
      <c r="AV46" s="175">
        <v>0</v>
      </c>
      <c r="AW46" s="180"/>
      <c r="AX46" s="180"/>
      <c r="AY46" s="180"/>
      <c r="AZ46" s="180"/>
      <c r="BA46" s="180"/>
    </row>
    <row r="47" spans="1:53" ht="18" customHeight="1" thickTop="1" thickBot="1">
      <c r="A47" s="210" t="str">
        <f>+'AS400 JEMBATAN'!A47</f>
        <v>BC111-62062-2</v>
      </c>
      <c r="B47" s="200" t="str">
        <f>+'AS400 JEMBATAN'!B47</f>
        <v>BC111-62062-2 B 1001</v>
      </c>
      <c r="C47" s="187" t="str">
        <f>'AS400 JEMBATAN'!C47</f>
        <v>BC 766W</v>
      </c>
      <c r="D47" s="175">
        <f>ROUNDUP(IF('AS400 JEMBATAN'!$J47&gt;='AS400 JEMBATAN'!$I47,'AS400 JEMBATAN'!D47,$J47/$D$4)+$L47,0)</f>
        <v>0</v>
      </c>
      <c r="E47" s="175">
        <f>ROUNDUP(IF('AS400 JEMBATAN'!$J47&gt;='AS400 JEMBATAN'!$I47,'AS400 JEMBATAN'!E47,$J47/$D$4)+$L47,0)</f>
        <v>0</v>
      </c>
      <c r="F47" s="175">
        <f>ROUNDUP(IF('AS400 JEMBATAN'!$J47&gt;='AS400 JEMBATAN'!$I47,'AS400 JEMBATAN'!F47,$J47/$D$4)+$L47,0)</f>
        <v>0</v>
      </c>
      <c r="G47" s="175">
        <f>ROUNDUP(IF('AS400 JEMBATAN'!$J47&gt;='AS400 JEMBATAN'!$I47,'AS400 JEMBATAN'!G47,$J47/$D$4)+$L47,0)</f>
        <v>0</v>
      </c>
      <c r="H47" s="175"/>
      <c r="I47" s="175">
        <f t="shared" si="2"/>
        <v>0</v>
      </c>
      <c r="J47" s="176">
        <f>'QTY '!Q47</f>
        <v>0</v>
      </c>
      <c r="K47" s="176">
        <f t="shared" si="3"/>
        <v>0</v>
      </c>
      <c r="L47" s="177"/>
      <c r="M47" s="175">
        <f>ROUNDUP(IF('AS400 JEMBATAN'!$S47&gt;='AS400 JEMBATAN'!$R47,'AS400 JEMBATAN'!M47,$S47/$M$4)+$U47,0)</f>
        <v>0</v>
      </c>
      <c r="N47" s="175">
        <f>ROUNDUP(IF('AS400 JEMBATAN'!$S47&gt;='AS400 JEMBATAN'!$R47,'AS400 JEMBATAN'!N47,$S47/$M$4)+$U47,0)</f>
        <v>0</v>
      </c>
      <c r="O47" s="175">
        <f>ROUNDUP(IF('AS400 JEMBATAN'!$S47&gt;='AS400 JEMBATAN'!$R47,'AS400 JEMBATAN'!O47,$S47/$M$4)+$U47,0)</f>
        <v>0</v>
      </c>
      <c r="P47" s="175">
        <f>ROUNDUP(IF('AS400 JEMBATAN'!$S47&gt;='AS400 JEMBATAN'!$R47,'AS400 JEMBATAN'!P47,$S47/$M$4)+$U47,0)</f>
        <v>0</v>
      </c>
      <c r="Q47" s="175">
        <f>ROUNDUP(IF('AS400 JEMBATAN'!$S47&gt;='AS400 JEMBATAN'!$R47,'AS400 JEMBATAN'!Q47,$S47/$M$4)+$U47,0)</f>
        <v>0</v>
      </c>
      <c r="R47" s="175">
        <f t="shared" si="4"/>
        <v>0</v>
      </c>
      <c r="S47" s="175">
        <f>'QTY '!T47</f>
        <v>0</v>
      </c>
      <c r="T47" s="176">
        <f t="shared" si="5"/>
        <v>0</v>
      </c>
      <c r="U47" s="178"/>
      <c r="V47" s="175">
        <f>ROUNDUP(IF('AS400 JEMBATAN'!$AB47&gt;='AS400 JEMBATAN'!$AA47,'AS400 JEMBATAN'!V47,$AB47/$V$4)+$AD47,0)</f>
        <v>0</v>
      </c>
      <c r="W47" s="175">
        <f>ROUNDUP(IF('AS400 JEMBATAN'!$AB47&gt;='AS400 JEMBATAN'!$AA47,'AS400 JEMBATAN'!W47,$AB47/$V$4)+$AD47,0)</f>
        <v>0</v>
      </c>
      <c r="X47" s="175">
        <f>ROUNDUP(IF('AS400 JEMBATAN'!$AB47&gt;='AS400 JEMBATAN'!$AA47,'AS400 JEMBATAN'!X47,$AB47/$V$4)+$AD47,0)</f>
        <v>0</v>
      </c>
      <c r="Y47" s="175">
        <f>ROUNDUP(IF('AS400 JEMBATAN'!$AB47&gt;='AS400 JEMBATAN'!$AA47,'AS400 JEMBATAN'!Y47,$AB47/$V$4)+$AD47,0)</f>
        <v>0</v>
      </c>
      <c r="Z47" s="175">
        <f>ROUNDUP(IF('AS400 JEMBATAN'!$AB47&gt;='AS400 JEMBATAN'!$AA47,'AS400 JEMBATAN'!Z47,$AB47/$V$4)+$AD47,0)</f>
        <v>0</v>
      </c>
      <c r="AA47" s="175">
        <f t="shared" si="6"/>
        <v>0</v>
      </c>
      <c r="AB47" s="175">
        <f>'QTY '!W47</f>
        <v>0</v>
      </c>
      <c r="AC47" s="175">
        <f t="shared" si="7"/>
        <v>0</v>
      </c>
      <c r="AD47" s="183"/>
      <c r="AE47" s="175">
        <f>ROUNDUP(IF('AS400 JEMBATAN'!$AK47&gt;='AS400 JEMBATAN'!$AJ47,'AS400 JEMBATAN'!AE47,$AK47/$AE$4)+$AM47,0)</f>
        <v>0</v>
      </c>
      <c r="AF47" s="175">
        <f>ROUNDUP(IF('AS400 JEMBATAN'!$AK47&gt;='AS400 JEMBATAN'!$AJ47,'AS400 JEMBATAN'!AF47,$AK47/$AE$4)+$AM47,0)</f>
        <v>0</v>
      </c>
      <c r="AG47" s="175">
        <f>ROUNDUP(IF('AS400 JEMBATAN'!$AK47&gt;='AS400 JEMBATAN'!$AJ47,'AS400 JEMBATAN'!AG47,$AK47/$AE$4)+$AM47,0)</f>
        <v>0</v>
      </c>
      <c r="AH47" s="175">
        <f>ROUNDUP(IF('AS400 JEMBATAN'!$AK47&gt;='AS400 JEMBATAN'!$AJ47,'AS400 JEMBATAN'!AH47,$AK47/$AE$4)+$AM47,0)</f>
        <v>0</v>
      </c>
      <c r="AI47" s="175"/>
      <c r="AJ47" s="175">
        <f t="shared" si="8"/>
        <v>0</v>
      </c>
      <c r="AK47" s="175">
        <f>'QTY '!Z47</f>
        <v>0</v>
      </c>
      <c r="AL47" s="175">
        <f t="shared" si="9"/>
        <v>0</v>
      </c>
      <c r="AM47" s="178"/>
      <c r="AN47" s="179">
        <f>+'AS400 JEMBATAN'!AN47</f>
        <v>0</v>
      </c>
      <c r="AO47" s="179">
        <f>+'AS400 JEMBATAN'!AO47</f>
        <v>0</v>
      </c>
      <c r="AP47" s="179">
        <f>+'AS400 JEMBATAN'!AP47</f>
        <v>0</v>
      </c>
      <c r="AQ47" s="179">
        <f>+'AS400 JEMBATAN'!AQ47</f>
        <v>0</v>
      </c>
      <c r="AR47" s="175"/>
      <c r="AS47" s="175">
        <f t="shared" si="10"/>
        <v>0</v>
      </c>
      <c r="AT47" s="175">
        <f>'QTY '!AC47</f>
        <v>0</v>
      </c>
      <c r="AU47" s="175">
        <f t="shared" si="1"/>
        <v>0</v>
      </c>
      <c r="AV47" s="178">
        <v>0</v>
      </c>
      <c r="AW47" s="180"/>
      <c r="AX47" s="180"/>
      <c r="AY47" s="180"/>
      <c r="AZ47" s="180"/>
      <c r="BA47" s="180"/>
    </row>
    <row r="48" spans="1:53" ht="18" customHeight="1" thickTop="1" thickBot="1">
      <c r="A48" s="210">
        <f>+'AS400 JEMBATAN'!A48</f>
        <v>0</v>
      </c>
      <c r="B48" s="200" t="str">
        <f>+'AS400 JEMBATAN'!B48</f>
        <v>BC111-16P60-1   0001</v>
      </c>
      <c r="C48" s="187" t="str">
        <f>'AS400 JEMBATAN'!C48</f>
        <v>BC 059J</v>
      </c>
      <c r="D48" s="175">
        <f>ROUNDUP(IF('AS400 JEMBATAN'!$J48&gt;='AS400 JEMBATAN'!$I48,'AS400 JEMBATAN'!D48,$J48/$D$4)+$L48,0)</f>
        <v>360</v>
      </c>
      <c r="E48" s="175">
        <f>ROUNDUP(IF('AS400 JEMBATAN'!$J48&gt;='AS400 JEMBATAN'!$I48,'AS400 JEMBATAN'!E48,$J48/$D$4)+$L48,0)</f>
        <v>380</v>
      </c>
      <c r="F48" s="175">
        <f>ROUNDUP(IF('AS400 JEMBATAN'!$J48&gt;='AS400 JEMBATAN'!$I48,'AS400 JEMBATAN'!F48,$J48/$D$4)+$L48,0)</f>
        <v>480</v>
      </c>
      <c r="G48" s="175">
        <f>ROUNDUP(IF('AS400 JEMBATAN'!$J48&gt;='AS400 JEMBATAN'!$I48,'AS400 JEMBATAN'!G48,$J48/$D$4)+$L48,0)</f>
        <v>480</v>
      </c>
      <c r="H48" s="175"/>
      <c r="I48" s="175">
        <f>SUM(D48:H48)</f>
        <v>1700</v>
      </c>
      <c r="J48" s="176">
        <f>'QTY '!Q48</f>
        <v>1700</v>
      </c>
      <c r="K48" s="176">
        <f t="shared" ref="K48:K51" si="21">ROUNDUP((J48-I48)/$D$4,0)</f>
        <v>0</v>
      </c>
      <c r="L48" s="177"/>
      <c r="M48" s="175">
        <f>ROUNDUP(IF('AS400 JEMBATAN'!$S48&gt;='AS400 JEMBATAN'!$R48,'AS400 JEMBATAN'!M48,$S48/$M$4)+$U48,0)</f>
        <v>540</v>
      </c>
      <c r="N48" s="175">
        <f>ROUNDUP(IF('AS400 JEMBATAN'!$S48&gt;='AS400 JEMBATAN'!$R48,'AS400 JEMBATAN'!N48,$S48/$M$4)+$U48,0)</f>
        <v>380</v>
      </c>
      <c r="O48" s="175">
        <f>ROUNDUP(IF('AS400 JEMBATAN'!$S48&gt;='AS400 JEMBATAN'!$R48,'AS400 JEMBATAN'!O48,$S48/$M$4)+$U48,0)</f>
        <v>0</v>
      </c>
      <c r="P48" s="175">
        <f>ROUNDUP(IF('AS400 JEMBATAN'!$S48&gt;='AS400 JEMBATAN'!$R48,'AS400 JEMBATAN'!P48,$S48/$M$4)+$U48,0)</f>
        <v>600</v>
      </c>
      <c r="Q48" s="175">
        <f>ROUNDUP(IF('AS400 JEMBATAN'!$S48&gt;='AS400 JEMBATAN'!$R48,'AS400 JEMBATAN'!Q48,$S48/$M$4)+$U48,0)</f>
        <v>0</v>
      </c>
      <c r="R48" s="175">
        <f t="shared" ref="R48:R51" si="22">SUM(M48:Q48)</f>
        <v>1520</v>
      </c>
      <c r="S48" s="175">
        <f>'QTY '!T48</f>
        <v>1520</v>
      </c>
      <c r="T48" s="176">
        <f t="shared" ref="T48:T51" si="23">ROUNDUP((S48-R48)/$M$4,0)</f>
        <v>0</v>
      </c>
      <c r="U48" s="178"/>
      <c r="V48" s="175">
        <f>ROUNDUP(IF('AS400 JEMBATAN'!$AB48&gt;='AS400 JEMBATAN'!$AA48,'AS400 JEMBATAN'!V48,$AB48/$V$4)+$AD48,0)</f>
        <v>500</v>
      </c>
      <c r="W48" s="175">
        <f>ROUNDUP(IF('AS400 JEMBATAN'!$AB48&gt;='AS400 JEMBATAN'!$AA48,'AS400 JEMBATAN'!W48,$AB48/$V$4)+$AD48,0)</f>
        <v>380</v>
      </c>
      <c r="X48" s="175">
        <f>ROUNDUP(IF('AS400 JEMBATAN'!$AB48&gt;='AS400 JEMBATAN'!$AA48,'AS400 JEMBATAN'!X48,$AB48/$V$4)+$AD48,0)</f>
        <v>440</v>
      </c>
      <c r="Y48" s="175">
        <f>ROUNDUP(IF('AS400 JEMBATAN'!$AB48&gt;='AS400 JEMBATAN'!$AA48,'AS400 JEMBATAN'!Y48,$AB48/$V$4)+$AD48,0)</f>
        <v>380</v>
      </c>
      <c r="Z48" s="175">
        <f>ROUNDUP(IF('AS400 JEMBATAN'!$AB48&gt;='AS400 JEMBATAN'!$AA48,'AS400 JEMBATAN'!Z48,$AB48/$V$4)+$AD48,0)</f>
        <v>0</v>
      </c>
      <c r="AA48" s="175">
        <f t="shared" ref="AA48:AA51" si="24">SUM(V48:Z48)</f>
        <v>1700</v>
      </c>
      <c r="AB48" s="175">
        <f>'QTY '!W48</f>
        <v>1700</v>
      </c>
      <c r="AC48" s="175">
        <f t="shared" ref="AC48:AC51" si="25">ROUNDUP((AB48-AA48)/$V$4,0)</f>
        <v>0</v>
      </c>
      <c r="AD48" s="183"/>
      <c r="AE48" s="175">
        <f>ROUNDUP(IF('AS400 JEMBATAN'!$AK48&gt;='AS400 JEMBATAN'!$AJ48,'AS400 JEMBATAN'!AE48,$AK48/$AE$4)+$AM48,0)</f>
        <v>390</v>
      </c>
      <c r="AF48" s="175">
        <f>ROUNDUP(IF('AS400 JEMBATAN'!$AK48&gt;='AS400 JEMBATAN'!$AJ48,'AS400 JEMBATAN'!AF48,$AK48/$AE$4)+$AM48,0)</f>
        <v>390</v>
      </c>
      <c r="AG48" s="175">
        <f>ROUNDUP(IF('AS400 JEMBATAN'!$AK48&gt;='AS400 JEMBATAN'!$AJ48,'AS400 JEMBATAN'!AG48,$AK48/$AE$4)+$AM48,0)</f>
        <v>390</v>
      </c>
      <c r="AH48" s="175">
        <f>ROUNDUP(IF('AS400 JEMBATAN'!$AK48&gt;='AS400 JEMBATAN'!$AJ48,'AS400 JEMBATAN'!AH48,$AK48/$AE$4)+$AM48,0)</f>
        <v>390</v>
      </c>
      <c r="AI48" s="175"/>
      <c r="AJ48" s="175">
        <f t="shared" ref="AJ48:AJ51" si="26">SUM(AE48:AI48)</f>
        <v>1560</v>
      </c>
      <c r="AK48" s="175">
        <f>'QTY '!Z48</f>
        <v>1560</v>
      </c>
      <c r="AL48" s="175">
        <f t="shared" ref="AL48:AL51" si="27">ROUNDUP((AK48-AJ48)/$AE$4,0)</f>
        <v>0</v>
      </c>
      <c r="AM48" s="178"/>
      <c r="AN48" s="179">
        <f>+'AS400 JEMBATAN'!AN48</f>
        <v>390</v>
      </c>
      <c r="AO48" s="179">
        <f>+'AS400 JEMBATAN'!AO48</f>
        <v>390</v>
      </c>
      <c r="AP48" s="179">
        <f>+'AS400 JEMBATAN'!AP48</f>
        <v>390</v>
      </c>
      <c r="AQ48" s="179">
        <f>+'AS400 JEMBATAN'!AQ48</f>
        <v>390</v>
      </c>
      <c r="AR48" s="175"/>
      <c r="AS48" s="175">
        <f t="shared" ref="AS48:AS51" si="28">SUM(AN48:AR48)</f>
        <v>1560</v>
      </c>
      <c r="AT48" s="175">
        <f>'QTY '!AC48</f>
        <v>1560</v>
      </c>
      <c r="AU48" s="175">
        <f t="shared" ref="AU48:AU51" si="29">ROUNDUP((AT48-AS48)/$AN$4,0)</f>
        <v>0</v>
      </c>
      <c r="AV48" s="178">
        <v>0</v>
      </c>
      <c r="AW48" s="180"/>
      <c r="AX48" s="180"/>
      <c r="AY48" s="180"/>
      <c r="AZ48" s="180"/>
      <c r="BA48" s="180"/>
    </row>
    <row r="49" spans="1:53" ht="18" customHeight="1" thickTop="1" thickBot="1">
      <c r="A49" s="210">
        <f>+'AS400 JEMBATAN'!A49</f>
        <v>0</v>
      </c>
      <c r="B49" s="200" t="str">
        <f>+'AS400 JEMBATAN'!B49</f>
        <v>BC111-16J40-1   0001</v>
      </c>
      <c r="C49" s="187" t="str">
        <f>'AS400 JEMBATAN'!C49</f>
        <v>BC 059J</v>
      </c>
      <c r="D49" s="175">
        <f>ROUNDUP(IF('AS400 JEMBATAN'!$J49&gt;='AS400 JEMBATAN'!$I49,'AS400 JEMBATAN'!D49,$J49/$D$4)+$L49,0)</f>
        <v>1040</v>
      </c>
      <c r="E49" s="175">
        <f>ROUNDUP(IF('AS400 JEMBATAN'!$J49&gt;='AS400 JEMBATAN'!$I49,'AS400 JEMBATAN'!E49,$J49/$D$4)+$L49,0)</f>
        <v>960</v>
      </c>
      <c r="F49" s="175">
        <f>ROUNDUP(IF('AS400 JEMBATAN'!$J49&gt;='AS400 JEMBATAN'!$I49,'AS400 JEMBATAN'!F49,$J49/$D$4)+$L49,0)</f>
        <v>1280</v>
      </c>
      <c r="G49" s="175">
        <f>ROUNDUP(IF('AS400 JEMBATAN'!$J49&gt;='AS400 JEMBATAN'!$I49,'AS400 JEMBATAN'!G49,$J49/$D$4)+$L49,0)</f>
        <v>1240</v>
      </c>
      <c r="H49" s="175"/>
      <c r="I49" s="175">
        <f t="shared" ref="I49:I50" si="30">SUM(D49:H49)</f>
        <v>4520</v>
      </c>
      <c r="J49" s="176">
        <f>'QTY '!Q49</f>
        <v>4520</v>
      </c>
      <c r="K49" s="176">
        <f t="shared" si="21"/>
        <v>0</v>
      </c>
      <c r="L49" s="177"/>
      <c r="M49" s="175">
        <f>ROUNDUP(IF('AS400 JEMBATAN'!$S49&gt;='AS400 JEMBATAN'!$R49,'AS400 JEMBATAN'!M49,$S49/$M$4)+$U49,0)</f>
        <v>1440</v>
      </c>
      <c r="N49" s="175">
        <f>ROUNDUP(IF('AS400 JEMBATAN'!$S49&gt;='AS400 JEMBATAN'!$R49,'AS400 JEMBATAN'!N49,$S49/$M$4)+$U49,0)</f>
        <v>1000</v>
      </c>
      <c r="O49" s="175">
        <f>ROUNDUP(IF('AS400 JEMBATAN'!$S49&gt;='AS400 JEMBATAN'!$R49,'AS400 JEMBATAN'!O49,$S49/$M$4)+$U49,0)</f>
        <v>0</v>
      </c>
      <c r="P49" s="175">
        <f>ROUNDUP(IF('AS400 JEMBATAN'!$S49&gt;='AS400 JEMBATAN'!$R49,'AS400 JEMBATAN'!P49,$S49/$M$4)+$U49,0)</f>
        <v>1480</v>
      </c>
      <c r="Q49" s="175">
        <f>ROUNDUP(IF('AS400 JEMBATAN'!$S49&gt;='AS400 JEMBATAN'!$R49,'AS400 JEMBATAN'!Q49,$S49/$M$4)+$U49,0)</f>
        <v>0</v>
      </c>
      <c r="R49" s="175">
        <f t="shared" si="22"/>
        <v>3920</v>
      </c>
      <c r="S49" s="175">
        <f>'QTY '!T49</f>
        <v>3920</v>
      </c>
      <c r="T49" s="176">
        <f t="shared" si="23"/>
        <v>0</v>
      </c>
      <c r="U49" s="178"/>
      <c r="V49" s="175">
        <f>ROUNDUP(IF('AS400 JEMBATAN'!$AB49&gt;='AS400 JEMBATAN'!$AA49,'AS400 JEMBATAN'!V49,$AB49/$V$4)+$AD49,0)</f>
        <v>1240</v>
      </c>
      <c r="W49" s="175">
        <f>ROUNDUP(IF('AS400 JEMBATAN'!$AB49&gt;='AS400 JEMBATAN'!$AA49,'AS400 JEMBATAN'!W49,$AB49/$V$4)+$AD49,0)</f>
        <v>960</v>
      </c>
      <c r="X49" s="175">
        <f>ROUNDUP(IF('AS400 JEMBATAN'!$AB49&gt;='AS400 JEMBATAN'!$AA49,'AS400 JEMBATAN'!X49,$AB49/$V$4)+$AD49,0)</f>
        <v>1080</v>
      </c>
      <c r="Y49" s="175">
        <f>ROUNDUP(IF('AS400 JEMBATAN'!$AB49&gt;='AS400 JEMBATAN'!$AA49,'AS400 JEMBATAN'!Y49,$AB49/$V$4)+$AD49,0)</f>
        <v>1000</v>
      </c>
      <c r="Z49" s="175">
        <f>ROUNDUP(IF('AS400 JEMBATAN'!$AB49&gt;='AS400 JEMBATAN'!$AA49,'AS400 JEMBATAN'!Z49,$AB49/$V$4)+$AD49,0)</f>
        <v>0</v>
      </c>
      <c r="AA49" s="175">
        <f t="shared" si="24"/>
        <v>4280</v>
      </c>
      <c r="AB49" s="175">
        <f>'QTY '!W49</f>
        <v>4280</v>
      </c>
      <c r="AC49" s="175">
        <f t="shared" si="25"/>
        <v>0</v>
      </c>
      <c r="AD49" s="183"/>
      <c r="AE49" s="175">
        <f>ROUNDUP(IF('AS400 JEMBATAN'!$AK49&gt;='AS400 JEMBATAN'!$AJ49,'AS400 JEMBATAN'!AE49,$AK49/$AE$4)+$AM49,0)</f>
        <v>990</v>
      </c>
      <c r="AF49" s="175">
        <f>ROUNDUP(IF('AS400 JEMBATAN'!$AK49&gt;='AS400 JEMBATAN'!$AJ49,'AS400 JEMBATAN'!AF49,$AK49/$AE$4)+$AM49,0)</f>
        <v>990</v>
      </c>
      <c r="AG49" s="175">
        <f>ROUNDUP(IF('AS400 JEMBATAN'!$AK49&gt;='AS400 JEMBATAN'!$AJ49,'AS400 JEMBATAN'!AG49,$AK49/$AE$4)+$AM49,0)</f>
        <v>990</v>
      </c>
      <c r="AH49" s="175">
        <f>ROUNDUP(IF('AS400 JEMBATAN'!$AK49&gt;='AS400 JEMBATAN'!$AJ49,'AS400 JEMBATAN'!AH49,$AK49/$AE$4)+$AM49,0)</f>
        <v>990</v>
      </c>
      <c r="AI49" s="175"/>
      <c r="AJ49" s="175">
        <f t="shared" si="26"/>
        <v>3960</v>
      </c>
      <c r="AK49" s="175">
        <f>'QTY '!Z49</f>
        <v>3960</v>
      </c>
      <c r="AL49" s="175">
        <f t="shared" si="27"/>
        <v>0</v>
      </c>
      <c r="AM49" s="178"/>
      <c r="AN49" s="179">
        <f>+'AS400 JEMBATAN'!AN49</f>
        <v>990</v>
      </c>
      <c r="AO49" s="179">
        <f>+'AS400 JEMBATAN'!AO49</f>
        <v>990</v>
      </c>
      <c r="AP49" s="179">
        <f>+'AS400 JEMBATAN'!AP49</f>
        <v>990</v>
      </c>
      <c r="AQ49" s="179">
        <f>+'AS400 JEMBATAN'!AQ49</f>
        <v>990</v>
      </c>
      <c r="AR49" s="175"/>
      <c r="AS49" s="175">
        <f t="shared" si="28"/>
        <v>3960</v>
      </c>
      <c r="AT49" s="175">
        <f>'QTY '!AC49</f>
        <v>3960</v>
      </c>
      <c r="AU49" s="175">
        <f t="shared" si="29"/>
        <v>0</v>
      </c>
      <c r="AV49" s="178">
        <v>0</v>
      </c>
      <c r="AW49" s="180"/>
      <c r="AX49" s="180"/>
      <c r="AY49" s="180"/>
      <c r="AZ49" s="180"/>
      <c r="BA49" s="180"/>
    </row>
    <row r="50" spans="1:53" ht="18" customHeight="1" thickTop="1" thickBot="1">
      <c r="A50" s="210">
        <f>+'AS400 JEMBATAN'!A50</f>
        <v>0</v>
      </c>
      <c r="B50" s="200" t="str">
        <f>+'AS400 JEMBATAN'!B50</f>
        <v>BC111-16R30-1   0001</v>
      </c>
      <c r="C50" s="187" t="str">
        <f>'AS400 JEMBATAN'!C50</f>
        <v>BC 059J</v>
      </c>
      <c r="D50" s="175">
        <f>ROUNDUP(IF('AS400 JEMBATAN'!$J50&gt;='AS400 JEMBATAN'!$I50,'AS400 JEMBATAN'!D50,$J50/$D$4)+$L50,0)</f>
        <v>440</v>
      </c>
      <c r="E50" s="175">
        <f>ROUNDUP(IF('AS400 JEMBATAN'!$J50&gt;='AS400 JEMBATAN'!$I50,'AS400 JEMBATAN'!E50,$J50/$D$4)+$L50,0)</f>
        <v>480</v>
      </c>
      <c r="F50" s="175">
        <f>ROUNDUP(IF('AS400 JEMBATAN'!$J50&gt;='AS400 JEMBATAN'!$I50,'AS400 JEMBATAN'!F50,$J50/$D$4)+$L50,0)</f>
        <v>600</v>
      </c>
      <c r="G50" s="175">
        <f>ROUNDUP(IF('AS400 JEMBATAN'!$J50&gt;='AS400 JEMBATAN'!$I50,'AS400 JEMBATAN'!G50,$J50/$D$4)+$L50,0)</f>
        <v>560</v>
      </c>
      <c r="H50" s="175"/>
      <c r="I50" s="175">
        <f t="shared" si="30"/>
        <v>2080</v>
      </c>
      <c r="J50" s="176">
        <f>'QTY '!Q50</f>
        <v>2080</v>
      </c>
      <c r="K50" s="176">
        <f t="shared" si="21"/>
        <v>0</v>
      </c>
      <c r="L50" s="177"/>
      <c r="M50" s="175">
        <f>ROUNDUP(IF('AS400 JEMBATAN'!$S50&gt;='AS400 JEMBATAN'!$R50,'AS400 JEMBATAN'!M50,$S50/$M$4)+$U50,0)</f>
        <v>680</v>
      </c>
      <c r="N50" s="175">
        <f>ROUNDUP(IF('AS400 JEMBATAN'!$S50&gt;='AS400 JEMBATAN'!$R50,'AS400 JEMBATAN'!N50,$S50/$M$4)+$U50,0)</f>
        <v>480</v>
      </c>
      <c r="O50" s="175">
        <f>ROUNDUP(IF('AS400 JEMBATAN'!$S50&gt;='AS400 JEMBATAN'!$R50,'AS400 JEMBATAN'!O50,$S50/$M$4)+$U50,0)</f>
        <v>0</v>
      </c>
      <c r="P50" s="175">
        <f>ROUNDUP(IF('AS400 JEMBATAN'!$S50&gt;='AS400 JEMBATAN'!$R50,'AS400 JEMBATAN'!P50,$S50/$M$4)+$U50,0)</f>
        <v>720</v>
      </c>
      <c r="Q50" s="175">
        <f>ROUNDUP(IF('AS400 JEMBATAN'!$S50&gt;='AS400 JEMBATAN'!$R50,'AS400 JEMBATAN'!Q50,$S50/$M$4)+$U50,0)</f>
        <v>0</v>
      </c>
      <c r="R50" s="175">
        <f t="shared" si="22"/>
        <v>1880</v>
      </c>
      <c r="S50" s="175">
        <f>'QTY '!T50</f>
        <v>1880</v>
      </c>
      <c r="T50" s="176">
        <f t="shared" si="23"/>
        <v>0</v>
      </c>
      <c r="U50" s="178"/>
      <c r="V50" s="175">
        <f>ROUNDUP(IF('AS400 JEMBATAN'!$AB50&gt;='AS400 JEMBATAN'!$AA50,'AS400 JEMBATAN'!V50,$AB50/$V$4)+$AD50,0)</f>
        <v>600</v>
      </c>
      <c r="W50" s="175">
        <f>ROUNDUP(IF('AS400 JEMBATAN'!$AB50&gt;='AS400 JEMBATAN'!$AA50,'AS400 JEMBATAN'!W50,$AB50/$V$4)+$AD50,0)</f>
        <v>480</v>
      </c>
      <c r="X50" s="175">
        <f>ROUNDUP(IF('AS400 JEMBATAN'!$AB50&gt;='AS400 JEMBATAN'!$AA50,'AS400 JEMBATAN'!X50,$AB50/$V$4)+$AD50,0)</f>
        <v>520</v>
      </c>
      <c r="Y50" s="175">
        <f>ROUNDUP(IF('AS400 JEMBATAN'!$AB50&gt;='AS400 JEMBATAN'!$AA50,'AS400 JEMBATAN'!Y50,$AB50/$V$4)+$AD50,0)</f>
        <v>440</v>
      </c>
      <c r="Z50" s="175">
        <f>ROUNDUP(IF('AS400 JEMBATAN'!$AB50&gt;='AS400 JEMBATAN'!$AA50,'AS400 JEMBATAN'!Z50,$AB50/$V$4)+$AD50,0)</f>
        <v>0</v>
      </c>
      <c r="AA50" s="175">
        <f t="shared" si="24"/>
        <v>2040</v>
      </c>
      <c r="AB50" s="175">
        <f>'QTY '!W50</f>
        <v>2040</v>
      </c>
      <c r="AC50" s="175">
        <f t="shared" si="25"/>
        <v>0</v>
      </c>
      <c r="AD50" s="183"/>
      <c r="AE50" s="175">
        <f>ROUNDUP(IF('AS400 JEMBATAN'!$AK50&gt;='AS400 JEMBATAN'!$AJ50,'AS400 JEMBATAN'!AE50,$AK50/$AE$4)+$AM50,0)</f>
        <v>480</v>
      </c>
      <c r="AF50" s="175">
        <f>ROUNDUP(IF('AS400 JEMBATAN'!$AK50&gt;='AS400 JEMBATAN'!$AJ50,'AS400 JEMBATAN'!AF50,$AK50/$AE$4)+$AM50,0)</f>
        <v>480</v>
      </c>
      <c r="AG50" s="175">
        <f>ROUNDUP(IF('AS400 JEMBATAN'!$AK50&gt;='AS400 JEMBATAN'!$AJ50,'AS400 JEMBATAN'!AG50,$AK50/$AE$4)+$AM50,0)</f>
        <v>480</v>
      </c>
      <c r="AH50" s="175">
        <f>ROUNDUP(IF('AS400 JEMBATAN'!$AK50&gt;='AS400 JEMBATAN'!$AJ50,'AS400 JEMBATAN'!AH50,$AK50/$AE$4)+$AM50,0)</f>
        <v>480</v>
      </c>
      <c r="AI50" s="175"/>
      <c r="AJ50" s="175">
        <f t="shared" si="26"/>
        <v>1920</v>
      </c>
      <c r="AK50" s="175">
        <f>'QTY '!Z50</f>
        <v>1920</v>
      </c>
      <c r="AL50" s="175">
        <f t="shared" si="27"/>
        <v>0</v>
      </c>
      <c r="AM50" s="178"/>
      <c r="AN50" s="179">
        <f>+'AS400 JEMBATAN'!AN50</f>
        <v>480</v>
      </c>
      <c r="AO50" s="179">
        <f>+'AS400 JEMBATAN'!AO50</f>
        <v>480</v>
      </c>
      <c r="AP50" s="179">
        <f>+'AS400 JEMBATAN'!AP50</f>
        <v>480</v>
      </c>
      <c r="AQ50" s="179">
        <f>+'AS400 JEMBATAN'!AQ50</f>
        <v>480</v>
      </c>
      <c r="AR50" s="175"/>
      <c r="AS50" s="175">
        <f t="shared" si="28"/>
        <v>1920</v>
      </c>
      <c r="AT50" s="175">
        <f>'QTY '!AC50</f>
        <v>1920</v>
      </c>
      <c r="AU50" s="175">
        <f t="shared" si="29"/>
        <v>0</v>
      </c>
      <c r="AV50" s="178">
        <v>0</v>
      </c>
      <c r="AW50" s="180"/>
      <c r="AX50" s="180"/>
      <c r="AY50" s="180"/>
      <c r="AZ50" s="180"/>
      <c r="BA50" s="180"/>
    </row>
    <row r="51" spans="1:53" ht="18" customHeight="1" thickTop="1" thickBot="1">
      <c r="A51" s="210">
        <f>+'AS400 JEMBATAN'!A51</f>
        <v>0</v>
      </c>
      <c r="B51" s="200" t="str">
        <f>+'AS400 JEMBATAN'!B51</f>
        <v>BC111-16R90-1   0001</v>
      </c>
      <c r="C51" s="187" t="str">
        <f>'AS400 JEMBATAN'!C51</f>
        <v>BC 059J</v>
      </c>
      <c r="D51" s="175">
        <f>ROUNDUP(IF('AS400 JEMBATAN'!$J51&gt;='AS400 JEMBATAN'!$I51,'AS400 JEMBATAN'!D51,$J51/$D$4)+$L51,0)</f>
        <v>260</v>
      </c>
      <c r="E51" s="175">
        <f>ROUNDUP(IF('AS400 JEMBATAN'!$J51&gt;='AS400 JEMBATAN'!$I51,'AS400 JEMBATAN'!E51,$J51/$D$4)+$L51,0)</f>
        <v>320</v>
      </c>
      <c r="F51" s="175">
        <f>ROUNDUP(IF('AS400 JEMBATAN'!$J51&gt;='AS400 JEMBATAN'!$I51,'AS400 JEMBATAN'!F51,$J51/$D$4)+$L51,0)</f>
        <v>400</v>
      </c>
      <c r="G51" s="175">
        <f>ROUNDUP(IF('AS400 JEMBATAN'!$J51&gt;='AS400 JEMBATAN'!$I51,'AS400 JEMBATAN'!G51,$J51/$D$4)+$L51,0)</f>
        <v>400</v>
      </c>
      <c r="H51" s="175"/>
      <c r="I51" s="175">
        <f>SUM(D51:H51)</f>
        <v>1380</v>
      </c>
      <c r="J51" s="176">
        <f>'QTY '!Q51</f>
        <v>1380</v>
      </c>
      <c r="K51" s="176">
        <f t="shared" si="21"/>
        <v>0</v>
      </c>
      <c r="L51" s="177"/>
      <c r="M51" s="175">
        <f>ROUNDUP(IF('AS400 JEMBATAN'!$S51&gt;='AS400 JEMBATAN'!$R51,'AS400 JEMBATAN'!M51,$S51/$M$4)+$U51,0)</f>
        <v>460</v>
      </c>
      <c r="N51" s="175">
        <f>ROUNDUP(IF('AS400 JEMBATAN'!$S51&gt;='AS400 JEMBATAN'!$R51,'AS400 JEMBATAN'!N51,$S51/$M$4)+$U51,0)</f>
        <v>320</v>
      </c>
      <c r="O51" s="175">
        <f>ROUNDUP(IF('AS400 JEMBATAN'!$S51&gt;='AS400 JEMBATAN'!$R51,'AS400 JEMBATAN'!O51,$S51/$M$4)+$U51,0)</f>
        <v>0</v>
      </c>
      <c r="P51" s="175">
        <f>ROUNDUP(IF('AS400 JEMBATAN'!$S51&gt;='AS400 JEMBATAN'!$R51,'AS400 JEMBATAN'!P51,$S51/$M$4)+$U51,0)</f>
        <v>480</v>
      </c>
      <c r="Q51" s="175">
        <f>ROUNDUP(IF('AS400 JEMBATAN'!$S51&gt;='AS400 JEMBATAN'!$R51,'AS400 JEMBATAN'!Q51,$S51/$M$4)+$U51,0)</f>
        <v>0</v>
      </c>
      <c r="R51" s="175">
        <f t="shared" si="22"/>
        <v>1260</v>
      </c>
      <c r="S51" s="175">
        <f>'QTY '!T51</f>
        <v>1260</v>
      </c>
      <c r="T51" s="176">
        <f t="shared" si="23"/>
        <v>0</v>
      </c>
      <c r="U51" s="178"/>
      <c r="V51" s="175">
        <f>ROUNDUP(IF('AS400 JEMBATAN'!$AB51&gt;='AS400 JEMBATAN'!$AA51,'AS400 JEMBATAN'!V51,$AB51/$V$4)+$AD51,0)</f>
        <v>380</v>
      </c>
      <c r="W51" s="175">
        <f>ROUNDUP(IF('AS400 JEMBATAN'!$AB51&gt;='AS400 JEMBATAN'!$AA51,'AS400 JEMBATAN'!W51,$AB51/$V$4)+$AD51,0)</f>
        <v>300</v>
      </c>
      <c r="X51" s="175">
        <f>ROUNDUP(IF('AS400 JEMBATAN'!$AB51&gt;='AS400 JEMBATAN'!$AA51,'AS400 JEMBATAN'!X51,$AB51/$V$4)+$AD51,0)</f>
        <v>360</v>
      </c>
      <c r="Y51" s="175">
        <f>ROUNDUP(IF('AS400 JEMBATAN'!$AB51&gt;='AS400 JEMBATAN'!$AA51,'AS400 JEMBATAN'!Y51,$AB51/$V$4)+$AD51,0)</f>
        <v>300</v>
      </c>
      <c r="Z51" s="175">
        <f>ROUNDUP(IF('AS400 JEMBATAN'!$AB51&gt;='AS400 JEMBATAN'!$AA51,'AS400 JEMBATAN'!Z51,$AB51/$V$4)+$AD51,0)</f>
        <v>0</v>
      </c>
      <c r="AA51" s="175">
        <f t="shared" si="24"/>
        <v>1340</v>
      </c>
      <c r="AB51" s="175">
        <f>'QTY '!W51</f>
        <v>1340</v>
      </c>
      <c r="AC51" s="175">
        <f t="shared" si="25"/>
        <v>0</v>
      </c>
      <c r="AD51" s="183"/>
      <c r="AE51" s="175">
        <f>ROUNDUP(IF('AS400 JEMBATAN'!$AK51&gt;='AS400 JEMBATAN'!$AJ51,'AS400 JEMBATAN'!AE51,$AK51/$AE$4)+$AM51,0)</f>
        <v>305</v>
      </c>
      <c r="AF51" s="175">
        <f>ROUNDUP(IF('AS400 JEMBATAN'!$AK51&gt;='AS400 JEMBATAN'!$AJ51,'AS400 JEMBATAN'!AF51,$AK51/$AE$4)+$AM51,0)</f>
        <v>305</v>
      </c>
      <c r="AG51" s="175">
        <f>ROUNDUP(IF('AS400 JEMBATAN'!$AK51&gt;='AS400 JEMBATAN'!$AJ51,'AS400 JEMBATAN'!AG51,$AK51/$AE$4)+$AM51,0)</f>
        <v>305</v>
      </c>
      <c r="AH51" s="175">
        <f>ROUNDUP(IF('AS400 JEMBATAN'!$AK51&gt;='AS400 JEMBATAN'!$AJ51,'AS400 JEMBATAN'!AH51,$AK51/$AE$4)+$AM51,0)</f>
        <v>305</v>
      </c>
      <c r="AI51" s="175"/>
      <c r="AJ51" s="175">
        <f t="shared" si="26"/>
        <v>1220</v>
      </c>
      <c r="AK51" s="175">
        <f>'QTY '!Z51</f>
        <v>1220</v>
      </c>
      <c r="AL51" s="175">
        <f t="shared" si="27"/>
        <v>0</v>
      </c>
      <c r="AM51" s="178"/>
      <c r="AN51" s="179">
        <f>+'AS400 JEMBATAN'!AN51</f>
        <v>305</v>
      </c>
      <c r="AO51" s="179">
        <f>+'AS400 JEMBATAN'!AO51</f>
        <v>305</v>
      </c>
      <c r="AP51" s="179">
        <f>+'AS400 JEMBATAN'!AP51</f>
        <v>305</v>
      </c>
      <c r="AQ51" s="179">
        <f>+'AS400 JEMBATAN'!AQ51</f>
        <v>305</v>
      </c>
      <c r="AR51" s="175"/>
      <c r="AS51" s="175">
        <f t="shared" si="28"/>
        <v>1220</v>
      </c>
      <c r="AT51" s="175">
        <f>'QTY '!AC51</f>
        <v>1220</v>
      </c>
      <c r="AU51" s="175">
        <f t="shared" si="29"/>
        <v>0</v>
      </c>
      <c r="AV51" s="178">
        <v>0</v>
      </c>
      <c r="AW51" s="180"/>
      <c r="AX51" s="180"/>
      <c r="AY51" s="180"/>
      <c r="AZ51" s="180"/>
      <c r="BA51" s="180"/>
    </row>
    <row r="52" spans="1:53" ht="18" customHeight="1" thickTop="1" thickBot="1">
      <c r="A52" s="210">
        <f>+'AS400 JEMBATAN'!A52</f>
        <v>0</v>
      </c>
      <c r="B52" s="200" t="str">
        <f>+'AS400 JEMBATAN'!B52</f>
        <v>DC111-V3G90 B 0101</v>
      </c>
      <c r="C52" s="187" t="str">
        <f>'AS400 JEMBATAN'!C52</f>
        <v>559D</v>
      </c>
      <c r="D52" s="175">
        <f>ROUNDUP(IF('AS400 JEMBATAN'!$J52&gt;='AS400 JEMBATAN'!$I52,'AS400 JEMBATAN'!D52,$J52/$D$4)+$L52,0)</f>
        <v>40</v>
      </c>
      <c r="E52" s="175">
        <f>ROUNDUP(IF('AS400 JEMBATAN'!$J52&gt;='AS400 JEMBATAN'!$I52,'AS400 JEMBATAN'!E52,$J52/$D$4)+$L52,0)</f>
        <v>0</v>
      </c>
      <c r="F52" s="175">
        <f>ROUNDUP(IF('AS400 JEMBATAN'!$J52&gt;='AS400 JEMBATAN'!$I52,'AS400 JEMBATAN'!F52,$J52/$D$4)+$L52,0)</f>
        <v>0</v>
      </c>
      <c r="G52" s="175">
        <f>ROUNDUP(IF('AS400 JEMBATAN'!$J52&gt;='AS400 JEMBATAN'!$I52,'AS400 JEMBATAN'!G52,$J52/$D$4)+$L52,0)</f>
        <v>0</v>
      </c>
      <c r="H52" s="175"/>
      <c r="I52" s="175">
        <f t="shared" ref="I52:I54" si="31">SUM(D52:H52)</f>
        <v>40</v>
      </c>
      <c r="J52" s="176">
        <f>'QTY '!Q52</f>
        <v>40</v>
      </c>
      <c r="K52" s="176">
        <f t="shared" ref="K52:K54" si="32">ROUNDUP((J52-I52)/$D$4,0)</f>
        <v>0</v>
      </c>
      <c r="L52" s="177"/>
      <c r="M52" s="175">
        <f>ROUNDUP(IF('AS400 JEMBATAN'!$S52&gt;='AS400 JEMBATAN'!$R52,'AS400 JEMBATAN'!M52,$S52/$M$4)+$U52,0)</f>
        <v>0</v>
      </c>
      <c r="N52" s="175">
        <f>ROUNDUP(IF('AS400 JEMBATAN'!$S52&gt;='AS400 JEMBATAN'!$R52,'AS400 JEMBATAN'!N52,$S52/$M$4)+$U52,0)</f>
        <v>0</v>
      </c>
      <c r="O52" s="175">
        <f>ROUNDUP(IF('AS400 JEMBATAN'!$S52&gt;='AS400 JEMBATAN'!$R52,'AS400 JEMBATAN'!O52,$S52/$M$4)+$U52,0)</f>
        <v>0</v>
      </c>
      <c r="P52" s="175">
        <f>ROUNDUP(IF('AS400 JEMBATAN'!$S52&gt;='AS400 JEMBATAN'!$R52,'AS400 JEMBATAN'!P52,$S52/$M$4)+$U52,0)</f>
        <v>40</v>
      </c>
      <c r="Q52" s="175">
        <f>ROUNDUP(IF('AS400 JEMBATAN'!$S52&gt;='AS400 JEMBATAN'!$R52,'AS400 JEMBATAN'!Q52,$S52/$M$4)+$U52,0)</f>
        <v>0</v>
      </c>
      <c r="R52" s="175">
        <f t="shared" ref="R52:R54" si="33">SUM(M52:Q52)</f>
        <v>40</v>
      </c>
      <c r="S52" s="175">
        <f>'QTY '!T52</f>
        <v>40</v>
      </c>
      <c r="T52" s="176">
        <f t="shared" ref="T52:T54" si="34">ROUNDUP((S52-R52)/$M$4,0)</f>
        <v>0</v>
      </c>
      <c r="U52" s="178"/>
      <c r="V52" s="175">
        <f>ROUNDUP(IF('AS400 JEMBATAN'!$AB52&gt;='AS400 JEMBATAN'!$AA52,'AS400 JEMBATAN'!V52,$AB52/$V$4)+$AD52,0)</f>
        <v>0</v>
      </c>
      <c r="W52" s="175">
        <f>ROUNDUP(IF('AS400 JEMBATAN'!$AB52&gt;='AS400 JEMBATAN'!$AA52,'AS400 JEMBATAN'!W52,$AB52/$V$4)+$AD52,0)</f>
        <v>0</v>
      </c>
      <c r="X52" s="175">
        <f>ROUNDUP(IF('AS400 JEMBATAN'!$AB52&gt;='AS400 JEMBATAN'!$AA52,'AS400 JEMBATAN'!X52,$AB52/$V$4)+$AD52,0)</f>
        <v>0</v>
      </c>
      <c r="Y52" s="175">
        <f>ROUNDUP(IF('AS400 JEMBATAN'!$AB52&gt;='AS400 JEMBATAN'!$AA52,'AS400 JEMBATAN'!Y52,$AB52/$V$4)+$AD52,0)</f>
        <v>0</v>
      </c>
      <c r="Z52" s="175">
        <f>ROUNDUP(IF('AS400 JEMBATAN'!$AB52&gt;='AS400 JEMBATAN'!$AA52,'AS400 JEMBATAN'!Z52,$AB52/$V$4)+$AD52,0)</f>
        <v>0</v>
      </c>
      <c r="AA52" s="175">
        <f t="shared" ref="AA52:AA54" si="35">SUM(V52:Z52)</f>
        <v>0</v>
      </c>
      <c r="AB52" s="175">
        <f>'QTY '!W52</f>
        <v>0</v>
      </c>
      <c r="AC52" s="175">
        <f t="shared" ref="AC52:AC54" si="36">ROUNDUP((AB52-AA52)/$V$4,0)</f>
        <v>0</v>
      </c>
      <c r="AD52" s="183"/>
      <c r="AE52" s="175">
        <f>ROUNDUP(IF('AS400 JEMBATAN'!$AK52&gt;='AS400 JEMBATAN'!$AJ52,'AS400 JEMBATAN'!AE52,$AK52/$AE$4)+$AM52,0)</f>
        <v>0</v>
      </c>
      <c r="AF52" s="175">
        <f>ROUNDUP(IF('AS400 JEMBATAN'!$AK52&gt;='AS400 JEMBATAN'!$AJ52,'AS400 JEMBATAN'!AF52,$AK52/$AE$4)+$AM52,0)</f>
        <v>0</v>
      </c>
      <c r="AG52" s="175">
        <f>ROUNDUP(IF('AS400 JEMBATAN'!$AK52&gt;='AS400 JEMBATAN'!$AJ52,'AS400 JEMBATAN'!AG52,$AK52/$AE$4)+$AM52,0)</f>
        <v>0</v>
      </c>
      <c r="AH52" s="175">
        <f>ROUNDUP(IF('AS400 JEMBATAN'!$AK52&gt;='AS400 JEMBATAN'!$AJ52,'AS400 JEMBATAN'!AH52,$AK52/$AE$4)+$AM52,0)</f>
        <v>0</v>
      </c>
      <c r="AI52" s="175"/>
      <c r="AJ52" s="175">
        <f t="shared" ref="AJ52:AJ54" si="37">SUM(AE52:AI52)</f>
        <v>0</v>
      </c>
      <c r="AK52" s="175">
        <f>'QTY '!Z52</f>
        <v>0</v>
      </c>
      <c r="AL52" s="175">
        <f t="shared" ref="AL52:AL54" si="38">ROUNDUP((AK52-AJ52)/$AE$4,0)</f>
        <v>0</v>
      </c>
      <c r="AM52" s="178"/>
      <c r="AN52" s="179">
        <f>+'AS400 JEMBATAN'!AN52</f>
        <v>0</v>
      </c>
      <c r="AO52" s="179">
        <f>+'AS400 JEMBATAN'!AO52</f>
        <v>0</v>
      </c>
      <c r="AP52" s="179">
        <f>+'AS400 JEMBATAN'!AP52</f>
        <v>0</v>
      </c>
      <c r="AQ52" s="179">
        <f>+'AS400 JEMBATAN'!AQ52</f>
        <v>0</v>
      </c>
      <c r="AR52" s="175"/>
      <c r="AS52" s="175">
        <f t="shared" ref="AS52:AS54" si="39">SUM(AN52:AR52)</f>
        <v>0</v>
      </c>
      <c r="AT52" s="175">
        <f>'QTY '!AC52</f>
        <v>0</v>
      </c>
      <c r="AU52" s="175">
        <f t="shared" ref="AU52:AU54" si="40">ROUNDUP((AT52-AS52)/$AN$4,0)</f>
        <v>0</v>
      </c>
      <c r="AV52" s="178">
        <v>0</v>
      </c>
      <c r="AW52" s="180"/>
      <c r="AX52" s="180"/>
      <c r="AY52" s="180"/>
      <c r="AZ52" s="180"/>
      <c r="BA52" s="180"/>
    </row>
    <row r="53" spans="1:53" ht="18" customHeight="1" thickTop="1" thickBot="1">
      <c r="A53" s="210">
        <f>+'AS400 JEMBATAN'!A53</f>
        <v>0</v>
      </c>
      <c r="B53" s="200" t="str">
        <f>+'AS400 JEMBATAN'!B53</f>
        <v>DC111-V3C10 B 0101</v>
      </c>
      <c r="C53" s="187" t="str">
        <f>'AS400 JEMBATAN'!C53</f>
        <v>559D</v>
      </c>
      <c r="D53" s="175">
        <f>ROUNDUP(IF('AS400 JEMBATAN'!$J53&gt;='AS400 JEMBATAN'!$I53,'AS400 JEMBATAN'!D53,$J53/$D$4)+$L53,0)</f>
        <v>80</v>
      </c>
      <c r="E53" s="175">
        <f>ROUNDUP(IF('AS400 JEMBATAN'!$J53&gt;='AS400 JEMBATAN'!$I53,'AS400 JEMBATAN'!E53,$J53/$D$4)+$L53,0)</f>
        <v>80</v>
      </c>
      <c r="F53" s="175">
        <f>ROUNDUP(IF('AS400 JEMBATAN'!$J53&gt;='AS400 JEMBATAN'!$I53,'AS400 JEMBATAN'!F53,$J53/$D$4)+$L53,0)</f>
        <v>120</v>
      </c>
      <c r="G53" s="175">
        <f>ROUNDUP(IF('AS400 JEMBATAN'!$J53&gt;='AS400 JEMBATAN'!$I53,'AS400 JEMBATAN'!G53,$J53/$D$4)+$L53,0)</f>
        <v>80</v>
      </c>
      <c r="H53" s="175"/>
      <c r="I53" s="175">
        <f t="shared" si="31"/>
        <v>360</v>
      </c>
      <c r="J53" s="176">
        <f>'QTY '!Q53</f>
        <v>360</v>
      </c>
      <c r="K53" s="176">
        <f t="shared" si="32"/>
        <v>0</v>
      </c>
      <c r="L53" s="177"/>
      <c r="M53" s="175">
        <f>ROUNDUP(IF('AS400 JEMBATAN'!$S53&gt;='AS400 JEMBATAN'!$R53,'AS400 JEMBATAN'!M53,$S53/$M$4)+$U53,0)</f>
        <v>120</v>
      </c>
      <c r="N53" s="175">
        <f>ROUNDUP(IF('AS400 JEMBATAN'!$S53&gt;='AS400 JEMBATAN'!$R53,'AS400 JEMBATAN'!N53,$S53/$M$4)+$U53,0)</f>
        <v>80</v>
      </c>
      <c r="O53" s="175">
        <f>ROUNDUP(IF('AS400 JEMBATAN'!$S53&gt;='AS400 JEMBATAN'!$R53,'AS400 JEMBATAN'!O53,$S53/$M$4)+$U53,0)</f>
        <v>0</v>
      </c>
      <c r="P53" s="175">
        <f>ROUNDUP(IF('AS400 JEMBATAN'!$S53&gt;='AS400 JEMBATAN'!$R53,'AS400 JEMBATAN'!P53,$S53/$M$4)+$U53,0)</f>
        <v>80</v>
      </c>
      <c r="Q53" s="175">
        <f>ROUNDUP(IF('AS400 JEMBATAN'!$S53&gt;='AS400 JEMBATAN'!$R53,'AS400 JEMBATAN'!Q53,$S53/$M$4)+$U53,0)</f>
        <v>0</v>
      </c>
      <c r="R53" s="175">
        <f t="shared" si="33"/>
        <v>280</v>
      </c>
      <c r="S53" s="175">
        <f>'QTY '!T53</f>
        <v>280</v>
      </c>
      <c r="T53" s="176">
        <f t="shared" si="34"/>
        <v>0</v>
      </c>
      <c r="U53" s="178"/>
      <c r="V53" s="175">
        <f>ROUNDUP(IF('AS400 JEMBATAN'!$AB53&gt;='AS400 JEMBATAN'!$AA53,'AS400 JEMBATAN'!V53,$AB53/$V$4)+$AD53,0)</f>
        <v>80</v>
      </c>
      <c r="W53" s="175">
        <f>ROUNDUP(IF('AS400 JEMBATAN'!$AB53&gt;='AS400 JEMBATAN'!$AA53,'AS400 JEMBATAN'!W53,$AB53/$V$4)+$AD53,0)</f>
        <v>80</v>
      </c>
      <c r="X53" s="175">
        <f>ROUNDUP(IF('AS400 JEMBATAN'!$AB53&gt;='AS400 JEMBATAN'!$AA53,'AS400 JEMBATAN'!X53,$AB53/$V$4)+$AD53,0)</f>
        <v>80</v>
      </c>
      <c r="Y53" s="175">
        <f>ROUNDUP(IF('AS400 JEMBATAN'!$AB53&gt;='AS400 JEMBATAN'!$AA53,'AS400 JEMBATAN'!Y53,$AB53/$V$4)+$AD53,0)</f>
        <v>120</v>
      </c>
      <c r="Z53" s="175">
        <f>ROUNDUP(IF('AS400 JEMBATAN'!$AB53&gt;='AS400 JEMBATAN'!$AA53,'AS400 JEMBATAN'!Z53,$AB53/$V$4)+$AD53,0)</f>
        <v>0</v>
      </c>
      <c r="AA53" s="175">
        <f t="shared" si="35"/>
        <v>360</v>
      </c>
      <c r="AB53" s="175">
        <f>'QTY '!W53</f>
        <v>360</v>
      </c>
      <c r="AC53" s="175">
        <f t="shared" si="36"/>
        <v>0</v>
      </c>
      <c r="AD53" s="183"/>
      <c r="AE53" s="175">
        <f>ROUNDUP(IF('AS400 JEMBATAN'!$AK53&gt;='AS400 JEMBATAN'!$AJ53,'AS400 JEMBATAN'!AE53,$AK53/$AE$4)+$AM53,0)</f>
        <v>150</v>
      </c>
      <c r="AF53" s="175">
        <f>ROUNDUP(IF('AS400 JEMBATAN'!$AK53&gt;='AS400 JEMBATAN'!$AJ53,'AS400 JEMBATAN'!AF53,$AK53/$AE$4)+$AM53,0)</f>
        <v>150</v>
      </c>
      <c r="AG53" s="175">
        <f>ROUNDUP(IF('AS400 JEMBATAN'!$AK53&gt;='AS400 JEMBATAN'!$AJ53,'AS400 JEMBATAN'!AG53,$AK53/$AE$4)+$AM53,0)</f>
        <v>150</v>
      </c>
      <c r="AH53" s="175">
        <f>ROUNDUP(IF('AS400 JEMBATAN'!$AK53&gt;='AS400 JEMBATAN'!$AJ53,'AS400 JEMBATAN'!AH53,$AK53/$AE$4)+$AM53,0)</f>
        <v>150</v>
      </c>
      <c r="AI53" s="175"/>
      <c r="AJ53" s="175">
        <f t="shared" si="37"/>
        <v>600</v>
      </c>
      <c r="AK53" s="175">
        <f>'QTY '!Z53</f>
        <v>600</v>
      </c>
      <c r="AL53" s="175">
        <f t="shared" si="38"/>
        <v>0</v>
      </c>
      <c r="AM53" s="178"/>
      <c r="AN53" s="179">
        <f>+'AS400 JEMBATAN'!AN53</f>
        <v>150</v>
      </c>
      <c r="AO53" s="179">
        <f>+'AS400 JEMBATAN'!AO53</f>
        <v>150</v>
      </c>
      <c r="AP53" s="179">
        <f>+'AS400 JEMBATAN'!AP53</f>
        <v>150</v>
      </c>
      <c r="AQ53" s="179">
        <f>+'AS400 JEMBATAN'!AQ53</f>
        <v>150</v>
      </c>
      <c r="AR53" s="175"/>
      <c r="AS53" s="175">
        <f t="shared" si="39"/>
        <v>600</v>
      </c>
      <c r="AT53" s="175">
        <f>'QTY '!AC53</f>
        <v>600</v>
      </c>
      <c r="AU53" s="175">
        <f t="shared" si="40"/>
        <v>0</v>
      </c>
      <c r="AV53" s="178">
        <v>0</v>
      </c>
      <c r="AW53" s="180"/>
      <c r="AX53" s="180"/>
      <c r="AY53" s="180"/>
      <c r="AZ53" s="180"/>
      <c r="BA53" s="180"/>
    </row>
    <row r="54" spans="1:53" ht="18" customHeight="1" thickTop="1" thickBot="1">
      <c r="A54" s="210">
        <f>+'AS400 JEMBATAN'!A54</f>
        <v>0</v>
      </c>
      <c r="B54" s="200" t="str">
        <f>+'AS400 JEMBATAN'!B54</f>
        <v>DC111-V3C50 B 0101</v>
      </c>
      <c r="C54" s="187" t="str">
        <f>'AS400 JEMBATAN'!C54</f>
        <v>559D</v>
      </c>
      <c r="D54" s="175">
        <f>ROUNDUP(IF('AS400 JEMBATAN'!$J54&gt;='AS400 JEMBATAN'!$I54,'AS400 JEMBATAN'!D54,$J54/$D$4)+$L54,0)</f>
        <v>920</v>
      </c>
      <c r="E54" s="175">
        <f>ROUNDUP(IF('AS400 JEMBATAN'!$J54&gt;='AS400 JEMBATAN'!$I54,'AS400 JEMBATAN'!E54,$J54/$D$4)+$L54,0)</f>
        <v>920</v>
      </c>
      <c r="F54" s="175">
        <f>ROUNDUP(IF('AS400 JEMBATAN'!$J54&gt;='AS400 JEMBATAN'!$I54,'AS400 JEMBATAN'!F54,$J54/$D$4)+$L54,0)</f>
        <v>1160</v>
      </c>
      <c r="G54" s="175">
        <f>ROUNDUP(IF('AS400 JEMBATAN'!$J54&gt;='AS400 JEMBATAN'!$I54,'AS400 JEMBATAN'!G54,$J54/$D$4)+$L54,0)</f>
        <v>1160</v>
      </c>
      <c r="H54" s="175"/>
      <c r="I54" s="175">
        <f t="shared" si="31"/>
        <v>4160</v>
      </c>
      <c r="J54" s="176">
        <f>'QTY '!Q54</f>
        <v>4160</v>
      </c>
      <c r="K54" s="176">
        <f t="shared" si="32"/>
        <v>0</v>
      </c>
      <c r="L54" s="177"/>
      <c r="M54" s="175">
        <f>ROUNDUP(IF('AS400 JEMBATAN'!$S54&gt;='AS400 JEMBATAN'!$R54,'AS400 JEMBATAN'!M54,$S54/$M$4)+$U54,0)</f>
        <v>1400</v>
      </c>
      <c r="N54" s="175">
        <f>ROUNDUP(IF('AS400 JEMBATAN'!$S54&gt;='AS400 JEMBATAN'!$R54,'AS400 JEMBATAN'!N54,$S54/$M$4)+$U54,0)</f>
        <v>880</v>
      </c>
      <c r="O54" s="175">
        <f>ROUNDUP(IF('AS400 JEMBATAN'!$S54&gt;='AS400 JEMBATAN'!$R54,'AS400 JEMBATAN'!O54,$S54/$M$4)+$U54,0)</f>
        <v>0</v>
      </c>
      <c r="P54" s="175">
        <f>ROUNDUP(IF('AS400 JEMBATAN'!$S54&gt;='AS400 JEMBATAN'!$R54,'AS400 JEMBATAN'!P54,$S54/$M$4)+$U54,0)</f>
        <v>1320</v>
      </c>
      <c r="Q54" s="175">
        <f>ROUNDUP(IF('AS400 JEMBATAN'!$S54&gt;='AS400 JEMBATAN'!$R54,'AS400 JEMBATAN'!Q54,$S54/$M$4)+$U54,0)</f>
        <v>0</v>
      </c>
      <c r="R54" s="175">
        <f t="shared" si="33"/>
        <v>3600</v>
      </c>
      <c r="S54" s="175">
        <f>'QTY '!T54</f>
        <v>3600</v>
      </c>
      <c r="T54" s="176">
        <f t="shared" si="34"/>
        <v>0</v>
      </c>
      <c r="U54" s="178"/>
      <c r="V54" s="175">
        <f>ROUNDUP(IF('AS400 JEMBATAN'!$AB54&gt;='AS400 JEMBATAN'!$AA54,'AS400 JEMBATAN'!V54,$AB54/$V$4)+$AD54,0)</f>
        <v>1120</v>
      </c>
      <c r="W54" s="175">
        <f>ROUNDUP(IF('AS400 JEMBATAN'!$AB54&gt;='AS400 JEMBATAN'!$AA54,'AS400 JEMBATAN'!W54,$AB54/$V$4)+$AD54,0)</f>
        <v>840</v>
      </c>
      <c r="X54" s="175">
        <f>ROUNDUP(IF('AS400 JEMBATAN'!$AB54&gt;='AS400 JEMBATAN'!$AA54,'AS400 JEMBATAN'!X54,$AB54/$V$4)+$AD54,0)</f>
        <v>1040</v>
      </c>
      <c r="Y54" s="175">
        <f>ROUNDUP(IF('AS400 JEMBATAN'!$AB54&gt;='AS400 JEMBATAN'!$AA54,'AS400 JEMBATAN'!Y54,$AB54/$V$4)+$AD54,0)</f>
        <v>880</v>
      </c>
      <c r="Z54" s="175">
        <f>ROUNDUP(IF('AS400 JEMBATAN'!$AB54&gt;='AS400 JEMBATAN'!$AA54,'AS400 JEMBATAN'!Z54,$AB54/$V$4)+$AD54,0)</f>
        <v>0</v>
      </c>
      <c r="AA54" s="175">
        <f t="shared" si="35"/>
        <v>3880</v>
      </c>
      <c r="AB54" s="175">
        <f>'QTY '!W54</f>
        <v>3880</v>
      </c>
      <c r="AC54" s="175">
        <f t="shared" si="36"/>
        <v>0</v>
      </c>
      <c r="AD54" s="183"/>
      <c r="AE54" s="175">
        <f>ROUNDUP(IF('AS400 JEMBATAN'!$AK54&gt;='AS400 JEMBATAN'!$AJ54,'AS400 JEMBATAN'!AE54,$AK54/$AE$4)+$AM54,0)</f>
        <v>1090</v>
      </c>
      <c r="AF54" s="175">
        <f>ROUNDUP(IF('AS400 JEMBATAN'!$AK54&gt;='AS400 JEMBATAN'!$AJ54,'AS400 JEMBATAN'!AF54,$AK54/$AE$4)+$AM54,0)</f>
        <v>1090</v>
      </c>
      <c r="AG54" s="175">
        <f>ROUNDUP(IF('AS400 JEMBATAN'!$AK54&gt;='AS400 JEMBATAN'!$AJ54,'AS400 JEMBATAN'!AG54,$AK54/$AE$4)+$AM54,0)</f>
        <v>1090</v>
      </c>
      <c r="AH54" s="175">
        <f>ROUNDUP(IF('AS400 JEMBATAN'!$AK54&gt;='AS400 JEMBATAN'!$AJ54,'AS400 JEMBATAN'!AH54,$AK54/$AE$4)+$AM54,0)</f>
        <v>1090</v>
      </c>
      <c r="AI54" s="175"/>
      <c r="AJ54" s="175">
        <f t="shared" si="37"/>
        <v>4360</v>
      </c>
      <c r="AK54" s="175">
        <f>'QTY '!Z54</f>
        <v>4360</v>
      </c>
      <c r="AL54" s="175">
        <f t="shared" si="38"/>
        <v>0</v>
      </c>
      <c r="AM54" s="178"/>
      <c r="AN54" s="179">
        <f>+'AS400 JEMBATAN'!AN54</f>
        <v>1090</v>
      </c>
      <c r="AO54" s="179">
        <f>+'AS400 JEMBATAN'!AO54</f>
        <v>1090</v>
      </c>
      <c r="AP54" s="179">
        <f>+'AS400 JEMBATAN'!AP54</f>
        <v>1090</v>
      </c>
      <c r="AQ54" s="179">
        <f>+'AS400 JEMBATAN'!AQ54</f>
        <v>1090</v>
      </c>
      <c r="AR54" s="175"/>
      <c r="AS54" s="175">
        <f t="shared" si="39"/>
        <v>4360</v>
      </c>
      <c r="AT54" s="175">
        <f>'QTY '!AC54</f>
        <v>4360</v>
      </c>
      <c r="AU54" s="175">
        <f t="shared" si="40"/>
        <v>0</v>
      </c>
      <c r="AV54" s="178">
        <v>0</v>
      </c>
      <c r="AW54" s="180"/>
      <c r="AX54" s="180"/>
      <c r="AY54" s="180"/>
      <c r="AZ54" s="180"/>
      <c r="BA54" s="180"/>
    </row>
    <row r="55" spans="1:53" ht="18" customHeight="1" thickTop="1" thickBot="1">
      <c r="A55" s="210">
        <f>+'AS400 JEMBATAN'!A55</f>
        <v>0</v>
      </c>
      <c r="B55" s="200" t="str">
        <f>+'AS400 JEMBATAN'!B55</f>
        <v>BC111-1KU50-2   0001</v>
      </c>
      <c r="C55" s="187" t="str">
        <f>'AS400 JEMBATAN'!C55</f>
        <v>559D</v>
      </c>
      <c r="D55" s="175">
        <f>ROUNDUP(IF('AS400 JEMBATAN'!$J55&gt;='AS400 JEMBATAN'!$I55,'AS400 JEMBATAN'!D55,$J55/$D$4)+$L55,0)</f>
        <v>0</v>
      </c>
      <c r="E55" s="175">
        <f>ROUNDUP(IF('AS400 JEMBATAN'!$J55&gt;='AS400 JEMBATAN'!$I55,'AS400 JEMBATAN'!E55,$J55/$D$4)+$L55,0)</f>
        <v>0</v>
      </c>
      <c r="F55" s="175">
        <f>ROUNDUP(IF('AS400 JEMBATAN'!$J55&gt;='AS400 JEMBATAN'!$I55,'AS400 JEMBATAN'!F55,$J55/$D$4)+$L55,0)</f>
        <v>0</v>
      </c>
      <c r="G55" s="175">
        <f>ROUNDUP(IF('AS400 JEMBATAN'!$J55&gt;='AS400 JEMBATAN'!$I55,'AS400 JEMBATAN'!G55,$J55/$D$4)+$L55,0)</f>
        <v>60</v>
      </c>
      <c r="H55" s="175"/>
      <c r="I55" s="175">
        <f t="shared" ref="I55:I84" si="41">SUM(D55:H55)</f>
        <v>60</v>
      </c>
      <c r="J55" s="176">
        <f>'QTY '!Q55</f>
        <v>60</v>
      </c>
      <c r="K55" s="176">
        <f t="shared" ref="K55:K84" si="42">ROUNDUP((J55-I55)/$D$4,0)</f>
        <v>0</v>
      </c>
      <c r="L55" s="177"/>
      <c r="M55" s="175">
        <f>ROUNDUP(IF('AS400 JEMBATAN'!$S55&gt;='AS400 JEMBATAN'!$R55,'AS400 JEMBATAN'!M55,$S55/$M$4)+$U55,0)</f>
        <v>0</v>
      </c>
      <c r="N55" s="175">
        <f>ROUNDUP(IF('AS400 JEMBATAN'!$S55&gt;='AS400 JEMBATAN'!$R55,'AS400 JEMBATAN'!N55,$S55/$M$4)+$U55,0)</f>
        <v>0</v>
      </c>
      <c r="O55" s="175">
        <f>ROUNDUP(IF('AS400 JEMBATAN'!$S55&gt;='AS400 JEMBATAN'!$R55,'AS400 JEMBATAN'!O55,$S55/$M$4)+$U55,0)</f>
        <v>0</v>
      </c>
      <c r="P55" s="175">
        <f>ROUNDUP(IF('AS400 JEMBATAN'!$S55&gt;='AS400 JEMBATAN'!$R55,'AS400 JEMBATAN'!P55,$S55/$M$4)+$U55,0)</f>
        <v>0</v>
      </c>
      <c r="Q55" s="175">
        <f>ROUNDUP(IF('AS400 JEMBATAN'!$S55&gt;='AS400 JEMBATAN'!$R55,'AS400 JEMBATAN'!Q55,$S55/$M$4)+$U55,0)</f>
        <v>0</v>
      </c>
      <c r="R55" s="175">
        <f t="shared" ref="R55:R84" si="43">SUM(M55:Q55)</f>
        <v>0</v>
      </c>
      <c r="S55" s="175">
        <f>'QTY '!T55</f>
        <v>0</v>
      </c>
      <c r="T55" s="176">
        <f t="shared" ref="T55:T84" si="44">ROUNDUP((S55-R55)/$M$4,0)</f>
        <v>0</v>
      </c>
      <c r="U55" s="178"/>
      <c r="V55" s="175">
        <f>ROUNDUP(IF('AS400 JEMBATAN'!$AB55&gt;='AS400 JEMBATAN'!$AA55,'AS400 JEMBATAN'!V55,$AB55/$V$4)+$AD55,0)</f>
        <v>60</v>
      </c>
      <c r="W55" s="175">
        <f>ROUNDUP(IF('AS400 JEMBATAN'!$AB55&gt;='AS400 JEMBATAN'!$AA55,'AS400 JEMBATAN'!W55,$AB55/$V$4)+$AD55,0)</f>
        <v>0</v>
      </c>
      <c r="X55" s="175">
        <f>ROUNDUP(IF('AS400 JEMBATAN'!$AB55&gt;='AS400 JEMBATAN'!$AA55,'AS400 JEMBATAN'!X55,$AB55/$V$4)+$AD55,0)</f>
        <v>0</v>
      </c>
      <c r="Y55" s="175">
        <f>ROUNDUP(IF('AS400 JEMBATAN'!$AB55&gt;='AS400 JEMBATAN'!$AA55,'AS400 JEMBATAN'!Y55,$AB55/$V$4)+$AD55,0)</f>
        <v>0</v>
      </c>
      <c r="Z55" s="175">
        <f>ROUNDUP(IF('AS400 JEMBATAN'!$AB55&gt;='AS400 JEMBATAN'!$AA55,'AS400 JEMBATAN'!Z55,$AB55/$V$4)+$AD55,0)</f>
        <v>0</v>
      </c>
      <c r="AA55" s="175">
        <f t="shared" ref="AA55:AA84" si="45">SUM(V55:Z55)</f>
        <v>60</v>
      </c>
      <c r="AB55" s="175">
        <f>'QTY '!W55</f>
        <v>60</v>
      </c>
      <c r="AC55" s="175">
        <f t="shared" ref="AC55:AC84" si="46">ROUNDUP((AB55-AA55)/$V$4,0)</f>
        <v>0</v>
      </c>
      <c r="AD55" s="183"/>
      <c r="AE55" s="175">
        <f>ROUNDUP(IF('AS400 JEMBATAN'!$AK55&gt;='AS400 JEMBATAN'!$AJ55,'AS400 JEMBATAN'!AE55,$AK55/$AE$4)+$AM55,0)</f>
        <v>15</v>
      </c>
      <c r="AF55" s="175">
        <f>ROUNDUP(IF('AS400 JEMBATAN'!$AK55&gt;='AS400 JEMBATAN'!$AJ55,'AS400 JEMBATAN'!AF55,$AK55/$AE$4)+$AM55,0)</f>
        <v>15</v>
      </c>
      <c r="AG55" s="175">
        <f>ROUNDUP(IF('AS400 JEMBATAN'!$AK55&gt;='AS400 JEMBATAN'!$AJ55,'AS400 JEMBATAN'!AG55,$AK55/$AE$4)+$AM55,0)</f>
        <v>15</v>
      </c>
      <c r="AH55" s="175">
        <f>ROUNDUP(IF('AS400 JEMBATAN'!$AK55&gt;='AS400 JEMBATAN'!$AJ55,'AS400 JEMBATAN'!AH55,$AK55/$AE$4)+$AM55,0)</f>
        <v>15</v>
      </c>
      <c r="AI55" s="175"/>
      <c r="AJ55" s="175">
        <f t="shared" ref="AJ55:AJ84" si="47">SUM(AE55:AI55)</f>
        <v>60</v>
      </c>
      <c r="AK55" s="175">
        <f>'QTY '!Z55</f>
        <v>60</v>
      </c>
      <c r="AL55" s="175">
        <f t="shared" ref="AL55:AL84" si="48">ROUNDUP((AK55-AJ55)/$AE$4,0)</f>
        <v>0</v>
      </c>
      <c r="AM55" s="178"/>
      <c r="AN55" s="179">
        <f>+'AS400 JEMBATAN'!AN55</f>
        <v>15</v>
      </c>
      <c r="AO55" s="179">
        <f>+'AS400 JEMBATAN'!AO55</f>
        <v>15</v>
      </c>
      <c r="AP55" s="179">
        <f>+'AS400 JEMBATAN'!AP55</f>
        <v>15</v>
      </c>
      <c r="AQ55" s="179">
        <f>+'AS400 JEMBATAN'!AQ55</f>
        <v>15</v>
      </c>
      <c r="AR55" s="175"/>
      <c r="AS55" s="175">
        <f t="shared" ref="AS55:AS84" si="49">SUM(AN55:AR55)</f>
        <v>60</v>
      </c>
      <c r="AT55" s="175">
        <f>'QTY '!AC55</f>
        <v>60</v>
      </c>
      <c r="AU55" s="175">
        <f t="shared" ref="AU55:AU84" si="50">ROUNDUP((AT55-AS55)/$AN$4,0)</f>
        <v>0</v>
      </c>
      <c r="AV55" s="178">
        <v>0</v>
      </c>
      <c r="AW55" s="180"/>
      <c r="AX55" s="180"/>
      <c r="AY55" s="180"/>
      <c r="AZ55" s="180"/>
      <c r="BA55" s="180"/>
    </row>
    <row r="56" spans="1:53" ht="18" customHeight="1" thickTop="1" thickBot="1">
      <c r="A56" s="210" t="str">
        <f>+'AS400 JEMBATAN'!A56</f>
        <v>JN111-62063-3</v>
      </c>
      <c r="B56" s="200" t="str">
        <f>+'AS400 JEMBATAN'!B56</f>
        <v>JN111-62063-3   0002</v>
      </c>
      <c r="C56" s="187">
        <f>'AS400 JEMBATAN'!C56</f>
        <v>0</v>
      </c>
      <c r="D56" s="175">
        <f>ROUNDUP(IF('AS400 JEMBATAN'!$J56&gt;='AS400 JEMBATAN'!$I56,'AS400 JEMBATAN'!D56,$J56/$D$4)+$L56,0)</f>
        <v>0</v>
      </c>
      <c r="E56" s="175">
        <f>ROUNDUP(IF('AS400 JEMBATAN'!$J56&gt;='AS400 JEMBATAN'!$I56,'AS400 JEMBATAN'!E56,$J56/$D$4)+$L56,0)</f>
        <v>0</v>
      </c>
      <c r="F56" s="175">
        <f>ROUNDUP(IF('AS400 JEMBATAN'!$J56&gt;='AS400 JEMBATAN'!$I56,'AS400 JEMBATAN'!F56,$J56/$D$4)+$L56,0)</f>
        <v>0</v>
      </c>
      <c r="G56" s="175">
        <f>ROUNDUP(IF('AS400 JEMBATAN'!$J56&gt;='AS400 JEMBATAN'!$I56,'AS400 JEMBATAN'!G56,$J56/$D$4)+$L56,0)</f>
        <v>0</v>
      </c>
      <c r="H56" s="175"/>
      <c r="I56" s="175">
        <f t="shared" si="41"/>
        <v>0</v>
      </c>
      <c r="J56" s="176">
        <f>'QTY '!Q56</f>
        <v>0</v>
      </c>
      <c r="K56" s="176">
        <f t="shared" si="42"/>
        <v>0</v>
      </c>
      <c r="L56" s="177"/>
      <c r="M56" s="175">
        <f>ROUNDUP(IF('AS400 JEMBATAN'!$S56&gt;='AS400 JEMBATAN'!$R56,'AS400 JEMBATAN'!M56,$S56/$M$4)+$U56,0)</f>
        <v>0</v>
      </c>
      <c r="N56" s="175">
        <f>ROUNDUP(IF('AS400 JEMBATAN'!$S56&gt;='AS400 JEMBATAN'!$R56,'AS400 JEMBATAN'!N56,$S56/$M$4)+$U56,0)</f>
        <v>0</v>
      </c>
      <c r="O56" s="175">
        <f>ROUNDUP(IF('AS400 JEMBATAN'!$S56&gt;='AS400 JEMBATAN'!$R56,'AS400 JEMBATAN'!O56,$S56/$M$4)+$U56,0)</f>
        <v>0</v>
      </c>
      <c r="P56" s="175">
        <f>ROUNDUP(IF('AS400 JEMBATAN'!$S56&gt;='AS400 JEMBATAN'!$R56,'AS400 JEMBATAN'!P56,$S56/$M$4)+$U56,0)</f>
        <v>0</v>
      </c>
      <c r="Q56" s="175">
        <f>ROUNDUP(IF('AS400 JEMBATAN'!$S56&gt;='AS400 JEMBATAN'!$R56,'AS400 JEMBATAN'!Q56,$S56/$M$4)+$U56,0)</f>
        <v>0</v>
      </c>
      <c r="R56" s="175">
        <f t="shared" si="43"/>
        <v>0</v>
      </c>
      <c r="S56" s="175">
        <f>'QTY '!T56</f>
        <v>0</v>
      </c>
      <c r="T56" s="176">
        <f t="shared" si="44"/>
        <v>0</v>
      </c>
      <c r="U56" s="178"/>
      <c r="V56" s="175">
        <f>ROUNDUP(IF('AS400 JEMBATAN'!$AB56&gt;='AS400 JEMBATAN'!$AA56,'AS400 JEMBATAN'!V56,$AB56/$V$4)+$AD56,0)</f>
        <v>0</v>
      </c>
      <c r="W56" s="175">
        <f>ROUNDUP(IF('AS400 JEMBATAN'!$AB56&gt;='AS400 JEMBATAN'!$AA56,'AS400 JEMBATAN'!W56,$AB56/$V$4)+$AD56,0)</f>
        <v>0</v>
      </c>
      <c r="X56" s="175">
        <f>ROUNDUP(IF('AS400 JEMBATAN'!$AB56&gt;='AS400 JEMBATAN'!$AA56,'AS400 JEMBATAN'!X56,$AB56/$V$4)+$AD56,0)</f>
        <v>0</v>
      </c>
      <c r="Y56" s="175">
        <f>ROUNDUP(IF('AS400 JEMBATAN'!$AB56&gt;='AS400 JEMBATAN'!$AA56,'AS400 JEMBATAN'!Y56,$AB56/$V$4)+$AD56,0)</f>
        <v>0</v>
      </c>
      <c r="Z56" s="175">
        <f>ROUNDUP(IF('AS400 JEMBATAN'!$AB56&gt;='AS400 JEMBATAN'!$AA56,'AS400 JEMBATAN'!Z56,$AB56/$V$4)+$AD56,0)</f>
        <v>0</v>
      </c>
      <c r="AA56" s="175">
        <f t="shared" si="45"/>
        <v>0</v>
      </c>
      <c r="AB56" s="175">
        <f>'QTY '!W56</f>
        <v>0</v>
      </c>
      <c r="AC56" s="175">
        <f t="shared" si="46"/>
        <v>0</v>
      </c>
      <c r="AD56" s="183"/>
      <c r="AE56" s="175">
        <f>ROUNDUP(IF('AS400 JEMBATAN'!$AK56&gt;='AS400 JEMBATAN'!$AJ56,'AS400 JEMBATAN'!AE56,$AK56/$AE$4)+$AM56,0)</f>
        <v>0</v>
      </c>
      <c r="AF56" s="175">
        <f>ROUNDUP(IF('AS400 JEMBATAN'!$AK56&gt;='AS400 JEMBATAN'!$AJ56,'AS400 JEMBATAN'!AF56,$AK56/$AE$4)+$AM56,0)</f>
        <v>0</v>
      </c>
      <c r="AG56" s="175">
        <f>ROUNDUP(IF('AS400 JEMBATAN'!$AK56&gt;='AS400 JEMBATAN'!$AJ56,'AS400 JEMBATAN'!AG56,$AK56/$AE$4)+$AM56,0)</f>
        <v>0</v>
      </c>
      <c r="AH56" s="175">
        <f>ROUNDUP(IF('AS400 JEMBATAN'!$AK56&gt;='AS400 JEMBATAN'!$AJ56,'AS400 JEMBATAN'!AH56,$AK56/$AE$4)+$AM56,0)</f>
        <v>0</v>
      </c>
      <c r="AI56" s="175"/>
      <c r="AJ56" s="175">
        <f t="shared" si="47"/>
        <v>0</v>
      </c>
      <c r="AK56" s="175">
        <f>'QTY '!Z56</f>
        <v>0</v>
      </c>
      <c r="AL56" s="175">
        <f t="shared" si="48"/>
        <v>0</v>
      </c>
      <c r="AM56" s="178"/>
      <c r="AN56" s="179">
        <f>+'AS400 JEMBATAN'!AN56</f>
        <v>0</v>
      </c>
      <c r="AO56" s="179">
        <f>+'AS400 JEMBATAN'!AO56</f>
        <v>0</v>
      </c>
      <c r="AP56" s="179">
        <f>+'AS400 JEMBATAN'!AP56</f>
        <v>0</v>
      </c>
      <c r="AQ56" s="179">
        <f>+'AS400 JEMBATAN'!AQ56</f>
        <v>0</v>
      </c>
      <c r="AR56" s="175"/>
      <c r="AS56" s="175">
        <f t="shared" si="49"/>
        <v>0</v>
      </c>
      <c r="AT56" s="175">
        <f>'QTY '!AC56</f>
        <v>0</v>
      </c>
      <c r="AU56" s="175">
        <f t="shared" si="50"/>
        <v>0</v>
      </c>
      <c r="AV56" s="178">
        <v>0</v>
      </c>
      <c r="AW56" s="180"/>
      <c r="AX56" s="180"/>
      <c r="AY56" s="180"/>
      <c r="AZ56" s="180"/>
      <c r="BA56" s="180"/>
    </row>
    <row r="57" spans="1:53" ht="18" customHeight="1" thickTop="1" thickBot="1">
      <c r="A57" s="210" t="str">
        <f>+'AS400 JEMBATAN'!A57</f>
        <v>JN111-62063-4</v>
      </c>
      <c r="B57" s="200" t="str">
        <f>+'AS400 JEMBATAN'!B57</f>
        <v>JN111-62063-4   0002</v>
      </c>
      <c r="C57" s="187">
        <f>'AS400 JEMBATAN'!C57</f>
        <v>0</v>
      </c>
      <c r="D57" s="175">
        <f>ROUNDUP(IF('AS400 JEMBATAN'!$J57&gt;='AS400 JEMBATAN'!$I57,'AS400 JEMBATAN'!D57,$J57/$D$4)+$L57,0)</f>
        <v>0</v>
      </c>
      <c r="E57" s="175">
        <f>ROUNDUP(IF('AS400 JEMBATAN'!$J57&gt;='AS400 JEMBATAN'!$I57,'AS400 JEMBATAN'!E57,$J57/$D$4)+$L57,0)</f>
        <v>0</v>
      </c>
      <c r="F57" s="175">
        <f>ROUNDUP(IF('AS400 JEMBATAN'!$J57&gt;='AS400 JEMBATAN'!$I57,'AS400 JEMBATAN'!F57,$J57/$D$4)+$L57,0)</f>
        <v>0</v>
      </c>
      <c r="G57" s="175">
        <f>ROUNDUP(IF('AS400 JEMBATAN'!$J57&gt;='AS400 JEMBATAN'!$I57,'AS400 JEMBATAN'!G57,$J57/$D$4)+$L57,0)</f>
        <v>0</v>
      </c>
      <c r="H57" s="175"/>
      <c r="I57" s="175">
        <f t="shared" si="41"/>
        <v>0</v>
      </c>
      <c r="J57" s="176">
        <f>'QTY '!Q57</f>
        <v>0</v>
      </c>
      <c r="K57" s="176">
        <f t="shared" si="42"/>
        <v>0</v>
      </c>
      <c r="L57" s="177"/>
      <c r="M57" s="175">
        <f>ROUNDUP(IF('AS400 JEMBATAN'!$S57&gt;='AS400 JEMBATAN'!$R57,'AS400 JEMBATAN'!M57,$S57/$M$4)+$U57,0)</f>
        <v>0</v>
      </c>
      <c r="N57" s="175">
        <f>ROUNDUP(IF('AS400 JEMBATAN'!$S57&gt;='AS400 JEMBATAN'!$R57,'AS400 JEMBATAN'!N57,$S57/$M$4)+$U57,0)</f>
        <v>0</v>
      </c>
      <c r="O57" s="175">
        <f>ROUNDUP(IF('AS400 JEMBATAN'!$S57&gt;='AS400 JEMBATAN'!$R57,'AS400 JEMBATAN'!O57,$S57/$M$4)+$U57,0)</f>
        <v>0</v>
      </c>
      <c r="P57" s="175">
        <f>ROUNDUP(IF('AS400 JEMBATAN'!$S57&gt;='AS400 JEMBATAN'!$R57,'AS400 JEMBATAN'!P57,$S57/$M$4)+$U57,0)</f>
        <v>0</v>
      </c>
      <c r="Q57" s="175">
        <f>ROUNDUP(IF('AS400 JEMBATAN'!$S57&gt;='AS400 JEMBATAN'!$R57,'AS400 JEMBATAN'!Q57,$S57/$M$4)+$U57,0)</f>
        <v>0</v>
      </c>
      <c r="R57" s="175">
        <f t="shared" si="43"/>
        <v>0</v>
      </c>
      <c r="S57" s="175">
        <f>'QTY '!T57</f>
        <v>0</v>
      </c>
      <c r="T57" s="176">
        <f t="shared" si="44"/>
        <v>0</v>
      </c>
      <c r="U57" s="178"/>
      <c r="V57" s="175">
        <f>ROUNDUP(IF('AS400 JEMBATAN'!$AB57&gt;='AS400 JEMBATAN'!$AA57,'AS400 JEMBATAN'!V57,$AB57/$V$4)+$AD57,0)</f>
        <v>0</v>
      </c>
      <c r="W57" s="175">
        <f>ROUNDUP(IF('AS400 JEMBATAN'!$AB57&gt;='AS400 JEMBATAN'!$AA57,'AS400 JEMBATAN'!W57,$AB57/$V$4)+$AD57,0)</f>
        <v>0</v>
      </c>
      <c r="X57" s="175">
        <f>ROUNDUP(IF('AS400 JEMBATAN'!$AB57&gt;='AS400 JEMBATAN'!$AA57,'AS400 JEMBATAN'!X57,$AB57/$V$4)+$AD57,0)</f>
        <v>0</v>
      </c>
      <c r="Y57" s="175">
        <f>ROUNDUP(IF('AS400 JEMBATAN'!$AB57&gt;='AS400 JEMBATAN'!$AA57,'AS400 JEMBATAN'!Y57,$AB57/$V$4)+$AD57,0)</f>
        <v>0</v>
      </c>
      <c r="Z57" s="175">
        <f>ROUNDUP(IF('AS400 JEMBATAN'!$AB57&gt;='AS400 JEMBATAN'!$AA57,'AS400 JEMBATAN'!Z57,$AB57/$V$4)+$AD57,0)</f>
        <v>0</v>
      </c>
      <c r="AA57" s="175">
        <f t="shared" si="45"/>
        <v>0</v>
      </c>
      <c r="AB57" s="175">
        <f>'QTY '!W57</f>
        <v>0</v>
      </c>
      <c r="AC57" s="175">
        <f t="shared" si="46"/>
        <v>0</v>
      </c>
      <c r="AD57" s="183"/>
      <c r="AE57" s="175">
        <f>ROUNDUP(IF('AS400 JEMBATAN'!$AK57&gt;='AS400 JEMBATAN'!$AJ57,'AS400 JEMBATAN'!AE57,$AK57/$AE$4)+$AM57,0)</f>
        <v>0</v>
      </c>
      <c r="AF57" s="175">
        <f>ROUNDUP(IF('AS400 JEMBATAN'!$AK57&gt;='AS400 JEMBATAN'!$AJ57,'AS400 JEMBATAN'!AF57,$AK57/$AE$4)+$AM57,0)</f>
        <v>0</v>
      </c>
      <c r="AG57" s="175">
        <f>ROUNDUP(IF('AS400 JEMBATAN'!$AK57&gt;='AS400 JEMBATAN'!$AJ57,'AS400 JEMBATAN'!AG57,$AK57/$AE$4)+$AM57,0)</f>
        <v>0</v>
      </c>
      <c r="AH57" s="175">
        <f>ROUNDUP(IF('AS400 JEMBATAN'!$AK57&gt;='AS400 JEMBATAN'!$AJ57,'AS400 JEMBATAN'!AH57,$AK57/$AE$4)+$AM57,0)</f>
        <v>0</v>
      </c>
      <c r="AI57" s="175"/>
      <c r="AJ57" s="175">
        <f t="shared" si="47"/>
        <v>0</v>
      </c>
      <c r="AK57" s="175">
        <f>'QTY '!Z57</f>
        <v>0</v>
      </c>
      <c r="AL57" s="175">
        <f t="shared" si="48"/>
        <v>0</v>
      </c>
      <c r="AM57" s="178"/>
      <c r="AN57" s="179">
        <f>+'AS400 JEMBATAN'!AN57</f>
        <v>0</v>
      </c>
      <c r="AO57" s="179">
        <f>+'AS400 JEMBATAN'!AO57</f>
        <v>0</v>
      </c>
      <c r="AP57" s="179">
        <f>+'AS400 JEMBATAN'!AP57</f>
        <v>0</v>
      </c>
      <c r="AQ57" s="179">
        <f>+'AS400 JEMBATAN'!AQ57</f>
        <v>0</v>
      </c>
      <c r="AR57" s="175"/>
      <c r="AS57" s="175">
        <f t="shared" si="49"/>
        <v>0</v>
      </c>
      <c r="AT57" s="175">
        <f>'QTY '!AC57</f>
        <v>0</v>
      </c>
      <c r="AU57" s="175">
        <f t="shared" si="50"/>
        <v>0</v>
      </c>
      <c r="AV57" s="178">
        <v>0</v>
      </c>
      <c r="AW57" s="180"/>
      <c r="AX57" s="180"/>
      <c r="AY57" s="180"/>
      <c r="AZ57" s="180"/>
      <c r="BA57" s="180"/>
    </row>
    <row r="58" spans="1:53" ht="18" customHeight="1" thickTop="1" thickBot="1">
      <c r="A58" s="210" t="str">
        <f>+'AS400 JEMBATAN'!A58</f>
        <v>JN111-62093-3</v>
      </c>
      <c r="B58" s="200" t="str">
        <f>+'AS400 JEMBATAN'!B58</f>
        <v>JN111-62093-3   0002</v>
      </c>
      <c r="C58" s="187">
        <f>'AS400 JEMBATAN'!C58</f>
        <v>0</v>
      </c>
      <c r="D58" s="175">
        <f>ROUNDUP(IF('AS400 JEMBATAN'!$J58&gt;='AS400 JEMBATAN'!$I58,'AS400 JEMBATAN'!D58,$J58/$D$4)+$L58,0)</f>
        <v>0</v>
      </c>
      <c r="E58" s="175">
        <f>ROUNDUP(IF('AS400 JEMBATAN'!$J58&gt;='AS400 JEMBATAN'!$I58,'AS400 JEMBATAN'!E58,$J58/$D$4)+$L58,0)</f>
        <v>0</v>
      </c>
      <c r="F58" s="175">
        <f>ROUNDUP(IF('AS400 JEMBATAN'!$J58&gt;='AS400 JEMBATAN'!$I58,'AS400 JEMBATAN'!F58,$J58/$D$4)+$L58,0)</f>
        <v>0</v>
      </c>
      <c r="G58" s="175">
        <f>ROUNDUP(IF('AS400 JEMBATAN'!$J58&gt;='AS400 JEMBATAN'!$I58,'AS400 JEMBATAN'!G58,$J58/$D$4)+$L58,0)</f>
        <v>0</v>
      </c>
      <c r="H58" s="175"/>
      <c r="I58" s="175">
        <f t="shared" si="41"/>
        <v>0</v>
      </c>
      <c r="J58" s="176">
        <f>'QTY '!Q58</f>
        <v>0</v>
      </c>
      <c r="K58" s="176">
        <f t="shared" si="42"/>
        <v>0</v>
      </c>
      <c r="L58" s="177"/>
      <c r="M58" s="175">
        <f>ROUNDUP(IF('AS400 JEMBATAN'!$S58&gt;='AS400 JEMBATAN'!$R58,'AS400 JEMBATAN'!M58,$S58/$M$4)+$U58,0)</f>
        <v>0</v>
      </c>
      <c r="N58" s="175">
        <f>ROUNDUP(IF('AS400 JEMBATAN'!$S58&gt;='AS400 JEMBATAN'!$R58,'AS400 JEMBATAN'!N58,$S58/$M$4)+$U58,0)</f>
        <v>0</v>
      </c>
      <c r="O58" s="175">
        <f>ROUNDUP(IF('AS400 JEMBATAN'!$S58&gt;='AS400 JEMBATAN'!$R58,'AS400 JEMBATAN'!O58,$S58/$M$4)+$U58,0)</f>
        <v>0</v>
      </c>
      <c r="P58" s="175">
        <f>ROUNDUP(IF('AS400 JEMBATAN'!$S58&gt;='AS400 JEMBATAN'!$R58,'AS400 JEMBATAN'!P58,$S58/$M$4)+$U58,0)</f>
        <v>0</v>
      </c>
      <c r="Q58" s="175">
        <f>ROUNDUP(IF('AS400 JEMBATAN'!$S58&gt;='AS400 JEMBATAN'!$R58,'AS400 JEMBATAN'!Q58,$S58/$M$4)+$U58,0)</f>
        <v>0</v>
      </c>
      <c r="R58" s="175">
        <f t="shared" si="43"/>
        <v>0</v>
      </c>
      <c r="S58" s="175">
        <f>'QTY '!T58</f>
        <v>0</v>
      </c>
      <c r="T58" s="176">
        <f t="shared" si="44"/>
        <v>0</v>
      </c>
      <c r="U58" s="178"/>
      <c r="V58" s="175">
        <f>ROUNDUP(IF('AS400 JEMBATAN'!$AB58&gt;='AS400 JEMBATAN'!$AA58,'AS400 JEMBATAN'!V58,$AB58/$V$4)+$AD58,0)</f>
        <v>0</v>
      </c>
      <c r="W58" s="175">
        <f>ROUNDUP(IF('AS400 JEMBATAN'!$AB58&gt;='AS400 JEMBATAN'!$AA58,'AS400 JEMBATAN'!W58,$AB58/$V$4)+$AD58,0)</f>
        <v>0</v>
      </c>
      <c r="X58" s="175">
        <f>ROUNDUP(IF('AS400 JEMBATAN'!$AB58&gt;='AS400 JEMBATAN'!$AA58,'AS400 JEMBATAN'!X58,$AB58/$V$4)+$AD58,0)</f>
        <v>0</v>
      </c>
      <c r="Y58" s="175">
        <f>ROUNDUP(IF('AS400 JEMBATAN'!$AB58&gt;='AS400 JEMBATAN'!$AA58,'AS400 JEMBATAN'!Y58,$AB58/$V$4)+$AD58,0)</f>
        <v>0</v>
      </c>
      <c r="Z58" s="175">
        <f>ROUNDUP(IF('AS400 JEMBATAN'!$AB58&gt;='AS400 JEMBATAN'!$AA58,'AS400 JEMBATAN'!Z58,$AB58/$V$4)+$AD58,0)</f>
        <v>0</v>
      </c>
      <c r="AA58" s="175">
        <f t="shared" si="45"/>
        <v>0</v>
      </c>
      <c r="AB58" s="175">
        <f>'QTY '!W58</f>
        <v>0</v>
      </c>
      <c r="AC58" s="175">
        <f t="shared" si="46"/>
        <v>0</v>
      </c>
      <c r="AD58" s="183"/>
      <c r="AE58" s="175">
        <f>ROUNDUP(IF('AS400 JEMBATAN'!$AK58&gt;='AS400 JEMBATAN'!$AJ58,'AS400 JEMBATAN'!AE58,$AK58/$AE$4)+$AM58,0)</f>
        <v>0</v>
      </c>
      <c r="AF58" s="175">
        <f>ROUNDUP(IF('AS400 JEMBATAN'!$AK58&gt;='AS400 JEMBATAN'!$AJ58,'AS400 JEMBATAN'!AF58,$AK58/$AE$4)+$AM58,0)</f>
        <v>0</v>
      </c>
      <c r="AG58" s="175">
        <f>ROUNDUP(IF('AS400 JEMBATAN'!$AK58&gt;='AS400 JEMBATAN'!$AJ58,'AS400 JEMBATAN'!AG58,$AK58/$AE$4)+$AM58,0)</f>
        <v>0</v>
      </c>
      <c r="AH58" s="175">
        <f>ROUNDUP(IF('AS400 JEMBATAN'!$AK58&gt;='AS400 JEMBATAN'!$AJ58,'AS400 JEMBATAN'!AH58,$AK58/$AE$4)+$AM58,0)</f>
        <v>0</v>
      </c>
      <c r="AI58" s="175"/>
      <c r="AJ58" s="175">
        <f t="shared" si="47"/>
        <v>0</v>
      </c>
      <c r="AK58" s="175">
        <f>'QTY '!Z58</f>
        <v>0</v>
      </c>
      <c r="AL58" s="175">
        <f t="shared" si="48"/>
        <v>0</v>
      </c>
      <c r="AM58" s="178"/>
      <c r="AN58" s="179">
        <f>+'AS400 JEMBATAN'!AN58</f>
        <v>0</v>
      </c>
      <c r="AO58" s="179">
        <f>+'AS400 JEMBATAN'!AO58</f>
        <v>0</v>
      </c>
      <c r="AP58" s="179">
        <f>+'AS400 JEMBATAN'!AP58</f>
        <v>0</v>
      </c>
      <c r="AQ58" s="179">
        <f>+'AS400 JEMBATAN'!AQ58</f>
        <v>0</v>
      </c>
      <c r="AR58" s="175"/>
      <c r="AS58" s="175">
        <f t="shared" si="49"/>
        <v>0</v>
      </c>
      <c r="AT58" s="175">
        <f>'QTY '!AC58</f>
        <v>0</v>
      </c>
      <c r="AU58" s="175">
        <f t="shared" si="50"/>
        <v>0</v>
      </c>
      <c r="AV58" s="178">
        <v>0</v>
      </c>
      <c r="AW58" s="180"/>
      <c r="AX58" s="180"/>
      <c r="AY58" s="180"/>
      <c r="AZ58" s="180"/>
      <c r="BA58" s="180"/>
    </row>
    <row r="59" spans="1:53" ht="18" customHeight="1" thickTop="1" thickBot="1">
      <c r="A59" s="210" t="str">
        <f>+'AS400 JEMBATAN'!A59</f>
        <v>JN111-62093-4</v>
      </c>
      <c r="B59" s="200" t="str">
        <f>+'AS400 JEMBATAN'!B59</f>
        <v>JN111-62093-4   0002</v>
      </c>
      <c r="C59" s="187">
        <f>'AS400 JEMBATAN'!C59</f>
        <v>0</v>
      </c>
      <c r="D59" s="175">
        <f>ROUNDUP(IF('AS400 JEMBATAN'!$J59&gt;='AS400 JEMBATAN'!$I59,'AS400 JEMBATAN'!D59,$J59/$D$4)+$L59,0)</f>
        <v>0</v>
      </c>
      <c r="E59" s="175">
        <f>ROUNDUP(IF('AS400 JEMBATAN'!$J59&gt;='AS400 JEMBATAN'!$I59,'AS400 JEMBATAN'!E59,$J59/$D$4)+$L59,0)</f>
        <v>0</v>
      </c>
      <c r="F59" s="175">
        <f>ROUNDUP(IF('AS400 JEMBATAN'!$J59&gt;='AS400 JEMBATAN'!$I59,'AS400 JEMBATAN'!F59,$J59/$D$4)+$L59,0)</f>
        <v>0</v>
      </c>
      <c r="G59" s="175">
        <f>ROUNDUP(IF('AS400 JEMBATAN'!$J59&gt;='AS400 JEMBATAN'!$I59,'AS400 JEMBATAN'!G59,$J59/$D$4)+$L59,0)</f>
        <v>0</v>
      </c>
      <c r="H59" s="175"/>
      <c r="I59" s="175">
        <f t="shared" si="41"/>
        <v>0</v>
      </c>
      <c r="J59" s="176">
        <f>'QTY '!Q59</f>
        <v>0</v>
      </c>
      <c r="K59" s="176">
        <f t="shared" si="42"/>
        <v>0</v>
      </c>
      <c r="L59" s="177"/>
      <c r="M59" s="175">
        <f>ROUNDUP(IF('AS400 JEMBATAN'!$S59&gt;='AS400 JEMBATAN'!$R59,'AS400 JEMBATAN'!M59,$S59/$M$4)+$U59,0)</f>
        <v>0</v>
      </c>
      <c r="N59" s="175">
        <f>ROUNDUP(IF('AS400 JEMBATAN'!$S59&gt;='AS400 JEMBATAN'!$R59,'AS400 JEMBATAN'!N59,$S59/$M$4)+$U59,0)</f>
        <v>0</v>
      </c>
      <c r="O59" s="175">
        <f>ROUNDUP(IF('AS400 JEMBATAN'!$S59&gt;='AS400 JEMBATAN'!$R59,'AS400 JEMBATAN'!O59,$S59/$M$4)+$U59,0)</f>
        <v>0</v>
      </c>
      <c r="P59" s="175">
        <f>ROUNDUP(IF('AS400 JEMBATAN'!$S59&gt;='AS400 JEMBATAN'!$R59,'AS400 JEMBATAN'!P59,$S59/$M$4)+$U59,0)</f>
        <v>0</v>
      </c>
      <c r="Q59" s="175">
        <f>ROUNDUP(IF('AS400 JEMBATAN'!$S59&gt;='AS400 JEMBATAN'!$R59,'AS400 JEMBATAN'!Q59,$S59/$M$4)+$U59,0)</f>
        <v>0</v>
      </c>
      <c r="R59" s="175">
        <f t="shared" si="43"/>
        <v>0</v>
      </c>
      <c r="S59" s="175">
        <f>'QTY '!T59</f>
        <v>0</v>
      </c>
      <c r="T59" s="176">
        <f t="shared" si="44"/>
        <v>0</v>
      </c>
      <c r="U59" s="178"/>
      <c r="V59" s="175">
        <f>ROUNDUP(IF('AS400 JEMBATAN'!$AB59&gt;='AS400 JEMBATAN'!$AA59,'AS400 JEMBATAN'!V59,$AB59/$V$4)+$AD59,0)</f>
        <v>0</v>
      </c>
      <c r="W59" s="175">
        <f>ROUNDUP(IF('AS400 JEMBATAN'!$AB59&gt;='AS400 JEMBATAN'!$AA59,'AS400 JEMBATAN'!W59,$AB59/$V$4)+$AD59,0)</f>
        <v>0</v>
      </c>
      <c r="X59" s="175">
        <f>ROUNDUP(IF('AS400 JEMBATAN'!$AB59&gt;='AS400 JEMBATAN'!$AA59,'AS400 JEMBATAN'!X59,$AB59/$V$4)+$AD59,0)</f>
        <v>0</v>
      </c>
      <c r="Y59" s="175">
        <f>ROUNDUP(IF('AS400 JEMBATAN'!$AB59&gt;='AS400 JEMBATAN'!$AA59,'AS400 JEMBATAN'!Y59,$AB59/$V$4)+$AD59,0)</f>
        <v>0</v>
      </c>
      <c r="Z59" s="175">
        <f>ROUNDUP(IF('AS400 JEMBATAN'!$AB59&gt;='AS400 JEMBATAN'!$AA59,'AS400 JEMBATAN'!Z59,$AB59/$V$4)+$AD59,0)</f>
        <v>0</v>
      </c>
      <c r="AA59" s="175">
        <f t="shared" si="45"/>
        <v>0</v>
      </c>
      <c r="AB59" s="175">
        <f>'QTY '!W59</f>
        <v>0</v>
      </c>
      <c r="AC59" s="175">
        <f t="shared" si="46"/>
        <v>0</v>
      </c>
      <c r="AD59" s="183"/>
      <c r="AE59" s="175">
        <f>ROUNDUP(IF('AS400 JEMBATAN'!$AK59&gt;='AS400 JEMBATAN'!$AJ59,'AS400 JEMBATAN'!AE59,$AK59/$AE$4)+$AM59,0)</f>
        <v>0</v>
      </c>
      <c r="AF59" s="175">
        <f>ROUNDUP(IF('AS400 JEMBATAN'!$AK59&gt;='AS400 JEMBATAN'!$AJ59,'AS400 JEMBATAN'!AF59,$AK59/$AE$4)+$AM59,0)</f>
        <v>0</v>
      </c>
      <c r="AG59" s="175">
        <f>ROUNDUP(IF('AS400 JEMBATAN'!$AK59&gt;='AS400 JEMBATAN'!$AJ59,'AS400 JEMBATAN'!AG59,$AK59/$AE$4)+$AM59,0)</f>
        <v>0</v>
      </c>
      <c r="AH59" s="175">
        <f>ROUNDUP(IF('AS400 JEMBATAN'!$AK59&gt;='AS400 JEMBATAN'!$AJ59,'AS400 JEMBATAN'!AH59,$AK59/$AE$4)+$AM59,0)</f>
        <v>0</v>
      </c>
      <c r="AI59" s="175"/>
      <c r="AJ59" s="175">
        <f t="shared" si="47"/>
        <v>0</v>
      </c>
      <c r="AK59" s="175">
        <f>'QTY '!Z59</f>
        <v>0</v>
      </c>
      <c r="AL59" s="175">
        <f t="shared" si="48"/>
        <v>0</v>
      </c>
      <c r="AM59" s="178"/>
      <c r="AN59" s="179">
        <f>+'AS400 JEMBATAN'!AN59</f>
        <v>0</v>
      </c>
      <c r="AO59" s="179">
        <f>+'AS400 JEMBATAN'!AO59</f>
        <v>0</v>
      </c>
      <c r="AP59" s="179">
        <f>+'AS400 JEMBATAN'!AP59</f>
        <v>0</v>
      </c>
      <c r="AQ59" s="179">
        <f>+'AS400 JEMBATAN'!AQ59</f>
        <v>0</v>
      </c>
      <c r="AR59" s="175"/>
      <c r="AS59" s="175">
        <f t="shared" si="49"/>
        <v>0</v>
      </c>
      <c r="AT59" s="175">
        <f>'QTY '!AC59</f>
        <v>0</v>
      </c>
      <c r="AU59" s="175">
        <f t="shared" si="50"/>
        <v>0</v>
      </c>
      <c r="AV59" s="178">
        <v>0</v>
      </c>
      <c r="AW59" s="180"/>
      <c r="AX59" s="180"/>
      <c r="AY59" s="180"/>
      <c r="AZ59" s="180"/>
      <c r="BA59" s="180"/>
    </row>
    <row r="60" spans="1:53" ht="18" customHeight="1" thickTop="1" thickBot="1">
      <c r="A60" s="210" t="str">
        <f>+'AS400 JEMBATAN'!A60</f>
        <v>BC111-5DR50-1</v>
      </c>
      <c r="B60" s="200" t="str">
        <f>+'AS400 JEMBATAN'!B60</f>
        <v>BC111-5DR50-1 B 0001</v>
      </c>
      <c r="C60" s="187">
        <f>'AS400 JEMBATAN'!C60</f>
        <v>0</v>
      </c>
      <c r="D60" s="175">
        <f>ROUNDUP(IF('AS400 JEMBATAN'!$J60&gt;='AS400 JEMBATAN'!$I60,'AS400 JEMBATAN'!D60,$J60/$D$4)+$L60,0)</f>
        <v>0</v>
      </c>
      <c r="E60" s="175">
        <f>ROUNDUP(IF('AS400 JEMBATAN'!$J60&gt;='AS400 JEMBATAN'!$I60,'AS400 JEMBATAN'!E60,$J60/$D$4)+$L60,0)</f>
        <v>0</v>
      </c>
      <c r="F60" s="175">
        <f>ROUNDUP(IF('AS400 JEMBATAN'!$J60&gt;='AS400 JEMBATAN'!$I60,'AS400 JEMBATAN'!F60,$J60/$D$4)+$L60,0)</f>
        <v>0</v>
      </c>
      <c r="G60" s="175">
        <f>ROUNDUP(IF('AS400 JEMBATAN'!$J60&gt;='AS400 JEMBATAN'!$I60,'AS400 JEMBATAN'!G60,$J60/$D$4)+$L60,0)</f>
        <v>0</v>
      </c>
      <c r="H60" s="175"/>
      <c r="I60" s="175">
        <f t="shared" si="41"/>
        <v>0</v>
      </c>
      <c r="J60" s="176">
        <f>'QTY '!Q60</f>
        <v>0</v>
      </c>
      <c r="K60" s="176">
        <f t="shared" si="42"/>
        <v>0</v>
      </c>
      <c r="L60" s="177"/>
      <c r="M60" s="175">
        <f>ROUNDUP(IF('AS400 JEMBATAN'!$S60&gt;='AS400 JEMBATAN'!$R60,'AS400 JEMBATAN'!M60,$S60/$M$4)+$U60,0)</f>
        <v>0</v>
      </c>
      <c r="N60" s="175">
        <f>ROUNDUP(IF('AS400 JEMBATAN'!$S60&gt;='AS400 JEMBATAN'!$R60,'AS400 JEMBATAN'!N60,$S60/$M$4)+$U60,0)</f>
        <v>0</v>
      </c>
      <c r="O60" s="175">
        <f>ROUNDUP(IF('AS400 JEMBATAN'!$S60&gt;='AS400 JEMBATAN'!$R60,'AS400 JEMBATAN'!O60,$S60/$M$4)+$U60,0)</f>
        <v>0</v>
      </c>
      <c r="P60" s="175">
        <f>ROUNDUP(IF('AS400 JEMBATAN'!$S60&gt;='AS400 JEMBATAN'!$R60,'AS400 JEMBATAN'!P60,$S60/$M$4)+$U60,0)</f>
        <v>0</v>
      </c>
      <c r="Q60" s="175">
        <f>ROUNDUP(IF('AS400 JEMBATAN'!$S60&gt;='AS400 JEMBATAN'!$R60,'AS400 JEMBATAN'!Q60,$S60/$M$4)+$U60,0)</f>
        <v>0</v>
      </c>
      <c r="R60" s="175">
        <f t="shared" si="43"/>
        <v>0</v>
      </c>
      <c r="S60" s="175">
        <f>'QTY '!T60</f>
        <v>0</v>
      </c>
      <c r="T60" s="176">
        <f t="shared" si="44"/>
        <v>0</v>
      </c>
      <c r="U60" s="178"/>
      <c r="V60" s="175">
        <f>ROUNDUP(IF('AS400 JEMBATAN'!$AB60&gt;='AS400 JEMBATAN'!$AA60,'AS400 JEMBATAN'!V60,$AB60/$V$4)+$AD60,0)</f>
        <v>0</v>
      </c>
      <c r="W60" s="175">
        <f>ROUNDUP(IF('AS400 JEMBATAN'!$AB60&gt;='AS400 JEMBATAN'!$AA60,'AS400 JEMBATAN'!W60,$AB60/$V$4)+$AD60,0)</f>
        <v>0</v>
      </c>
      <c r="X60" s="175">
        <f>ROUNDUP(IF('AS400 JEMBATAN'!$AB60&gt;='AS400 JEMBATAN'!$AA60,'AS400 JEMBATAN'!X60,$AB60/$V$4)+$AD60,0)</f>
        <v>0</v>
      </c>
      <c r="Y60" s="175">
        <f>ROUNDUP(IF('AS400 JEMBATAN'!$AB60&gt;='AS400 JEMBATAN'!$AA60,'AS400 JEMBATAN'!Y60,$AB60/$V$4)+$AD60,0)</f>
        <v>0</v>
      </c>
      <c r="Z60" s="175">
        <f>ROUNDUP(IF('AS400 JEMBATAN'!$AB60&gt;='AS400 JEMBATAN'!$AA60,'AS400 JEMBATAN'!Z60,$AB60/$V$4)+$AD60,0)</f>
        <v>0</v>
      </c>
      <c r="AA60" s="175">
        <f t="shared" si="45"/>
        <v>0</v>
      </c>
      <c r="AB60" s="175">
        <f>'QTY '!W60</f>
        <v>0</v>
      </c>
      <c r="AC60" s="175">
        <f t="shared" si="46"/>
        <v>0</v>
      </c>
      <c r="AD60" s="183"/>
      <c r="AE60" s="175">
        <f>ROUNDUP(IF('AS400 JEMBATAN'!$AK60&gt;='AS400 JEMBATAN'!$AJ60,'AS400 JEMBATAN'!AE60,$AK60/$AE$4)+$AM60,0)</f>
        <v>0</v>
      </c>
      <c r="AF60" s="175">
        <f>ROUNDUP(IF('AS400 JEMBATAN'!$AK60&gt;='AS400 JEMBATAN'!$AJ60,'AS400 JEMBATAN'!AF60,$AK60/$AE$4)+$AM60,0)</f>
        <v>0</v>
      </c>
      <c r="AG60" s="175">
        <f>ROUNDUP(IF('AS400 JEMBATAN'!$AK60&gt;='AS400 JEMBATAN'!$AJ60,'AS400 JEMBATAN'!AG60,$AK60/$AE$4)+$AM60,0)</f>
        <v>0</v>
      </c>
      <c r="AH60" s="175">
        <f>ROUNDUP(IF('AS400 JEMBATAN'!$AK60&gt;='AS400 JEMBATAN'!$AJ60,'AS400 JEMBATAN'!AH60,$AK60/$AE$4)+$AM60,0)</f>
        <v>0</v>
      </c>
      <c r="AI60" s="175"/>
      <c r="AJ60" s="175">
        <f t="shared" si="47"/>
        <v>0</v>
      </c>
      <c r="AK60" s="175">
        <f>'QTY '!Z60</f>
        <v>0</v>
      </c>
      <c r="AL60" s="175">
        <f t="shared" si="48"/>
        <v>0</v>
      </c>
      <c r="AM60" s="178"/>
      <c r="AN60" s="179">
        <f>+'AS400 JEMBATAN'!AN60</f>
        <v>0</v>
      </c>
      <c r="AO60" s="179">
        <f>+'AS400 JEMBATAN'!AO60</f>
        <v>0</v>
      </c>
      <c r="AP60" s="179">
        <f>+'AS400 JEMBATAN'!AP60</f>
        <v>0</v>
      </c>
      <c r="AQ60" s="179">
        <f>+'AS400 JEMBATAN'!AQ60</f>
        <v>0</v>
      </c>
      <c r="AR60" s="175"/>
      <c r="AS60" s="175">
        <f t="shared" si="49"/>
        <v>0</v>
      </c>
      <c r="AT60" s="175">
        <f>'QTY '!AC60</f>
        <v>0</v>
      </c>
      <c r="AU60" s="175">
        <f t="shared" si="50"/>
        <v>0</v>
      </c>
      <c r="AV60" s="178">
        <v>0</v>
      </c>
      <c r="AW60" s="180"/>
      <c r="AX60" s="180"/>
      <c r="AY60" s="180"/>
      <c r="AZ60" s="180"/>
      <c r="BA60" s="180"/>
    </row>
    <row r="61" spans="1:53" ht="18" customHeight="1" thickTop="1" thickBot="1">
      <c r="A61" s="210" t="str">
        <f>+'AS400 JEMBATAN'!A61</f>
        <v>BC111-5DR50-2</v>
      </c>
      <c r="B61" s="200" t="str">
        <f>+'AS400 JEMBATAN'!B61</f>
        <v>BC111-5DR50-2 B 0001</v>
      </c>
      <c r="C61" s="187">
        <f>'AS400 JEMBATAN'!C61</f>
        <v>0</v>
      </c>
      <c r="D61" s="175">
        <f>ROUNDUP(IF('AS400 JEMBATAN'!$J61&gt;='AS400 JEMBATAN'!$I61,'AS400 JEMBATAN'!D61,$J61/$D$4)+$L61,0)</f>
        <v>0</v>
      </c>
      <c r="E61" s="175">
        <f>ROUNDUP(IF('AS400 JEMBATAN'!$J61&gt;='AS400 JEMBATAN'!$I61,'AS400 JEMBATAN'!E61,$J61/$D$4)+$L61,0)</f>
        <v>0</v>
      </c>
      <c r="F61" s="175">
        <f>ROUNDUP(IF('AS400 JEMBATAN'!$J61&gt;='AS400 JEMBATAN'!$I61,'AS400 JEMBATAN'!F61,$J61/$D$4)+$L61,0)</f>
        <v>0</v>
      </c>
      <c r="G61" s="175">
        <f>ROUNDUP(IF('AS400 JEMBATAN'!$J61&gt;='AS400 JEMBATAN'!$I61,'AS400 JEMBATAN'!G61,$J61/$D$4)+$L61,0)</f>
        <v>0</v>
      </c>
      <c r="H61" s="175"/>
      <c r="I61" s="175">
        <f t="shared" si="41"/>
        <v>0</v>
      </c>
      <c r="J61" s="176">
        <f>'QTY '!Q61</f>
        <v>0</v>
      </c>
      <c r="K61" s="176">
        <f t="shared" si="42"/>
        <v>0</v>
      </c>
      <c r="L61" s="177"/>
      <c r="M61" s="175">
        <f>ROUNDUP(IF('AS400 JEMBATAN'!$S61&gt;='AS400 JEMBATAN'!$R61,'AS400 JEMBATAN'!M61,$S61/$M$4)+$U61,0)</f>
        <v>0</v>
      </c>
      <c r="N61" s="175">
        <f>ROUNDUP(IF('AS400 JEMBATAN'!$S61&gt;='AS400 JEMBATAN'!$R61,'AS400 JEMBATAN'!N61,$S61/$M$4)+$U61,0)</f>
        <v>0</v>
      </c>
      <c r="O61" s="175">
        <f>ROUNDUP(IF('AS400 JEMBATAN'!$S61&gt;='AS400 JEMBATAN'!$R61,'AS400 JEMBATAN'!O61,$S61/$M$4)+$U61,0)</f>
        <v>0</v>
      </c>
      <c r="P61" s="175">
        <f>ROUNDUP(IF('AS400 JEMBATAN'!$S61&gt;='AS400 JEMBATAN'!$R61,'AS400 JEMBATAN'!P61,$S61/$M$4)+$U61,0)</f>
        <v>0</v>
      </c>
      <c r="Q61" s="175">
        <f>ROUNDUP(IF('AS400 JEMBATAN'!$S61&gt;='AS400 JEMBATAN'!$R61,'AS400 JEMBATAN'!Q61,$S61/$M$4)+$U61,0)</f>
        <v>0</v>
      </c>
      <c r="R61" s="175">
        <f t="shared" si="43"/>
        <v>0</v>
      </c>
      <c r="S61" s="175">
        <f>'QTY '!T61</f>
        <v>0</v>
      </c>
      <c r="T61" s="176">
        <f t="shared" si="44"/>
        <v>0</v>
      </c>
      <c r="U61" s="178"/>
      <c r="V61" s="175">
        <f>ROUNDUP(IF('AS400 JEMBATAN'!$AB61&gt;='AS400 JEMBATAN'!$AA61,'AS400 JEMBATAN'!V61,$AB61/$V$4)+$AD61,0)</f>
        <v>0</v>
      </c>
      <c r="W61" s="175">
        <f>ROUNDUP(IF('AS400 JEMBATAN'!$AB61&gt;='AS400 JEMBATAN'!$AA61,'AS400 JEMBATAN'!W61,$AB61/$V$4)+$AD61,0)</f>
        <v>0</v>
      </c>
      <c r="X61" s="175">
        <f>ROUNDUP(IF('AS400 JEMBATAN'!$AB61&gt;='AS400 JEMBATAN'!$AA61,'AS400 JEMBATAN'!X61,$AB61/$V$4)+$AD61,0)</f>
        <v>0</v>
      </c>
      <c r="Y61" s="175">
        <f>ROUNDUP(IF('AS400 JEMBATAN'!$AB61&gt;='AS400 JEMBATAN'!$AA61,'AS400 JEMBATAN'!Y61,$AB61/$V$4)+$AD61,0)</f>
        <v>0</v>
      </c>
      <c r="Z61" s="175">
        <f>ROUNDUP(IF('AS400 JEMBATAN'!$AB61&gt;='AS400 JEMBATAN'!$AA61,'AS400 JEMBATAN'!Z61,$AB61/$V$4)+$AD61,0)</f>
        <v>0</v>
      </c>
      <c r="AA61" s="175">
        <f t="shared" si="45"/>
        <v>0</v>
      </c>
      <c r="AB61" s="175">
        <f>'QTY '!W61</f>
        <v>0</v>
      </c>
      <c r="AC61" s="175">
        <f t="shared" si="46"/>
        <v>0</v>
      </c>
      <c r="AD61" s="183"/>
      <c r="AE61" s="175">
        <f>ROUNDUP(IF('AS400 JEMBATAN'!$AK61&gt;='AS400 JEMBATAN'!$AJ61,'AS400 JEMBATAN'!AE61,$AK61/$AE$4)+$AM61,0)</f>
        <v>0</v>
      </c>
      <c r="AF61" s="175">
        <f>ROUNDUP(IF('AS400 JEMBATAN'!$AK61&gt;='AS400 JEMBATAN'!$AJ61,'AS400 JEMBATAN'!AF61,$AK61/$AE$4)+$AM61,0)</f>
        <v>0</v>
      </c>
      <c r="AG61" s="175">
        <f>ROUNDUP(IF('AS400 JEMBATAN'!$AK61&gt;='AS400 JEMBATAN'!$AJ61,'AS400 JEMBATAN'!AG61,$AK61/$AE$4)+$AM61,0)</f>
        <v>0</v>
      </c>
      <c r="AH61" s="175">
        <f>ROUNDUP(IF('AS400 JEMBATAN'!$AK61&gt;='AS400 JEMBATAN'!$AJ61,'AS400 JEMBATAN'!AH61,$AK61/$AE$4)+$AM61,0)</f>
        <v>0</v>
      </c>
      <c r="AI61" s="175"/>
      <c r="AJ61" s="175">
        <f t="shared" si="47"/>
        <v>0</v>
      </c>
      <c r="AK61" s="175">
        <f>'QTY '!Z61</f>
        <v>0</v>
      </c>
      <c r="AL61" s="175">
        <f t="shared" si="48"/>
        <v>0</v>
      </c>
      <c r="AM61" s="178"/>
      <c r="AN61" s="179">
        <f>+'AS400 JEMBATAN'!AN61</f>
        <v>0</v>
      </c>
      <c r="AO61" s="179">
        <f>+'AS400 JEMBATAN'!AO61</f>
        <v>0</v>
      </c>
      <c r="AP61" s="179">
        <f>+'AS400 JEMBATAN'!AP61</f>
        <v>0</v>
      </c>
      <c r="AQ61" s="179">
        <f>+'AS400 JEMBATAN'!AQ61</f>
        <v>0</v>
      </c>
      <c r="AR61" s="175"/>
      <c r="AS61" s="175">
        <f t="shared" si="49"/>
        <v>0</v>
      </c>
      <c r="AT61" s="175">
        <f>'QTY '!AC61</f>
        <v>0</v>
      </c>
      <c r="AU61" s="175">
        <f t="shared" si="50"/>
        <v>0</v>
      </c>
      <c r="AV61" s="178">
        <v>0</v>
      </c>
      <c r="AW61" s="180"/>
      <c r="AX61" s="180"/>
      <c r="AY61" s="180"/>
      <c r="AZ61" s="180"/>
      <c r="BA61" s="180"/>
    </row>
    <row r="62" spans="1:53" ht="18" customHeight="1" thickTop="1" thickBot="1">
      <c r="A62" s="210" t="str">
        <f>+'AS400 JEMBATAN'!A62</f>
        <v>BC111-V1020-1</v>
      </c>
      <c r="B62" s="200" t="str">
        <f>+'AS400 JEMBATAN'!B62</f>
        <v>BC111-V1020-1 D 0101</v>
      </c>
      <c r="C62" s="187">
        <f>'AS400 JEMBATAN'!C62</f>
        <v>0</v>
      </c>
      <c r="D62" s="175">
        <f>ROUNDUP(IF('AS400 JEMBATAN'!$J62&gt;='AS400 JEMBATAN'!$I62,'AS400 JEMBATAN'!D62,$J62/$D$4)+$L62,0)</f>
        <v>0</v>
      </c>
      <c r="E62" s="175">
        <f>ROUNDUP(IF('AS400 JEMBATAN'!$J62&gt;='AS400 JEMBATAN'!$I62,'AS400 JEMBATAN'!E62,$J62/$D$4)+$L62,0)</f>
        <v>0</v>
      </c>
      <c r="F62" s="175">
        <f>ROUNDUP(IF('AS400 JEMBATAN'!$J62&gt;='AS400 JEMBATAN'!$I62,'AS400 JEMBATAN'!F62,$J62/$D$4)+$L62,0)</f>
        <v>0</v>
      </c>
      <c r="G62" s="175">
        <f>ROUNDUP(IF('AS400 JEMBATAN'!$J62&gt;='AS400 JEMBATAN'!$I62,'AS400 JEMBATAN'!G62,$J62/$D$4)+$L62,0)</f>
        <v>0</v>
      </c>
      <c r="H62" s="175"/>
      <c r="I62" s="175">
        <f t="shared" si="41"/>
        <v>0</v>
      </c>
      <c r="J62" s="176">
        <f>'QTY '!Q62</f>
        <v>0</v>
      </c>
      <c r="K62" s="176">
        <f t="shared" si="42"/>
        <v>0</v>
      </c>
      <c r="L62" s="177"/>
      <c r="M62" s="175">
        <f>ROUNDUP(IF('AS400 JEMBATAN'!$S62&gt;='AS400 JEMBATAN'!$R62,'AS400 JEMBATAN'!M62,$S62/$M$4)+$U62,0)</f>
        <v>120</v>
      </c>
      <c r="N62" s="175">
        <f>ROUNDUP(IF('AS400 JEMBATAN'!$S62&gt;='AS400 JEMBATAN'!$R62,'AS400 JEMBATAN'!N62,$S62/$M$4)+$U62,0)</f>
        <v>120</v>
      </c>
      <c r="O62" s="175">
        <f>ROUNDUP(IF('AS400 JEMBATAN'!$S62&gt;='AS400 JEMBATAN'!$R62,'AS400 JEMBATAN'!O62,$S62/$M$4)+$U62,0)</f>
        <v>0</v>
      </c>
      <c r="P62" s="175">
        <f>ROUNDUP(IF('AS400 JEMBATAN'!$S62&gt;='AS400 JEMBATAN'!$R62,'AS400 JEMBATAN'!P62,$S62/$M$4)+$U62,0)</f>
        <v>120</v>
      </c>
      <c r="Q62" s="175">
        <f>ROUNDUP(IF('AS400 JEMBATAN'!$S62&gt;='AS400 JEMBATAN'!$R62,'AS400 JEMBATAN'!Q62,$S62/$M$4)+$U62,0)</f>
        <v>0</v>
      </c>
      <c r="R62" s="175">
        <f t="shared" si="43"/>
        <v>360</v>
      </c>
      <c r="S62" s="175">
        <f>'QTY '!T62</f>
        <v>360</v>
      </c>
      <c r="T62" s="176">
        <f t="shared" si="44"/>
        <v>0</v>
      </c>
      <c r="U62" s="178"/>
      <c r="V62" s="175">
        <f>ROUNDUP(IF('AS400 JEMBATAN'!$AB62&gt;='AS400 JEMBATAN'!$AA62,'AS400 JEMBATAN'!V62,$AB62/$V$4)+$AD62,0)</f>
        <v>120</v>
      </c>
      <c r="W62" s="175">
        <f>ROUNDUP(IF('AS400 JEMBATAN'!$AB62&gt;='AS400 JEMBATAN'!$AA62,'AS400 JEMBATAN'!W62,$AB62/$V$4)+$AD62,0)</f>
        <v>60</v>
      </c>
      <c r="X62" s="175">
        <f>ROUNDUP(IF('AS400 JEMBATAN'!$AB62&gt;='AS400 JEMBATAN'!$AA62,'AS400 JEMBATAN'!X62,$AB62/$V$4)+$AD62,0)</f>
        <v>120</v>
      </c>
      <c r="Y62" s="175">
        <f>ROUNDUP(IF('AS400 JEMBATAN'!$AB62&gt;='AS400 JEMBATAN'!$AA62,'AS400 JEMBATAN'!Y62,$AB62/$V$4)+$AD62,0)</f>
        <v>60</v>
      </c>
      <c r="Z62" s="175">
        <f>ROUNDUP(IF('AS400 JEMBATAN'!$AB62&gt;='AS400 JEMBATAN'!$AA62,'AS400 JEMBATAN'!Z62,$AB62/$V$4)+$AD62,0)</f>
        <v>0</v>
      </c>
      <c r="AA62" s="175">
        <f t="shared" si="45"/>
        <v>360</v>
      </c>
      <c r="AB62" s="175">
        <f>'QTY '!W62</f>
        <v>360</v>
      </c>
      <c r="AC62" s="175">
        <f t="shared" si="46"/>
        <v>0</v>
      </c>
      <c r="AD62" s="183"/>
      <c r="AE62" s="175">
        <f>ROUNDUP(IF('AS400 JEMBATAN'!$AK62&gt;='AS400 JEMBATAN'!$AJ62,'AS400 JEMBATAN'!AE62,$AK62/$AE$4)+$AM62,0)</f>
        <v>90</v>
      </c>
      <c r="AF62" s="175">
        <f>ROUNDUP(IF('AS400 JEMBATAN'!$AK62&gt;='AS400 JEMBATAN'!$AJ62,'AS400 JEMBATAN'!AF62,$AK62/$AE$4)+$AM62,0)</f>
        <v>90</v>
      </c>
      <c r="AG62" s="175">
        <f>ROUNDUP(IF('AS400 JEMBATAN'!$AK62&gt;='AS400 JEMBATAN'!$AJ62,'AS400 JEMBATAN'!AG62,$AK62/$AE$4)+$AM62,0)</f>
        <v>90</v>
      </c>
      <c r="AH62" s="175">
        <f>ROUNDUP(IF('AS400 JEMBATAN'!$AK62&gt;='AS400 JEMBATAN'!$AJ62,'AS400 JEMBATAN'!AH62,$AK62/$AE$4)+$AM62,0)</f>
        <v>90</v>
      </c>
      <c r="AI62" s="175"/>
      <c r="AJ62" s="175">
        <f t="shared" si="47"/>
        <v>360</v>
      </c>
      <c r="AK62" s="175">
        <f>'QTY '!Z62</f>
        <v>360</v>
      </c>
      <c r="AL62" s="175">
        <f t="shared" si="48"/>
        <v>0</v>
      </c>
      <c r="AM62" s="178"/>
      <c r="AN62" s="179">
        <f>+'AS400 JEMBATAN'!AN62</f>
        <v>90</v>
      </c>
      <c r="AO62" s="179">
        <f>+'AS400 JEMBATAN'!AO62</f>
        <v>90</v>
      </c>
      <c r="AP62" s="179">
        <f>+'AS400 JEMBATAN'!AP62</f>
        <v>90</v>
      </c>
      <c r="AQ62" s="179">
        <f>+'AS400 JEMBATAN'!AQ62</f>
        <v>90</v>
      </c>
      <c r="AR62" s="175"/>
      <c r="AS62" s="175">
        <f t="shared" si="49"/>
        <v>360</v>
      </c>
      <c r="AT62" s="175">
        <f>'QTY '!AC62</f>
        <v>360</v>
      </c>
      <c r="AU62" s="175">
        <f t="shared" si="50"/>
        <v>0</v>
      </c>
      <c r="AV62" s="178">
        <v>0</v>
      </c>
      <c r="AW62" s="180"/>
      <c r="AX62" s="180"/>
      <c r="AY62" s="180"/>
      <c r="AZ62" s="180"/>
      <c r="BA62" s="180"/>
    </row>
    <row r="63" spans="1:53" ht="18" customHeight="1" thickTop="1" thickBot="1">
      <c r="A63" s="210" t="str">
        <f>+'AS400 JEMBATAN'!A63</f>
        <v>BC111-V1100-1</v>
      </c>
      <c r="B63" s="200" t="str">
        <f>+'AS400 JEMBATAN'!B63</f>
        <v>BC111-V1100-1 G 0201</v>
      </c>
      <c r="C63" s="187">
        <f>'AS400 JEMBATAN'!C63</f>
        <v>0</v>
      </c>
      <c r="D63" s="175">
        <f>ROUNDUP(IF('AS400 JEMBATAN'!$J63&gt;='AS400 JEMBATAN'!$I63,'AS400 JEMBATAN'!D63,$J63/$D$4)+$L63,0)</f>
        <v>2580</v>
      </c>
      <c r="E63" s="175">
        <f>ROUNDUP(IF('AS400 JEMBATAN'!$J63&gt;='AS400 JEMBATAN'!$I63,'AS400 JEMBATAN'!E63,$J63/$D$4)+$L63,0)</f>
        <v>2640</v>
      </c>
      <c r="F63" s="175">
        <f>ROUNDUP(IF('AS400 JEMBATAN'!$J63&gt;='AS400 JEMBATAN'!$I63,'AS400 JEMBATAN'!F63,$J63/$D$4)+$L63,0)</f>
        <v>2520</v>
      </c>
      <c r="G63" s="175">
        <f>ROUNDUP(IF('AS400 JEMBATAN'!$J63&gt;='AS400 JEMBATAN'!$I63,'AS400 JEMBATAN'!G63,$J63/$D$4)+$L63,0)</f>
        <v>2520</v>
      </c>
      <c r="H63" s="175"/>
      <c r="I63" s="175">
        <f t="shared" si="41"/>
        <v>10260</v>
      </c>
      <c r="J63" s="176">
        <f>'QTY '!Q63</f>
        <v>10260</v>
      </c>
      <c r="K63" s="176">
        <f t="shared" si="42"/>
        <v>0</v>
      </c>
      <c r="L63" s="177"/>
      <c r="M63" s="175">
        <f>ROUNDUP(IF('AS400 JEMBATAN'!$S63&gt;='AS400 JEMBATAN'!$R63,'AS400 JEMBATAN'!M63,$S63/$M$4)+$U63,0)</f>
        <v>3000</v>
      </c>
      <c r="N63" s="175">
        <f>ROUNDUP(IF('AS400 JEMBATAN'!$S63&gt;='AS400 JEMBATAN'!$R63,'AS400 JEMBATAN'!N63,$S63/$M$4)+$U63,0)</f>
        <v>2100</v>
      </c>
      <c r="O63" s="175">
        <f>ROUNDUP(IF('AS400 JEMBATAN'!$S63&gt;='AS400 JEMBATAN'!$R63,'AS400 JEMBATAN'!O63,$S63/$M$4)+$U63,0)</f>
        <v>0</v>
      </c>
      <c r="P63" s="175">
        <f>ROUNDUP(IF('AS400 JEMBATAN'!$S63&gt;='AS400 JEMBATAN'!$R63,'AS400 JEMBATAN'!P63,$S63/$M$4)+$U63,0)</f>
        <v>3240</v>
      </c>
      <c r="Q63" s="175">
        <f>ROUNDUP(IF('AS400 JEMBATAN'!$S63&gt;='AS400 JEMBATAN'!$R63,'AS400 JEMBATAN'!Q63,$S63/$M$4)+$U63,0)</f>
        <v>0</v>
      </c>
      <c r="R63" s="175">
        <f t="shared" si="43"/>
        <v>8340</v>
      </c>
      <c r="S63" s="175">
        <f>'QTY '!T63</f>
        <v>8340</v>
      </c>
      <c r="T63" s="176">
        <f t="shared" si="44"/>
        <v>0</v>
      </c>
      <c r="U63" s="178"/>
      <c r="V63" s="175">
        <f>ROUNDUP(IF('AS400 JEMBATAN'!$AB63&gt;='AS400 JEMBATAN'!$AA63,'AS400 JEMBATAN'!V63,$AB63/$V$4)+$AD63,0)</f>
        <v>2760</v>
      </c>
      <c r="W63" s="175">
        <f>ROUNDUP(IF('AS400 JEMBATAN'!$AB63&gt;='AS400 JEMBATAN'!$AA63,'AS400 JEMBATAN'!W63,$AB63/$V$4)+$AD63,0)</f>
        <v>2160</v>
      </c>
      <c r="X63" s="175">
        <f>ROUNDUP(IF('AS400 JEMBATAN'!$AB63&gt;='AS400 JEMBATAN'!$AA63,'AS400 JEMBATAN'!X63,$AB63/$V$4)+$AD63,0)</f>
        <v>2700</v>
      </c>
      <c r="Y63" s="175">
        <f>ROUNDUP(IF('AS400 JEMBATAN'!$AB63&gt;='AS400 JEMBATAN'!$AA63,'AS400 JEMBATAN'!Y63,$AB63/$V$4)+$AD63,0)</f>
        <v>2640</v>
      </c>
      <c r="Z63" s="175">
        <f>ROUNDUP(IF('AS400 JEMBATAN'!$AB63&gt;='AS400 JEMBATAN'!$AA63,'AS400 JEMBATAN'!Z63,$AB63/$V$4)+$AD63,0)</f>
        <v>0</v>
      </c>
      <c r="AA63" s="175">
        <f t="shared" si="45"/>
        <v>10260</v>
      </c>
      <c r="AB63" s="175">
        <f>'QTY '!W63</f>
        <v>10260</v>
      </c>
      <c r="AC63" s="175">
        <f t="shared" si="46"/>
        <v>0</v>
      </c>
      <c r="AD63" s="183"/>
      <c r="AE63" s="175">
        <f>ROUNDUP(IF('AS400 JEMBATAN'!$AK63&gt;='AS400 JEMBATAN'!$AJ63,'AS400 JEMBATAN'!AE63,$AK63/$AE$4)+$AM63,0)</f>
        <v>2895</v>
      </c>
      <c r="AF63" s="175">
        <f>ROUNDUP(IF('AS400 JEMBATAN'!$AK63&gt;='AS400 JEMBATAN'!$AJ63,'AS400 JEMBATAN'!AF63,$AK63/$AE$4)+$AM63,0)</f>
        <v>2895</v>
      </c>
      <c r="AG63" s="175">
        <f>ROUNDUP(IF('AS400 JEMBATAN'!$AK63&gt;='AS400 JEMBATAN'!$AJ63,'AS400 JEMBATAN'!AG63,$AK63/$AE$4)+$AM63,0)</f>
        <v>2895</v>
      </c>
      <c r="AH63" s="175">
        <f>ROUNDUP(IF('AS400 JEMBATAN'!$AK63&gt;='AS400 JEMBATAN'!$AJ63,'AS400 JEMBATAN'!AH63,$AK63/$AE$4)+$AM63,0)</f>
        <v>2895</v>
      </c>
      <c r="AI63" s="175"/>
      <c r="AJ63" s="175">
        <f t="shared" si="47"/>
        <v>11580</v>
      </c>
      <c r="AK63" s="175">
        <f>'QTY '!Z63</f>
        <v>11580</v>
      </c>
      <c r="AL63" s="175">
        <f t="shared" si="48"/>
        <v>0</v>
      </c>
      <c r="AM63" s="178"/>
      <c r="AN63" s="179">
        <f>+'AS400 JEMBATAN'!AN63</f>
        <v>2895</v>
      </c>
      <c r="AO63" s="179">
        <f>+'AS400 JEMBATAN'!AO63</f>
        <v>2895</v>
      </c>
      <c r="AP63" s="179">
        <f>+'AS400 JEMBATAN'!AP63</f>
        <v>2895</v>
      </c>
      <c r="AQ63" s="179">
        <f>+'AS400 JEMBATAN'!AQ63</f>
        <v>2895</v>
      </c>
      <c r="AR63" s="175"/>
      <c r="AS63" s="175">
        <f t="shared" si="49"/>
        <v>11580</v>
      </c>
      <c r="AT63" s="175">
        <f>'QTY '!AC63</f>
        <v>11580</v>
      </c>
      <c r="AU63" s="175">
        <f t="shared" si="50"/>
        <v>0</v>
      </c>
      <c r="AV63" s="178">
        <v>0</v>
      </c>
      <c r="AW63" s="180"/>
      <c r="AX63" s="180"/>
      <c r="AY63" s="180"/>
      <c r="AZ63" s="180"/>
      <c r="BA63" s="180"/>
    </row>
    <row r="64" spans="1:53" ht="18" customHeight="1" thickTop="1" thickBot="1">
      <c r="A64" s="210" t="str">
        <f>+'AS400 JEMBATAN'!A64</f>
        <v>BC111-1S130-1</v>
      </c>
      <c r="B64" s="200" t="str">
        <f>+'AS400 JEMBATAN'!B64</f>
        <v>BC111-1S130-1 D 0001</v>
      </c>
      <c r="C64" s="187">
        <f>'AS400 JEMBATAN'!C64</f>
        <v>0</v>
      </c>
      <c r="D64" s="175">
        <f>ROUNDUP(IF('AS400 JEMBATAN'!$J64&gt;='AS400 JEMBATAN'!$I64,'AS400 JEMBATAN'!D64,$J64/$D$4)+$L64,0)</f>
        <v>0</v>
      </c>
      <c r="E64" s="175">
        <f>ROUNDUP(IF('AS400 JEMBATAN'!$J64&gt;='AS400 JEMBATAN'!$I64,'AS400 JEMBATAN'!E64,$J64/$D$4)+$L64,0)</f>
        <v>0</v>
      </c>
      <c r="F64" s="175">
        <f>ROUNDUP(IF('AS400 JEMBATAN'!$J64&gt;='AS400 JEMBATAN'!$I64,'AS400 JEMBATAN'!F64,$J64/$D$4)+$L64,0)</f>
        <v>0</v>
      </c>
      <c r="G64" s="175">
        <f>ROUNDUP(IF('AS400 JEMBATAN'!$J64&gt;='AS400 JEMBATAN'!$I64,'AS400 JEMBATAN'!G64,$J64/$D$4)+$L64,0)</f>
        <v>0</v>
      </c>
      <c r="H64" s="175"/>
      <c r="I64" s="175">
        <f t="shared" si="41"/>
        <v>0</v>
      </c>
      <c r="J64" s="176">
        <f>'QTY '!Q64</f>
        <v>0</v>
      </c>
      <c r="K64" s="176">
        <f t="shared" si="42"/>
        <v>0</v>
      </c>
      <c r="L64" s="177"/>
      <c r="M64" s="175">
        <f>ROUNDUP(IF('AS400 JEMBATAN'!$S64&gt;='AS400 JEMBATAN'!$R64,'AS400 JEMBATAN'!M64,$S64/$M$4)+$U64,0)</f>
        <v>0</v>
      </c>
      <c r="N64" s="175">
        <f>ROUNDUP(IF('AS400 JEMBATAN'!$S64&gt;='AS400 JEMBATAN'!$R64,'AS400 JEMBATAN'!N64,$S64/$M$4)+$U64,0)</f>
        <v>0</v>
      </c>
      <c r="O64" s="175">
        <f>ROUNDUP(IF('AS400 JEMBATAN'!$S64&gt;='AS400 JEMBATAN'!$R64,'AS400 JEMBATAN'!O64,$S64/$M$4)+$U64,0)</f>
        <v>0</v>
      </c>
      <c r="P64" s="175">
        <f>ROUNDUP(IF('AS400 JEMBATAN'!$S64&gt;='AS400 JEMBATAN'!$R64,'AS400 JEMBATAN'!P64,$S64/$M$4)+$U64,0)</f>
        <v>0</v>
      </c>
      <c r="Q64" s="175">
        <f>ROUNDUP(IF('AS400 JEMBATAN'!$S64&gt;='AS400 JEMBATAN'!$R64,'AS400 JEMBATAN'!Q64,$S64/$M$4)+$U64,0)</f>
        <v>0</v>
      </c>
      <c r="R64" s="175">
        <f t="shared" si="43"/>
        <v>0</v>
      </c>
      <c r="S64" s="175">
        <f>'QTY '!T64</f>
        <v>0</v>
      </c>
      <c r="T64" s="176">
        <f t="shared" si="44"/>
        <v>0</v>
      </c>
      <c r="U64" s="178"/>
      <c r="V64" s="175">
        <f>ROUNDUP(IF('AS400 JEMBATAN'!$AB64&gt;='AS400 JEMBATAN'!$AA64,'AS400 JEMBATAN'!V64,$AB64/$V$4)+$AD64,0)</f>
        <v>0</v>
      </c>
      <c r="W64" s="175">
        <f>ROUNDUP(IF('AS400 JEMBATAN'!$AB64&gt;='AS400 JEMBATAN'!$AA64,'AS400 JEMBATAN'!W64,$AB64/$V$4)+$AD64,0)</f>
        <v>0</v>
      </c>
      <c r="X64" s="175">
        <f>ROUNDUP(IF('AS400 JEMBATAN'!$AB64&gt;='AS400 JEMBATAN'!$AA64,'AS400 JEMBATAN'!X64,$AB64/$V$4)+$AD64,0)</f>
        <v>0</v>
      </c>
      <c r="Y64" s="175">
        <f>ROUNDUP(IF('AS400 JEMBATAN'!$AB64&gt;='AS400 JEMBATAN'!$AA64,'AS400 JEMBATAN'!Y64,$AB64/$V$4)+$AD64,0)</f>
        <v>0</v>
      </c>
      <c r="Z64" s="175">
        <f>ROUNDUP(IF('AS400 JEMBATAN'!$AB64&gt;='AS400 JEMBATAN'!$AA64,'AS400 JEMBATAN'!Z64,$AB64/$V$4)+$AD64,0)</f>
        <v>0</v>
      </c>
      <c r="AA64" s="175">
        <f t="shared" si="45"/>
        <v>0</v>
      </c>
      <c r="AB64" s="175">
        <f>'QTY '!W64</f>
        <v>0</v>
      </c>
      <c r="AC64" s="175">
        <f t="shared" si="46"/>
        <v>0</v>
      </c>
      <c r="AD64" s="183"/>
      <c r="AE64" s="175">
        <f>ROUNDUP(IF('AS400 JEMBATAN'!$AK64&gt;='AS400 JEMBATAN'!$AJ64,'AS400 JEMBATAN'!AE64,$AK64/$AE$4)+$AM64,0)</f>
        <v>0</v>
      </c>
      <c r="AF64" s="175">
        <f>ROUNDUP(IF('AS400 JEMBATAN'!$AK64&gt;='AS400 JEMBATAN'!$AJ64,'AS400 JEMBATAN'!AF64,$AK64/$AE$4)+$AM64,0)</f>
        <v>0</v>
      </c>
      <c r="AG64" s="175">
        <f>ROUNDUP(IF('AS400 JEMBATAN'!$AK64&gt;='AS400 JEMBATAN'!$AJ64,'AS400 JEMBATAN'!AG64,$AK64/$AE$4)+$AM64,0)</f>
        <v>0</v>
      </c>
      <c r="AH64" s="175">
        <f>ROUNDUP(IF('AS400 JEMBATAN'!$AK64&gt;='AS400 JEMBATAN'!$AJ64,'AS400 JEMBATAN'!AH64,$AK64/$AE$4)+$AM64,0)</f>
        <v>0</v>
      </c>
      <c r="AI64" s="175"/>
      <c r="AJ64" s="175">
        <f t="shared" si="47"/>
        <v>0</v>
      </c>
      <c r="AK64" s="175">
        <f>'QTY '!Z64</f>
        <v>0</v>
      </c>
      <c r="AL64" s="175">
        <f t="shared" si="48"/>
        <v>0</v>
      </c>
      <c r="AM64" s="178"/>
      <c r="AN64" s="179">
        <f>+'AS400 JEMBATAN'!AN64</f>
        <v>0</v>
      </c>
      <c r="AO64" s="179">
        <f>+'AS400 JEMBATAN'!AO64</f>
        <v>0</v>
      </c>
      <c r="AP64" s="179">
        <f>+'AS400 JEMBATAN'!AP64</f>
        <v>0</v>
      </c>
      <c r="AQ64" s="179">
        <f>+'AS400 JEMBATAN'!AQ64</f>
        <v>0</v>
      </c>
      <c r="AR64" s="175"/>
      <c r="AS64" s="175">
        <f t="shared" si="49"/>
        <v>0</v>
      </c>
      <c r="AT64" s="175">
        <f>'QTY '!AC64</f>
        <v>0</v>
      </c>
      <c r="AU64" s="175">
        <f t="shared" si="50"/>
        <v>0</v>
      </c>
      <c r="AV64" s="178">
        <v>0</v>
      </c>
      <c r="AW64" s="180"/>
      <c r="AX64" s="180"/>
      <c r="AY64" s="180"/>
      <c r="AZ64" s="180"/>
      <c r="BA64" s="180"/>
    </row>
    <row r="65" spans="1:53" ht="18" customHeight="1" thickTop="1" thickBot="1">
      <c r="A65" s="210" t="str">
        <f>+'AS400 JEMBATAN'!A65</f>
        <v>BC111-1S130-2</v>
      </c>
      <c r="B65" s="200" t="str">
        <f>+'AS400 JEMBATAN'!B65</f>
        <v>BC111-1S130-2 D 0001</v>
      </c>
      <c r="C65" s="187">
        <f>'AS400 JEMBATAN'!C65</f>
        <v>0</v>
      </c>
      <c r="D65" s="175">
        <f>ROUNDUP(IF('AS400 JEMBATAN'!$J65&gt;='AS400 JEMBATAN'!$I65,'AS400 JEMBATAN'!D65,$J65/$D$4)+$L65,0)</f>
        <v>0</v>
      </c>
      <c r="E65" s="175">
        <f>ROUNDUP(IF('AS400 JEMBATAN'!$J65&gt;='AS400 JEMBATAN'!$I65,'AS400 JEMBATAN'!E65,$J65/$D$4)+$L65,0)</f>
        <v>0</v>
      </c>
      <c r="F65" s="175">
        <f>ROUNDUP(IF('AS400 JEMBATAN'!$J65&gt;='AS400 JEMBATAN'!$I65,'AS400 JEMBATAN'!F65,$J65/$D$4)+$L65,0)</f>
        <v>0</v>
      </c>
      <c r="G65" s="175">
        <f>ROUNDUP(IF('AS400 JEMBATAN'!$J65&gt;='AS400 JEMBATAN'!$I65,'AS400 JEMBATAN'!G65,$J65/$D$4)+$L65,0)</f>
        <v>0</v>
      </c>
      <c r="H65" s="175"/>
      <c r="I65" s="175">
        <f t="shared" si="41"/>
        <v>0</v>
      </c>
      <c r="J65" s="176">
        <f>'QTY '!Q65</f>
        <v>0</v>
      </c>
      <c r="K65" s="176">
        <f t="shared" si="42"/>
        <v>0</v>
      </c>
      <c r="L65" s="177"/>
      <c r="M65" s="175">
        <f>ROUNDUP(IF('AS400 JEMBATAN'!$S65&gt;='AS400 JEMBATAN'!$R65,'AS400 JEMBATAN'!M65,$S65/$M$4)+$U65,0)</f>
        <v>0</v>
      </c>
      <c r="N65" s="175">
        <f>ROUNDUP(IF('AS400 JEMBATAN'!$S65&gt;='AS400 JEMBATAN'!$R65,'AS400 JEMBATAN'!N65,$S65/$M$4)+$U65,0)</f>
        <v>0</v>
      </c>
      <c r="O65" s="175">
        <f>ROUNDUP(IF('AS400 JEMBATAN'!$S65&gt;='AS400 JEMBATAN'!$R65,'AS400 JEMBATAN'!O65,$S65/$M$4)+$U65,0)</f>
        <v>0</v>
      </c>
      <c r="P65" s="175">
        <f>ROUNDUP(IF('AS400 JEMBATAN'!$S65&gt;='AS400 JEMBATAN'!$R65,'AS400 JEMBATAN'!P65,$S65/$M$4)+$U65,0)</f>
        <v>0</v>
      </c>
      <c r="Q65" s="175">
        <f>ROUNDUP(IF('AS400 JEMBATAN'!$S65&gt;='AS400 JEMBATAN'!$R65,'AS400 JEMBATAN'!Q65,$S65/$M$4)+$U65,0)</f>
        <v>0</v>
      </c>
      <c r="R65" s="175">
        <f t="shared" si="43"/>
        <v>0</v>
      </c>
      <c r="S65" s="175">
        <f>'QTY '!T65</f>
        <v>0</v>
      </c>
      <c r="T65" s="176">
        <f t="shared" si="44"/>
        <v>0</v>
      </c>
      <c r="U65" s="178"/>
      <c r="V65" s="175">
        <f>ROUNDUP(IF('AS400 JEMBATAN'!$AB65&gt;='AS400 JEMBATAN'!$AA65,'AS400 JEMBATAN'!V65,$AB65/$V$4)+$AD65,0)</f>
        <v>0</v>
      </c>
      <c r="W65" s="175">
        <f>ROUNDUP(IF('AS400 JEMBATAN'!$AB65&gt;='AS400 JEMBATAN'!$AA65,'AS400 JEMBATAN'!W65,$AB65/$V$4)+$AD65,0)</f>
        <v>0</v>
      </c>
      <c r="X65" s="175">
        <f>ROUNDUP(IF('AS400 JEMBATAN'!$AB65&gt;='AS400 JEMBATAN'!$AA65,'AS400 JEMBATAN'!X65,$AB65/$V$4)+$AD65,0)</f>
        <v>0</v>
      </c>
      <c r="Y65" s="175">
        <f>ROUNDUP(IF('AS400 JEMBATAN'!$AB65&gt;='AS400 JEMBATAN'!$AA65,'AS400 JEMBATAN'!Y65,$AB65/$V$4)+$AD65,0)</f>
        <v>0</v>
      </c>
      <c r="Z65" s="175">
        <f>ROUNDUP(IF('AS400 JEMBATAN'!$AB65&gt;='AS400 JEMBATAN'!$AA65,'AS400 JEMBATAN'!Z65,$AB65/$V$4)+$AD65,0)</f>
        <v>0</v>
      </c>
      <c r="AA65" s="175">
        <f t="shared" si="45"/>
        <v>0</v>
      </c>
      <c r="AB65" s="175">
        <f>'QTY '!W65</f>
        <v>0</v>
      </c>
      <c r="AC65" s="175">
        <f t="shared" si="46"/>
        <v>0</v>
      </c>
      <c r="AD65" s="183"/>
      <c r="AE65" s="175">
        <f>ROUNDUP(IF('AS400 JEMBATAN'!$AK65&gt;='AS400 JEMBATAN'!$AJ65,'AS400 JEMBATAN'!AE65,$AK65/$AE$4)+$AM65,0)</f>
        <v>0</v>
      </c>
      <c r="AF65" s="175">
        <f>ROUNDUP(IF('AS400 JEMBATAN'!$AK65&gt;='AS400 JEMBATAN'!$AJ65,'AS400 JEMBATAN'!AF65,$AK65/$AE$4)+$AM65,0)</f>
        <v>0</v>
      </c>
      <c r="AG65" s="175">
        <f>ROUNDUP(IF('AS400 JEMBATAN'!$AK65&gt;='AS400 JEMBATAN'!$AJ65,'AS400 JEMBATAN'!AG65,$AK65/$AE$4)+$AM65,0)</f>
        <v>0</v>
      </c>
      <c r="AH65" s="175">
        <f>ROUNDUP(IF('AS400 JEMBATAN'!$AK65&gt;='AS400 JEMBATAN'!$AJ65,'AS400 JEMBATAN'!AH65,$AK65/$AE$4)+$AM65,0)</f>
        <v>0</v>
      </c>
      <c r="AI65" s="175"/>
      <c r="AJ65" s="175">
        <f t="shared" si="47"/>
        <v>0</v>
      </c>
      <c r="AK65" s="175">
        <f>'QTY '!Z65</f>
        <v>0</v>
      </c>
      <c r="AL65" s="175">
        <f t="shared" si="48"/>
        <v>0</v>
      </c>
      <c r="AM65" s="178"/>
      <c r="AN65" s="179">
        <f>+'AS400 JEMBATAN'!AN65</f>
        <v>0</v>
      </c>
      <c r="AO65" s="179">
        <f>+'AS400 JEMBATAN'!AO65</f>
        <v>0</v>
      </c>
      <c r="AP65" s="179">
        <f>+'AS400 JEMBATAN'!AP65</f>
        <v>0</v>
      </c>
      <c r="AQ65" s="179">
        <f>+'AS400 JEMBATAN'!AQ65</f>
        <v>0</v>
      </c>
      <c r="AR65" s="175"/>
      <c r="AS65" s="175">
        <f t="shared" si="49"/>
        <v>0</v>
      </c>
      <c r="AT65" s="175">
        <f>'QTY '!AC65</f>
        <v>0</v>
      </c>
      <c r="AU65" s="175">
        <f t="shared" si="50"/>
        <v>0</v>
      </c>
      <c r="AV65" s="178">
        <v>0</v>
      </c>
      <c r="AW65" s="180"/>
      <c r="AX65" s="180"/>
      <c r="AY65" s="180"/>
      <c r="AZ65" s="180"/>
      <c r="BA65" s="180"/>
    </row>
    <row r="66" spans="1:53" ht="18" customHeight="1" thickTop="1" thickBot="1">
      <c r="A66" s="210" t="str">
        <f>+'AS400 JEMBATAN'!A66</f>
        <v>BC111-16N10-1</v>
      </c>
      <c r="B66" s="200" t="str">
        <f>+'AS400 JEMBATAN'!B66</f>
        <v>BC111-16N10-1   1001</v>
      </c>
      <c r="C66" s="187">
        <f>'AS400 JEMBATAN'!C66</f>
        <v>0</v>
      </c>
      <c r="D66" s="175">
        <f>ROUNDUP(IF('AS400 JEMBATAN'!$J66&gt;='AS400 JEMBATAN'!$I66,'AS400 JEMBATAN'!D66,$J66/$D$4)+$L66,0)</f>
        <v>0</v>
      </c>
      <c r="E66" s="175">
        <f>ROUNDUP(IF('AS400 JEMBATAN'!$J66&gt;='AS400 JEMBATAN'!$I66,'AS400 JEMBATAN'!E66,$J66/$D$4)+$L66,0)</f>
        <v>0</v>
      </c>
      <c r="F66" s="175">
        <f>ROUNDUP(IF('AS400 JEMBATAN'!$J66&gt;='AS400 JEMBATAN'!$I66,'AS400 JEMBATAN'!F66,$J66/$D$4)+$L66,0)</f>
        <v>0</v>
      </c>
      <c r="G66" s="175">
        <f>ROUNDUP(IF('AS400 JEMBATAN'!$J66&gt;='AS400 JEMBATAN'!$I66,'AS400 JEMBATAN'!G66,$J66/$D$4)+$L66,0)</f>
        <v>0</v>
      </c>
      <c r="H66" s="175"/>
      <c r="I66" s="175">
        <f t="shared" si="41"/>
        <v>0</v>
      </c>
      <c r="J66" s="176">
        <f>'QTY '!Q66</f>
        <v>0</v>
      </c>
      <c r="K66" s="176">
        <f t="shared" si="42"/>
        <v>0</v>
      </c>
      <c r="L66" s="177"/>
      <c r="M66" s="175">
        <f>ROUNDUP(IF('AS400 JEMBATAN'!$S66&gt;='AS400 JEMBATAN'!$R66,'AS400 JEMBATAN'!M66,$S66/$M$4)+$U66,0)</f>
        <v>0</v>
      </c>
      <c r="N66" s="175">
        <f>ROUNDUP(IF('AS400 JEMBATAN'!$S66&gt;='AS400 JEMBATAN'!$R66,'AS400 JEMBATAN'!N66,$S66/$M$4)+$U66,0)</f>
        <v>0</v>
      </c>
      <c r="O66" s="175">
        <f>ROUNDUP(IF('AS400 JEMBATAN'!$S66&gt;='AS400 JEMBATAN'!$R66,'AS400 JEMBATAN'!O66,$S66/$M$4)+$U66,0)</f>
        <v>0</v>
      </c>
      <c r="P66" s="175">
        <f>ROUNDUP(IF('AS400 JEMBATAN'!$S66&gt;='AS400 JEMBATAN'!$R66,'AS400 JEMBATAN'!P66,$S66/$M$4)+$U66,0)</f>
        <v>0</v>
      </c>
      <c r="Q66" s="175">
        <f>ROUNDUP(IF('AS400 JEMBATAN'!$S66&gt;='AS400 JEMBATAN'!$R66,'AS400 JEMBATAN'!Q66,$S66/$M$4)+$U66,0)</f>
        <v>0</v>
      </c>
      <c r="R66" s="175">
        <f t="shared" si="43"/>
        <v>0</v>
      </c>
      <c r="S66" s="175">
        <f>'QTY '!T66</f>
        <v>0</v>
      </c>
      <c r="T66" s="176">
        <f t="shared" si="44"/>
        <v>0</v>
      </c>
      <c r="U66" s="178"/>
      <c r="V66" s="175">
        <f>ROUNDUP(IF('AS400 JEMBATAN'!$AB66&gt;='AS400 JEMBATAN'!$AA66,'AS400 JEMBATAN'!V66,$AB66/$V$4)+$AD66,0)</f>
        <v>0</v>
      </c>
      <c r="W66" s="175">
        <f>ROUNDUP(IF('AS400 JEMBATAN'!$AB66&gt;='AS400 JEMBATAN'!$AA66,'AS400 JEMBATAN'!W66,$AB66/$V$4)+$AD66,0)</f>
        <v>0</v>
      </c>
      <c r="X66" s="175">
        <f>ROUNDUP(IF('AS400 JEMBATAN'!$AB66&gt;='AS400 JEMBATAN'!$AA66,'AS400 JEMBATAN'!X66,$AB66/$V$4)+$AD66,0)</f>
        <v>0</v>
      </c>
      <c r="Y66" s="175">
        <f>ROUNDUP(IF('AS400 JEMBATAN'!$AB66&gt;='AS400 JEMBATAN'!$AA66,'AS400 JEMBATAN'!Y66,$AB66/$V$4)+$AD66,0)</f>
        <v>0</v>
      </c>
      <c r="Z66" s="175">
        <f>ROUNDUP(IF('AS400 JEMBATAN'!$AB66&gt;='AS400 JEMBATAN'!$AA66,'AS400 JEMBATAN'!Z66,$AB66/$V$4)+$AD66,0)</f>
        <v>0</v>
      </c>
      <c r="AA66" s="175">
        <f t="shared" si="45"/>
        <v>0</v>
      </c>
      <c r="AB66" s="175">
        <f>'QTY '!W66</f>
        <v>0</v>
      </c>
      <c r="AC66" s="175">
        <f t="shared" si="46"/>
        <v>0</v>
      </c>
      <c r="AD66" s="183"/>
      <c r="AE66" s="175">
        <f>ROUNDUP(IF('AS400 JEMBATAN'!$AK66&gt;='AS400 JEMBATAN'!$AJ66,'AS400 JEMBATAN'!AE66,$AK66/$AE$4)+$AM66,0)</f>
        <v>0</v>
      </c>
      <c r="AF66" s="175">
        <f>ROUNDUP(IF('AS400 JEMBATAN'!$AK66&gt;='AS400 JEMBATAN'!$AJ66,'AS400 JEMBATAN'!AF66,$AK66/$AE$4)+$AM66,0)</f>
        <v>0</v>
      </c>
      <c r="AG66" s="175">
        <f>ROUNDUP(IF('AS400 JEMBATAN'!$AK66&gt;='AS400 JEMBATAN'!$AJ66,'AS400 JEMBATAN'!AG66,$AK66/$AE$4)+$AM66,0)</f>
        <v>0</v>
      </c>
      <c r="AH66" s="175">
        <f>ROUNDUP(IF('AS400 JEMBATAN'!$AK66&gt;='AS400 JEMBATAN'!$AJ66,'AS400 JEMBATAN'!AH66,$AK66/$AE$4)+$AM66,0)</f>
        <v>0</v>
      </c>
      <c r="AI66" s="175"/>
      <c r="AJ66" s="175">
        <f t="shared" si="47"/>
        <v>0</v>
      </c>
      <c r="AK66" s="175">
        <f>'QTY '!Z66</f>
        <v>0</v>
      </c>
      <c r="AL66" s="175">
        <f t="shared" si="48"/>
        <v>0</v>
      </c>
      <c r="AM66" s="178"/>
      <c r="AN66" s="179">
        <f>+'AS400 JEMBATAN'!AN66</f>
        <v>0</v>
      </c>
      <c r="AO66" s="179">
        <f>+'AS400 JEMBATAN'!AO66</f>
        <v>0</v>
      </c>
      <c r="AP66" s="179">
        <f>+'AS400 JEMBATAN'!AP66</f>
        <v>0</v>
      </c>
      <c r="AQ66" s="179">
        <f>+'AS400 JEMBATAN'!AQ66</f>
        <v>0</v>
      </c>
      <c r="AR66" s="175"/>
      <c r="AS66" s="175">
        <f t="shared" si="49"/>
        <v>0</v>
      </c>
      <c r="AT66" s="175">
        <f>'QTY '!AC66</f>
        <v>0</v>
      </c>
      <c r="AU66" s="175">
        <f t="shared" si="50"/>
        <v>0</v>
      </c>
      <c r="AV66" s="178">
        <v>0</v>
      </c>
      <c r="AW66" s="180"/>
      <c r="AX66" s="180"/>
      <c r="AY66" s="180"/>
      <c r="AZ66" s="180"/>
      <c r="BA66" s="180"/>
    </row>
    <row r="67" spans="1:53" ht="18" customHeight="1" thickTop="1" thickBot="1">
      <c r="A67" s="210" t="str">
        <f>+'AS400 JEMBATAN'!A67</f>
        <v>BC111-16F01-1</v>
      </c>
      <c r="B67" s="200" t="str">
        <f>+'AS400 JEMBATAN'!B67</f>
        <v>BC111-16F01-1 A 0002</v>
      </c>
      <c r="C67" s="187">
        <f>'AS400 JEMBATAN'!C67</f>
        <v>0</v>
      </c>
      <c r="D67" s="175">
        <f>ROUNDUP(IF('AS400 JEMBATAN'!$J67&gt;='AS400 JEMBATAN'!$I67,'AS400 JEMBATAN'!D67,$J67/$D$4)+$L67,0)</f>
        <v>0</v>
      </c>
      <c r="E67" s="175">
        <f>ROUNDUP(IF('AS400 JEMBATAN'!$J67&gt;='AS400 JEMBATAN'!$I67,'AS400 JEMBATAN'!E67,$J67/$D$4)+$L67,0)</f>
        <v>0</v>
      </c>
      <c r="F67" s="175">
        <f>ROUNDUP(IF('AS400 JEMBATAN'!$J67&gt;='AS400 JEMBATAN'!$I67,'AS400 JEMBATAN'!F67,$J67/$D$4)+$L67,0)</f>
        <v>0</v>
      </c>
      <c r="G67" s="175">
        <f>ROUNDUP(IF('AS400 JEMBATAN'!$J67&gt;='AS400 JEMBATAN'!$I67,'AS400 JEMBATAN'!G67,$J67/$D$4)+$L67,0)</f>
        <v>0</v>
      </c>
      <c r="H67" s="175"/>
      <c r="I67" s="175">
        <f t="shared" si="41"/>
        <v>0</v>
      </c>
      <c r="J67" s="176">
        <f>'QTY '!Q67</f>
        <v>0</v>
      </c>
      <c r="K67" s="176">
        <f t="shared" si="42"/>
        <v>0</v>
      </c>
      <c r="L67" s="177"/>
      <c r="M67" s="175">
        <f>ROUNDUP(IF('AS400 JEMBATAN'!$S67&gt;='AS400 JEMBATAN'!$R67,'AS400 JEMBATAN'!M67,$S67/$M$4)+$U67,0)</f>
        <v>0</v>
      </c>
      <c r="N67" s="175">
        <f>ROUNDUP(IF('AS400 JEMBATAN'!$S67&gt;='AS400 JEMBATAN'!$R67,'AS400 JEMBATAN'!N67,$S67/$M$4)+$U67,0)</f>
        <v>0</v>
      </c>
      <c r="O67" s="175">
        <f>ROUNDUP(IF('AS400 JEMBATAN'!$S67&gt;='AS400 JEMBATAN'!$R67,'AS400 JEMBATAN'!O67,$S67/$M$4)+$U67,0)</f>
        <v>0</v>
      </c>
      <c r="P67" s="175">
        <f>ROUNDUP(IF('AS400 JEMBATAN'!$S67&gt;='AS400 JEMBATAN'!$R67,'AS400 JEMBATAN'!P67,$S67/$M$4)+$U67,0)</f>
        <v>0</v>
      </c>
      <c r="Q67" s="175">
        <f>ROUNDUP(IF('AS400 JEMBATAN'!$S67&gt;='AS400 JEMBATAN'!$R67,'AS400 JEMBATAN'!Q67,$S67/$M$4)+$U67,0)</f>
        <v>0</v>
      </c>
      <c r="R67" s="175">
        <f t="shared" si="43"/>
        <v>0</v>
      </c>
      <c r="S67" s="175">
        <f>'QTY '!T67</f>
        <v>0</v>
      </c>
      <c r="T67" s="176">
        <f t="shared" si="44"/>
        <v>0</v>
      </c>
      <c r="U67" s="178"/>
      <c r="V67" s="175">
        <f>ROUNDUP(IF('AS400 JEMBATAN'!$AB67&gt;='AS400 JEMBATAN'!$AA67,'AS400 JEMBATAN'!V67,$AB67/$V$4)+$AD67,0)</f>
        <v>0</v>
      </c>
      <c r="W67" s="175">
        <f>ROUNDUP(IF('AS400 JEMBATAN'!$AB67&gt;='AS400 JEMBATAN'!$AA67,'AS400 JEMBATAN'!W67,$AB67/$V$4)+$AD67,0)</f>
        <v>0</v>
      </c>
      <c r="X67" s="175">
        <f>ROUNDUP(IF('AS400 JEMBATAN'!$AB67&gt;='AS400 JEMBATAN'!$AA67,'AS400 JEMBATAN'!X67,$AB67/$V$4)+$AD67,0)</f>
        <v>0</v>
      </c>
      <c r="Y67" s="175">
        <f>ROUNDUP(IF('AS400 JEMBATAN'!$AB67&gt;='AS400 JEMBATAN'!$AA67,'AS400 JEMBATAN'!Y67,$AB67/$V$4)+$AD67,0)</f>
        <v>0</v>
      </c>
      <c r="Z67" s="175">
        <f>ROUNDUP(IF('AS400 JEMBATAN'!$AB67&gt;='AS400 JEMBATAN'!$AA67,'AS400 JEMBATAN'!Z67,$AB67/$V$4)+$AD67,0)</f>
        <v>0</v>
      </c>
      <c r="AA67" s="175">
        <f t="shared" si="45"/>
        <v>0</v>
      </c>
      <c r="AB67" s="175">
        <f>'QTY '!W67</f>
        <v>0</v>
      </c>
      <c r="AC67" s="175">
        <f t="shared" si="46"/>
        <v>0</v>
      </c>
      <c r="AD67" s="183"/>
      <c r="AE67" s="175">
        <f>ROUNDUP(IF('AS400 JEMBATAN'!$AK67&gt;='AS400 JEMBATAN'!$AJ67,'AS400 JEMBATAN'!AE67,$AK67/$AE$4)+$AM67,0)</f>
        <v>0</v>
      </c>
      <c r="AF67" s="175">
        <f>ROUNDUP(IF('AS400 JEMBATAN'!$AK67&gt;='AS400 JEMBATAN'!$AJ67,'AS400 JEMBATAN'!AF67,$AK67/$AE$4)+$AM67,0)</f>
        <v>0</v>
      </c>
      <c r="AG67" s="175">
        <f>ROUNDUP(IF('AS400 JEMBATAN'!$AK67&gt;='AS400 JEMBATAN'!$AJ67,'AS400 JEMBATAN'!AG67,$AK67/$AE$4)+$AM67,0)</f>
        <v>0</v>
      </c>
      <c r="AH67" s="175">
        <f>ROUNDUP(IF('AS400 JEMBATAN'!$AK67&gt;='AS400 JEMBATAN'!$AJ67,'AS400 JEMBATAN'!AH67,$AK67/$AE$4)+$AM67,0)</f>
        <v>0</v>
      </c>
      <c r="AI67" s="175"/>
      <c r="AJ67" s="175">
        <f t="shared" si="47"/>
        <v>0</v>
      </c>
      <c r="AK67" s="175">
        <f>'QTY '!Z67</f>
        <v>0</v>
      </c>
      <c r="AL67" s="175">
        <f t="shared" si="48"/>
        <v>0</v>
      </c>
      <c r="AM67" s="178"/>
      <c r="AN67" s="179">
        <f>+'AS400 JEMBATAN'!AN67</f>
        <v>0</v>
      </c>
      <c r="AO67" s="179">
        <f>+'AS400 JEMBATAN'!AO67</f>
        <v>0</v>
      </c>
      <c r="AP67" s="179">
        <f>+'AS400 JEMBATAN'!AP67</f>
        <v>0</v>
      </c>
      <c r="AQ67" s="179">
        <f>+'AS400 JEMBATAN'!AQ67</f>
        <v>0</v>
      </c>
      <c r="AR67" s="175"/>
      <c r="AS67" s="175">
        <f t="shared" si="49"/>
        <v>0</v>
      </c>
      <c r="AT67" s="175">
        <f>'QTY '!AC67</f>
        <v>0</v>
      </c>
      <c r="AU67" s="175">
        <f t="shared" si="50"/>
        <v>0</v>
      </c>
      <c r="AV67" s="178">
        <v>0</v>
      </c>
      <c r="AW67" s="180"/>
      <c r="AX67" s="180"/>
      <c r="AY67" s="180"/>
      <c r="AZ67" s="180"/>
      <c r="BA67" s="180"/>
    </row>
    <row r="68" spans="1:53" ht="18" customHeight="1" thickTop="1" thickBot="1">
      <c r="A68" s="210" t="str">
        <f>+'AS400 JEMBATAN'!A68</f>
        <v>BC111-16M20-1</v>
      </c>
      <c r="B68" s="200" t="str">
        <f>+'AS400 JEMBATAN'!B68</f>
        <v>BC111-16M20-1   1001</v>
      </c>
      <c r="C68" s="187">
        <f>'AS400 JEMBATAN'!C68</f>
        <v>0</v>
      </c>
      <c r="D68" s="175">
        <f>ROUNDUP(IF('AS400 JEMBATAN'!$J68&gt;='AS400 JEMBATAN'!$I68,'AS400 JEMBATAN'!D68,$J68/$D$4)+$L68,0)</f>
        <v>0</v>
      </c>
      <c r="E68" s="175">
        <f>ROUNDUP(IF('AS400 JEMBATAN'!$J68&gt;='AS400 JEMBATAN'!$I68,'AS400 JEMBATAN'!E68,$J68/$D$4)+$L68,0)</f>
        <v>0</v>
      </c>
      <c r="F68" s="175">
        <f>ROUNDUP(IF('AS400 JEMBATAN'!$J68&gt;='AS400 JEMBATAN'!$I68,'AS400 JEMBATAN'!F68,$J68/$D$4)+$L68,0)</f>
        <v>0</v>
      </c>
      <c r="G68" s="175">
        <f>ROUNDUP(IF('AS400 JEMBATAN'!$J68&gt;='AS400 JEMBATAN'!$I68,'AS400 JEMBATAN'!G68,$J68/$D$4)+$L68,0)</f>
        <v>0</v>
      </c>
      <c r="H68" s="175"/>
      <c r="I68" s="175">
        <f t="shared" si="41"/>
        <v>0</v>
      </c>
      <c r="J68" s="176">
        <f>'QTY '!Q68</f>
        <v>0</v>
      </c>
      <c r="K68" s="176">
        <f t="shared" si="42"/>
        <v>0</v>
      </c>
      <c r="L68" s="177"/>
      <c r="M68" s="175">
        <f>ROUNDUP(IF('AS400 JEMBATAN'!$S68&gt;='AS400 JEMBATAN'!$R68,'AS400 JEMBATAN'!M68,$S68/$M$4)+$U68,0)</f>
        <v>0</v>
      </c>
      <c r="N68" s="175">
        <f>ROUNDUP(IF('AS400 JEMBATAN'!$S68&gt;='AS400 JEMBATAN'!$R68,'AS400 JEMBATAN'!N68,$S68/$M$4)+$U68,0)</f>
        <v>0</v>
      </c>
      <c r="O68" s="175">
        <f>ROUNDUP(IF('AS400 JEMBATAN'!$S68&gt;='AS400 JEMBATAN'!$R68,'AS400 JEMBATAN'!O68,$S68/$M$4)+$U68,0)</f>
        <v>0</v>
      </c>
      <c r="P68" s="175">
        <f>ROUNDUP(IF('AS400 JEMBATAN'!$S68&gt;='AS400 JEMBATAN'!$R68,'AS400 JEMBATAN'!P68,$S68/$M$4)+$U68,0)</f>
        <v>0</v>
      </c>
      <c r="Q68" s="175">
        <f>ROUNDUP(IF('AS400 JEMBATAN'!$S68&gt;='AS400 JEMBATAN'!$R68,'AS400 JEMBATAN'!Q68,$S68/$M$4)+$U68,0)</f>
        <v>0</v>
      </c>
      <c r="R68" s="175">
        <f t="shared" si="43"/>
        <v>0</v>
      </c>
      <c r="S68" s="175">
        <f>'QTY '!T68</f>
        <v>0</v>
      </c>
      <c r="T68" s="176">
        <f t="shared" si="44"/>
        <v>0</v>
      </c>
      <c r="U68" s="178"/>
      <c r="V68" s="175">
        <f>ROUNDUP(IF('AS400 JEMBATAN'!$AB68&gt;='AS400 JEMBATAN'!$AA68,'AS400 JEMBATAN'!V68,$AB68/$V$4)+$AD68,0)</f>
        <v>0</v>
      </c>
      <c r="W68" s="175">
        <f>ROUNDUP(IF('AS400 JEMBATAN'!$AB68&gt;='AS400 JEMBATAN'!$AA68,'AS400 JEMBATAN'!W68,$AB68/$V$4)+$AD68,0)</f>
        <v>0</v>
      </c>
      <c r="X68" s="175">
        <f>ROUNDUP(IF('AS400 JEMBATAN'!$AB68&gt;='AS400 JEMBATAN'!$AA68,'AS400 JEMBATAN'!X68,$AB68/$V$4)+$AD68,0)</f>
        <v>0</v>
      </c>
      <c r="Y68" s="175">
        <f>ROUNDUP(IF('AS400 JEMBATAN'!$AB68&gt;='AS400 JEMBATAN'!$AA68,'AS400 JEMBATAN'!Y68,$AB68/$V$4)+$AD68,0)</f>
        <v>0</v>
      </c>
      <c r="Z68" s="175">
        <f>ROUNDUP(IF('AS400 JEMBATAN'!$AB68&gt;='AS400 JEMBATAN'!$AA68,'AS400 JEMBATAN'!Z68,$AB68/$V$4)+$AD68,0)</f>
        <v>0</v>
      </c>
      <c r="AA68" s="175">
        <f t="shared" si="45"/>
        <v>0</v>
      </c>
      <c r="AB68" s="175">
        <f>'QTY '!W68</f>
        <v>0</v>
      </c>
      <c r="AC68" s="175">
        <f t="shared" si="46"/>
        <v>0</v>
      </c>
      <c r="AD68" s="183"/>
      <c r="AE68" s="175">
        <f>ROUNDUP(IF('AS400 JEMBATAN'!$AK68&gt;='AS400 JEMBATAN'!$AJ68,'AS400 JEMBATAN'!AE68,$AK68/$AE$4)+$AM68,0)</f>
        <v>0</v>
      </c>
      <c r="AF68" s="175">
        <f>ROUNDUP(IF('AS400 JEMBATAN'!$AK68&gt;='AS400 JEMBATAN'!$AJ68,'AS400 JEMBATAN'!AF68,$AK68/$AE$4)+$AM68,0)</f>
        <v>0</v>
      </c>
      <c r="AG68" s="175">
        <f>ROUNDUP(IF('AS400 JEMBATAN'!$AK68&gt;='AS400 JEMBATAN'!$AJ68,'AS400 JEMBATAN'!AG68,$AK68/$AE$4)+$AM68,0)</f>
        <v>0</v>
      </c>
      <c r="AH68" s="175">
        <f>ROUNDUP(IF('AS400 JEMBATAN'!$AK68&gt;='AS400 JEMBATAN'!$AJ68,'AS400 JEMBATAN'!AH68,$AK68/$AE$4)+$AM68,0)</f>
        <v>0</v>
      </c>
      <c r="AI68" s="175"/>
      <c r="AJ68" s="175">
        <f t="shared" si="47"/>
        <v>0</v>
      </c>
      <c r="AK68" s="175">
        <f>'QTY '!Z68</f>
        <v>0</v>
      </c>
      <c r="AL68" s="175">
        <f t="shared" si="48"/>
        <v>0</v>
      </c>
      <c r="AM68" s="178"/>
      <c r="AN68" s="179">
        <f>+'AS400 JEMBATAN'!AN68</f>
        <v>0</v>
      </c>
      <c r="AO68" s="179">
        <f>+'AS400 JEMBATAN'!AO68</f>
        <v>0</v>
      </c>
      <c r="AP68" s="179">
        <f>+'AS400 JEMBATAN'!AP68</f>
        <v>0</v>
      </c>
      <c r="AQ68" s="179">
        <f>+'AS400 JEMBATAN'!AQ68</f>
        <v>0</v>
      </c>
      <c r="AR68" s="175"/>
      <c r="AS68" s="175">
        <f t="shared" si="49"/>
        <v>0</v>
      </c>
      <c r="AT68" s="175">
        <f>'QTY '!AC68</f>
        <v>0</v>
      </c>
      <c r="AU68" s="175">
        <f t="shared" si="50"/>
        <v>0</v>
      </c>
      <c r="AV68" s="178">
        <v>0</v>
      </c>
      <c r="AW68" s="180"/>
      <c r="AX68" s="180"/>
      <c r="AY68" s="180"/>
      <c r="AZ68" s="180"/>
      <c r="BA68" s="180"/>
    </row>
    <row r="69" spans="1:53" ht="18" customHeight="1" thickTop="1" thickBot="1">
      <c r="A69" s="210" t="str">
        <f>+'AS400 JEMBATAN'!A69</f>
        <v>BC111-16B41-1</v>
      </c>
      <c r="B69" s="200" t="str">
        <f>+'AS400 JEMBATAN'!B69</f>
        <v>BC111-16B41-1 A 0002</v>
      </c>
      <c r="C69" s="187">
        <f>'AS400 JEMBATAN'!C69</f>
        <v>0</v>
      </c>
      <c r="D69" s="175">
        <f>ROUNDUP(IF('AS400 JEMBATAN'!$J69&gt;='AS400 JEMBATAN'!$I69,'AS400 JEMBATAN'!D69,$J69/$D$4)+$L69,0)</f>
        <v>0</v>
      </c>
      <c r="E69" s="175">
        <f>ROUNDUP(IF('AS400 JEMBATAN'!$J69&gt;='AS400 JEMBATAN'!$I69,'AS400 JEMBATAN'!E69,$J69/$D$4)+$L69,0)</f>
        <v>0</v>
      </c>
      <c r="F69" s="175">
        <f>ROUNDUP(IF('AS400 JEMBATAN'!$J69&gt;='AS400 JEMBATAN'!$I69,'AS400 JEMBATAN'!F69,$J69/$D$4)+$L69,0)</f>
        <v>0</v>
      </c>
      <c r="G69" s="175">
        <f>ROUNDUP(IF('AS400 JEMBATAN'!$J69&gt;='AS400 JEMBATAN'!$I69,'AS400 JEMBATAN'!G69,$J69/$D$4)+$L69,0)</f>
        <v>0</v>
      </c>
      <c r="H69" s="175"/>
      <c r="I69" s="175">
        <f t="shared" si="41"/>
        <v>0</v>
      </c>
      <c r="J69" s="176">
        <f>'QTY '!Q69</f>
        <v>0</v>
      </c>
      <c r="K69" s="176">
        <f t="shared" si="42"/>
        <v>0</v>
      </c>
      <c r="L69" s="177"/>
      <c r="M69" s="175">
        <f>ROUNDUP(IF('AS400 JEMBATAN'!$S69&gt;='AS400 JEMBATAN'!$R69,'AS400 JEMBATAN'!M69,$S69/$M$4)+$U69,0)</f>
        <v>0</v>
      </c>
      <c r="N69" s="175">
        <f>ROUNDUP(IF('AS400 JEMBATAN'!$S69&gt;='AS400 JEMBATAN'!$R69,'AS400 JEMBATAN'!N69,$S69/$M$4)+$U69,0)</f>
        <v>0</v>
      </c>
      <c r="O69" s="175">
        <f>ROUNDUP(IF('AS400 JEMBATAN'!$S69&gt;='AS400 JEMBATAN'!$R69,'AS400 JEMBATAN'!O69,$S69/$M$4)+$U69,0)</f>
        <v>0</v>
      </c>
      <c r="P69" s="175">
        <f>ROUNDUP(IF('AS400 JEMBATAN'!$S69&gt;='AS400 JEMBATAN'!$R69,'AS400 JEMBATAN'!P69,$S69/$M$4)+$U69,0)</f>
        <v>0</v>
      </c>
      <c r="Q69" s="175">
        <f>ROUNDUP(IF('AS400 JEMBATAN'!$S69&gt;='AS400 JEMBATAN'!$R69,'AS400 JEMBATAN'!Q69,$S69/$M$4)+$U69,0)</f>
        <v>0</v>
      </c>
      <c r="R69" s="175">
        <f t="shared" si="43"/>
        <v>0</v>
      </c>
      <c r="S69" s="175">
        <f>'QTY '!T69</f>
        <v>0</v>
      </c>
      <c r="T69" s="176">
        <f t="shared" si="44"/>
        <v>0</v>
      </c>
      <c r="U69" s="178"/>
      <c r="V69" s="175">
        <f>ROUNDUP(IF('AS400 JEMBATAN'!$AB69&gt;='AS400 JEMBATAN'!$AA69,'AS400 JEMBATAN'!V69,$AB69/$V$4)+$AD69,0)</f>
        <v>0</v>
      </c>
      <c r="W69" s="175">
        <f>ROUNDUP(IF('AS400 JEMBATAN'!$AB69&gt;='AS400 JEMBATAN'!$AA69,'AS400 JEMBATAN'!W69,$AB69/$V$4)+$AD69,0)</f>
        <v>0</v>
      </c>
      <c r="X69" s="175">
        <f>ROUNDUP(IF('AS400 JEMBATAN'!$AB69&gt;='AS400 JEMBATAN'!$AA69,'AS400 JEMBATAN'!X69,$AB69/$V$4)+$AD69,0)</f>
        <v>0</v>
      </c>
      <c r="Y69" s="175">
        <f>ROUNDUP(IF('AS400 JEMBATAN'!$AB69&gt;='AS400 JEMBATAN'!$AA69,'AS400 JEMBATAN'!Y69,$AB69/$V$4)+$AD69,0)</f>
        <v>0</v>
      </c>
      <c r="Z69" s="175">
        <f>ROUNDUP(IF('AS400 JEMBATAN'!$AB69&gt;='AS400 JEMBATAN'!$AA69,'AS400 JEMBATAN'!Z69,$AB69/$V$4)+$AD69,0)</f>
        <v>0</v>
      </c>
      <c r="AA69" s="175">
        <f t="shared" si="45"/>
        <v>0</v>
      </c>
      <c r="AB69" s="175">
        <f>'QTY '!W69</f>
        <v>0</v>
      </c>
      <c r="AC69" s="175">
        <f t="shared" si="46"/>
        <v>0</v>
      </c>
      <c r="AD69" s="183"/>
      <c r="AE69" s="175">
        <f>ROUNDUP(IF('AS400 JEMBATAN'!$AK69&gt;='AS400 JEMBATAN'!$AJ69,'AS400 JEMBATAN'!AE69,$AK69/$AE$4)+$AM69,0)</f>
        <v>0</v>
      </c>
      <c r="AF69" s="175">
        <f>ROUNDUP(IF('AS400 JEMBATAN'!$AK69&gt;='AS400 JEMBATAN'!$AJ69,'AS400 JEMBATAN'!AF69,$AK69/$AE$4)+$AM69,0)</f>
        <v>0</v>
      </c>
      <c r="AG69" s="175">
        <f>ROUNDUP(IF('AS400 JEMBATAN'!$AK69&gt;='AS400 JEMBATAN'!$AJ69,'AS400 JEMBATAN'!AG69,$AK69/$AE$4)+$AM69,0)</f>
        <v>0</v>
      </c>
      <c r="AH69" s="175">
        <f>ROUNDUP(IF('AS400 JEMBATAN'!$AK69&gt;='AS400 JEMBATAN'!$AJ69,'AS400 JEMBATAN'!AH69,$AK69/$AE$4)+$AM69,0)</f>
        <v>0</v>
      </c>
      <c r="AI69" s="175"/>
      <c r="AJ69" s="175">
        <f t="shared" si="47"/>
        <v>0</v>
      </c>
      <c r="AK69" s="175">
        <f>'QTY '!Z69</f>
        <v>0</v>
      </c>
      <c r="AL69" s="175">
        <f t="shared" si="48"/>
        <v>0</v>
      </c>
      <c r="AM69" s="178"/>
      <c r="AN69" s="179">
        <f>+'AS400 JEMBATAN'!AN69</f>
        <v>0</v>
      </c>
      <c r="AO69" s="179">
        <f>+'AS400 JEMBATAN'!AO69</f>
        <v>0</v>
      </c>
      <c r="AP69" s="179">
        <f>+'AS400 JEMBATAN'!AP69</f>
        <v>0</v>
      </c>
      <c r="AQ69" s="179">
        <f>+'AS400 JEMBATAN'!AQ69</f>
        <v>0</v>
      </c>
      <c r="AR69" s="175"/>
      <c r="AS69" s="175">
        <f t="shared" si="49"/>
        <v>0</v>
      </c>
      <c r="AT69" s="175">
        <f>'QTY '!AC69</f>
        <v>0</v>
      </c>
      <c r="AU69" s="175">
        <f t="shared" si="50"/>
        <v>0</v>
      </c>
      <c r="AV69" s="178">
        <v>0</v>
      </c>
      <c r="AW69" s="180"/>
      <c r="AX69" s="180"/>
      <c r="AY69" s="180"/>
      <c r="AZ69" s="180"/>
      <c r="BA69" s="180"/>
    </row>
    <row r="70" spans="1:53" ht="18" customHeight="1" thickTop="1" thickBot="1">
      <c r="A70" s="210" t="str">
        <f>+'AS400 JEMBATAN'!A70</f>
        <v>BC111-16A40-1</v>
      </c>
      <c r="B70" s="200" t="str">
        <f>+'AS400 JEMBATAN'!B70</f>
        <v>BC111-16A40-1   1001</v>
      </c>
      <c r="C70" s="187">
        <f>'AS400 JEMBATAN'!C70</f>
        <v>0</v>
      </c>
      <c r="D70" s="175">
        <f>ROUNDUP(IF('AS400 JEMBATAN'!$J70&gt;='AS400 JEMBATAN'!$I70,'AS400 JEMBATAN'!D70,$J70/$D$4)+$L70,0)</f>
        <v>0</v>
      </c>
      <c r="E70" s="175">
        <f>ROUNDUP(IF('AS400 JEMBATAN'!$J70&gt;='AS400 JEMBATAN'!$I70,'AS400 JEMBATAN'!E70,$J70/$D$4)+$L70,0)</f>
        <v>0</v>
      </c>
      <c r="F70" s="175">
        <f>ROUNDUP(IF('AS400 JEMBATAN'!$J70&gt;='AS400 JEMBATAN'!$I70,'AS400 JEMBATAN'!F70,$J70/$D$4)+$L70,0)</f>
        <v>0</v>
      </c>
      <c r="G70" s="175">
        <f>ROUNDUP(IF('AS400 JEMBATAN'!$J70&gt;='AS400 JEMBATAN'!$I70,'AS400 JEMBATAN'!G70,$J70/$D$4)+$L70,0)</f>
        <v>0</v>
      </c>
      <c r="H70" s="175"/>
      <c r="I70" s="175">
        <f t="shared" si="41"/>
        <v>0</v>
      </c>
      <c r="J70" s="176">
        <f>'QTY '!Q70</f>
        <v>0</v>
      </c>
      <c r="K70" s="176">
        <f t="shared" si="42"/>
        <v>0</v>
      </c>
      <c r="L70" s="177"/>
      <c r="M70" s="175">
        <f>ROUNDUP(IF('AS400 JEMBATAN'!$S70&gt;='AS400 JEMBATAN'!$R70,'AS400 JEMBATAN'!M70,$S70/$M$4)+$U70,0)</f>
        <v>0</v>
      </c>
      <c r="N70" s="175">
        <f>ROUNDUP(IF('AS400 JEMBATAN'!$S70&gt;='AS400 JEMBATAN'!$R70,'AS400 JEMBATAN'!N70,$S70/$M$4)+$U70,0)</f>
        <v>0</v>
      </c>
      <c r="O70" s="175">
        <f>ROUNDUP(IF('AS400 JEMBATAN'!$S70&gt;='AS400 JEMBATAN'!$R70,'AS400 JEMBATAN'!O70,$S70/$M$4)+$U70,0)</f>
        <v>0</v>
      </c>
      <c r="P70" s="175">
        <f>ROUNDUP(IF('AS400 JEMBATAN'!$S70&gt;='AS400 JEMBATAN'!$R70,'AS400 JEMBATAN'!P70,$S70/$M$4)+$U70,0)</f>
        <v>0</v>
      </c>
      <c r="Q70" s="175">
        <f>ROUNDUP(IF('AS400 JEMBATAN'!$S70&gt;='AS400 JEMBATAN'!$R70,'AS400 JEMBATAN'!Q70,$S70/$M$4)+$U70,0)</f>
        <v>0</v>
      </c>
      <c r="R70" s="175">
        <f t="shared" si="43"/>
        <v>0</v>
      </c>
      <c r="S70" s="175">
        <f>'QTY '!T70</f>
        <v>0</v>
      </c>
      <c r="T70" s="176">
        <f t="shared" si="44"/>
        <v>0</v>
      </c>
      <c r="U70" s="178"/>
      <c r="V70" s="175">
        <f>ROUNDUP(IF('AS400 JEMBATAN'!$AB70&gt;='AS400 JEMBATAN'!$AA70,'AS400 JEMBATAN'!V70,$AB70/$V$4)+$AD70,0)</f>
        <v>0</v>
      </c>
      <c r="W70" s="175">
        <f>ROUNDUP(IF('AS400 JEMBATAN'!$AB70&gt;='AS400 JEMBATAN'!$AA70,'AS400 JEMBATAN'!W70,$AB70/$V$4)+$AD70,0)</f>
        <v>0</v>
      </c>
      <c r="X70" s="175">
        <f>ROUNDUP(IF('AS400 JEMBATAN'!$AB70&gt;='AS400 JEMBATAN'!$AA70,'AS400 JEMBATAN'!X70,$AB70/$V$4)+$AD70,0)</f>
        <v>0</v>
      </c>
      <c r="Y70" s="175">
        <f>ROUNDUP(IF('AS400 JEMBATAN'!$AB70&gt;='AS400 JEMBATAN'!$AA70,'AS400 JEMBATAN'!Y70,$AB70/$V$4)+$AD70,0)</f>
        <v>0</v>
      </c>
      <c r="Z70" s="175">
        <f>ROUNDUP(IF('AS400 JEMBATAN'!$AB70&gt;='AS400 JEMBATAN'!$AA70,'AS400 JEMBATAN'!Z70,$AB70/$V$4)+$AD70,0)</f>
        <v>0</v>
      </c>
      <c r="AA70" s="175">
        <f t="shared" si="45"/>
        <v>0</v>
      </c>
      <c r="AB70" s="175">
        <f>'QTY '!W70</f>
        <v>0</v>
      </c>
      <c r="AC70" s="175">
        <f t="shared" si="46"/>
        <v>0</v>
      </c>
      <c r="AD70" s="183"/>
      <c r="AE70" s="175">
        <f>ROUNDUP(IF('AS400 JEMBATAN'!$AK70&gt;='AS400 JEMBATAN'!$AJ70,'AS400 JEMBATAN'!AE70,$AK70/$AE$4)+$AM70,0)</f>
        <v>0</v>
      </c>
      <c r="AF70" s="175">
        <f>ROUNDUP(IF('AS400 JEMBATAN'!$AK70&gt;='AS400 JEMBATAN'!$AJ70,'AS400 JEMBATAN'!AF70,$AK70/$AE$4)+$AM70,0)</f>
        <v>0</v>
      </c>
      <c r="AG70" s="175">
        <f>ROUNDUP(IF('AS400 JEMBATAN'!$AK70&gt;='AS400 JEMBATAN'!$AJ70,'AS400 JEMBATAN'!AG70,$AK70/$AE$4)+$AM70,0)</f>
        <v>0</v>
      </c>
      <c r="AH70" s="175">
        <f>ROUNDUP(IF('AS400 JEMBATAN'!$AK70&gt;='AS400 JEMBATAN'!$AJ70,'AS400 JEMBATAN'!AH70,$AK70/$AE$4)+$AM70,0)</f>
        <v>0</v>
      </c>
      <c r="AI70" s="175"/>
      <c r="AJ70" s="175">
        <f t="shared" si="47"/>
        <v>0</v>
      </c>
      <c r="AK70" s="175">
        <f>'QTY '!Z70</f>
        <v>0</v>
      </c>
      <c r="AL70" s="175">
        <f t="shared" si="48"/>
        <v>0</v>
      </c>
      <c r="AM70" s="178"/>
      <c r="AN70" s="179">
        <f>+'AS400 JEMBATAN'!AN70</f>
        <v>0</v>
      </c>
      <c r="AO70" s="179">
        <f>+'AS400 JEMBATAN'!AO70</f>
        <v>0</v>
      </c>
      <c r="AP70" s="179">
        <f>+'AS400 JEMBATAN'!AP70</f>
        <v>0</v>
      </c>
      <c r="AQ70" s="179">
        <f>+'AS400 JEMBATAN'!AQ70</f>
        <v>0</v>
      </c>
      <c r="AR70" s="175"/>
      <c r="AS70" s="175">
        <f t="shared" si="49"/>
        <v>0</v>
      </c>
      <c r="AT70" s="175">
        <f>'QTY '!AC70</f>
        <v>0</v>
      </c>
      <c r="AU70" s="175">
        <f t="shared" si="50"/>
        <v>0</v>
      </c>
      <c r="AV70" s="178">
        <v>0</v>
      </c>
      <c r="AW70" s="180"/>
      <c r="AX70" s="180"/>
      <c r="AY70" s="180"/>
      <c r="AZ70" s="180"/>
      <c r="BA70" s="180"/>
    </row>
    <row r="71" spans="1:53" ht="18" customHeight="1" thickTop="1" thickBot="1">
      <c r="A71" s="210" t="str">
        <f>+'AS400 JEMBATAN'!A71</f>
        <v>BC111-16A40-2</v>
      </c>
      <c r="B71" s="200" t="str">
        <f>+'AS400 JEMBATAN'!B71</f>
        <v>BC111-16A40-2   1001</v>
      </c>
      <c r="C71" s="187">
        <f>'AS400 JEMBATAN'!C71</f>
        <v>0</v>
      </c>
      <c r="D71" s="175">
        <f>ROUNDUP(IF('AS400 JEMBATAN'!$J71&gt;='AS400 JEMBATAN'!$I71,'AS400 JEMBATAN'!D71,$J71/$D$4)+$L71,0)</f>
        <v>0</v>
      </c>
      <c r="E71" s="175">
        <f>ROUNDUP(IF('AS400 JEMBATAN'!$J71&gt;='AS400 JEMBATAN'!$I71,'AS400 JEMBATAN'!E71,$J71/$D$4)+$L71,0)</f>
        <v>0</v>
      </c>
      <c r="F71" s="175">
        <f>ROUNDUP(IF('AS400 JEMBATAN'!$J71&gt;='AS400 JEMBATAN'!$I71,'AS400 JEMBATAN'!F71,$J71/$D$4)+$L71,0)</f>
        <v>0</v>
      </c>
      <c r="G71" s="175">
        <f>ROUNDUP(IF('AS400 JEMBATAN'!$J71&gt;='AS400 JEMBATAN'!$I71,'AS400 JEMBATAN'!G71,$J71/$D$4)+$L71,0)</f>
        <v>0</v>
      </c>
      <c r="H71" s="175"/>
      <c r="I71" s="175">
        <f t="shared" si="41"/>
        <v>0</v>
      </c>
      <c r="J71" s="176">
        <f>'QTY '!Q71</f>
        <v>0</v>
      </c>
      <c r="K71" s="176">
        <f t="shared" si="42"/>
        <v>0</v>
      </c>
      <c r="L71" s="177"/>
      <c r="M71" s="175">
        <f>ROUNDUP(IF('AS400 JEMBATAN'!$S71&gt;='AS400 JEMBATAN'!$R71,'AS400 JEMBATAN'!M71,$S71/$M$4)+$U71,0)</f>
        <v>0</v>
      </c>
      <c r="N71" s="175">
        <f>ROUNDUP(IF('AS400 JEMBATAN'!$S71&gt;='AS400 JEMBATAN'!$R71,'AS400 JEMBATAN'!N71,$S71/$M$4)+$U71,0)</f>
        <v>0</v>
      </c>
      <c r="O71" s="175">
        <f>ROUNDUP(IF('AS400 JEMBATAN'!$S71&gt;='AS400 JEMBATAN'!$R71,'AS400 JEMBATAN'!O71,$S71/$M$4)+$U71,0)</f>
        <v>0</v>
      </c>
      <c r="P71" s="175">
        <f>ROUNDUP(IF('AS400 JEMBATAN'!$S71&gt;='AS400 JEMBATAN'!$R71,'AS400 JEMBATAN'!P71,$S71/$M$4)+$U71,0)</f>
        <v>0</v>
      </c>
      <c r="Q71" s="175">
        <f>ROUNDUP(IF('AS400 JEMBATAN'!$S71&gt;='AS400 JEMBATAN'!$R71,'AS400 JEMBATAN'!Q71,$S71/$M$4)+$U71,0)</f>
        <v>0</v>
      </c>
      <c r="R71" s="175">
        <f t="shared" si="43"/>
        <v>0</v>
      </c>
      <c r="S71" s="175">
        <f>'QTY '!T71</f>
        <v>0</v>
      </c>
      <c r="T71" s="176">
        <f t="shared" si="44"/>
        <v>0</v>
      </c>
      <c r="U71" s="178"/>
      <c r="V71" s="175">
        <f>ROUNDUP(IF('AS400 JEMBATAN'!$AB71&gt;='AS400 JEMBATAN'!$AA71,'AS400 JEMBATAN'!V71,$AB71/$V$4)+$AD71,0)</f>
        <v>0</v>
      </c>
      <c r="W71" s="175">
        <f>ROUNDUP(IF('AS400 JEMBATAN'!$AB71&gt;='AS400 JEMBATAN'!$AA71,'AS400 JEMBATAN'!W71,$AB71/$V$4)+$AD71,0)</f>
        <v>0</v>
      </c>
      <c r="X71" s="175">
        <f>ROUNDUP(IF('AS400 JEMBATAN'!$AB71&gt;='AS400 JEMBATAN'!$AA71,'AS400 JEMBATAN'!X71,$AB71/$V$4)+$AD71,0)</f>
        <v>0</v>
      </c>
      <c r="Y71" s="175">
        <f>ROUNDUP(IF('AS400 JEMBATAN'!$AB71&gt;='AS400 JEMBATAN'!$AA71,'AS400 JEMBATAN'!Y71,$AB71/$V$4)+$AD71,0)</f>
        <v>0</v>
      </c>
      <c r="Z71" s="175">
        <f>ROUNDUP(IF('AS400 JEMBATAN'!$AB71&gt;='AS400 JEMBATAN'!$AA71,'AS400 JEMBATAN'!Z71,$AB71/$V$4)+$AD71,0)</f>
        <v>0</v>
      </c>
      <c r="AA71" s="175">
        <f t="shared" si="45"/>
        <v>0</v>
      </c>
      <c r="AB71" s="175">
        <f>'QTY '!W71</f>
        <v>0</v>
      </c>
      <c r="AC71" s="175">
        <f t="shared" si="46"/>
        <v>0</v>
      </c>
      <c r="AD71" s="183"/>
      <c r="AE71" s="175">
        <f>ROUNDUP(IF('AS400 JEMBATAN'!$AK71&gt;='AS400 JEMBATAN'!$AJ71,'AS400 JEMBATAN'!AE71,$AK71/$AE$4)+$AM71,0)</f>
        <v>0</v>
      </c>
      <c r="AF71" s="175">
        <f>ROUNDUP(IF('AS400 JEMBATAN'!$AK71&gt;='AS400 JEMBATAN'!$AJ71,'AS400 JEMBATAN'!AF71,$AK71/$AE$4)+$AM71,0)</f>
        <v>0</v>
      </c>
      <c r="AG71" s="175">
        <f>ROUNDUP(IF('AS400 JEMBATAN'!$AK71&gt;='AS400 JEMBATAN'!$AJ71,'AS400 JEMBATAN'!AG71,$AK71/$AE$4)+$AM71,0)</f>
        <v>0</v>
      </c>
      <c r="AH71" s="175">
        <f>ROUNDUP(IF('AS400 JEMBATAN'!$AK71&gt;='AS400 JEMBATAN'!$AJ71,'AS400 JEMBATAN'!AH71,$AK71/$AE$4)+$AM71,0)</f>
        <v>0</v>
      </c>
      <c r="AI71" s="175"/>
      <c r="AJ71" s="175">
        <f t="shared" si="47"/>
        <v>0</v>
      </c>
      <c r="AK71" s="175">
        <f>'QTY '!Z71</f>
        <v>0</v>
      </c>
      <c r="AL71" s="175">
        <f t="shared" si="48"/>
        <v>0</v>
      </c>
      <c r="AM71" s="178"/>
      <c r="AN71" s="179">
        <f>+'AS400 JEMBATAN'!AN71</f>
        <v>0</v>
      </c>
      <c r="AO71" s="179">
        <f>+'AS400 JEMBATAN'!AO71</f>
        <v>0</v>
      </c>
      <c r="AP71" s="179">
        <f>+'AS400 JEMBATAN'!AP71</f>
        <v>0</v>
      </c>
      <c r="AQ71" s="179">
        <f>+'AS400 JEMBATAN'!AQ71</f>
        <v>0</v>
      </c>
      <c r="AR71" s="175"/>
      <c r="AS71" s="175">
        <f t="shared" si="49"/>
        <v>0</v>
      </c>
      <c r="AT71" s="175">
        <f>'QTY '!AC71</f>
        <v>0</v>
      </c>
      <c r="AU71" s="175">
        <f t="shared" si="50"/>
        <v>0</v>
      </c>
      <c r="AV71" s="178">
        <v>0</v>
      </c>
      <c r="AW71" s="180"/>
      <c r="AX71" s="180"/>
      <c r="AY71" s="180"/>
      <c r="AZ71" s="180"/>
      <c r="BA71" s="180"/>
    </row>
    <row r="72" spans="1:53" ht="18" customHeight="1" thickTop="1" thickBot="1">
      <c r="A72" s="210" t="str">
        <f>+'AS400 JEMBATAN'!A72</f>
        <v>BC111-16D11-1</v>
      </c>
      <c r="B72" s="200" t="str">
        <f>+'AS400 JEMBATAN'!B72</f>
        <v>BC111-16D11-1 A 0002</v>
      </c>
      <c r="C72" s="187">
        <f>'AS400 JEMBATAN'!C72</f>
        <v>0</v>
      </c>
      <c r="D72" s="175">
        <f>ROUNDUP(IF('AS400 JEMBATAN'!$J72&gt;='AS400 JEMBATAN'!$I72,'AS400 JEMBATAN'!D72,$J72/$D$4)+$L72,0)</f>
        <v>0</v>
      </c>
      <c r="E72" s="175">
        <f>ROUNDUP(IF('AS400 JEMBATAN'!$J72&gt;='AS400 JEMBATAN'!$I72,'AS400 JEMBATAN'!E72,$J72/$D$4)+$L72,0)</f>
        <v>0</v>
      </c>
      <c r="F72" s="175">
        <f>ROUNDUP(IF('AS400 JEMBATAN'!$J72&gt;='AS400 JEMBATAN'!$I72,'AS400 JEMBATAN'!F72,$J72/$D$4)+$L72,0)</f>
        <v>0</v>
      </c>
      <c r="G72" s="175">
        <f>ROUNDUP(IF('AS400 JEMBATAN'!$J72&gt;='AS400 JEMBATAN'!$I72,'AS400 JEMBATAN'!G72,$J72/$D$4)+$L72,0)</f>
        <v>0</v>
      </c>
      <c r="H72" s="175"/>
      <c r="I72" s="175">
        <f t="shared" si="41"/>
        <v>0</v>
      </c>
      <c r="J72" s="176">
        <f>'QTY '!Q72</f>
        <v>0</v>
      </c>
      <c r="K72" s="176">
        <f t="shared" si="42"/>
        <v>0</v>
      </c>
      <c r="L72" s="177"/>
      <c r="M72" s="175">
        <f>ROUNDUP(IF('AS400 JEMBATAN'!$S72&gt;='AS400 JEMBATAN'!$R72,'AS400 JEMBATAN'!M72,$S72/$M$4)+$U72,0)</f>
        <v>0</v>
      </c>
      <c r="N72" s="175">
        <f>ROUNDUP(IF('AS400 JEMBATAN'!$S72&gt;='AS400 JEMBATAN'!$R72,'AS400 JEMBATAN'!N72,$S72/$M$4)+$U72,0)</f>
        <v>0</v>
      </c>
      <c r="O72" s="175">
        <f>ROUNDUP(IF('AS400 JEMBATAN'!$S72&gt;='AS400 JEMBATAN'!$R72,'AS400 JEMBATAN'!O72,$S72/$M$4)+$U72,0)</f>
        <v>0</v>
      </c>
      <c r="P72" s="175">
        <f>ROUNDUP(IF('AS400 JEMBATAN'!$S72&gt;='AS400 JEMBATAN'!$R72,'AS400 JEMBATAN'!P72,$S72/$M$4)+$U72,0)</f>
        <v>0</v>
      </c>
      <c r="Q72" s="175">
        <f>ROUNDUP(IF('AS400 JEMBATAN'!$S72&gt;='AS400 JEMBATAN'!$R72,'AS400 JEMBATAN'!Q72,$S72/$M$4)+$U72,0)</f>
        <v>0</v>
      </c>
      <c r="R72" s="175">
        <f t="shared" si="43"/>
        <v>0</v>
      </c>
      <c r="S72" s="175">
        <f>'QTY '!T72</f>
        <v>0</v>
      </c>
      <c r="T72" s="176">
        <f t="shared" si="44"/>
        <v>0</v>
      </c>
      <c r="U72" s="178"/>
      <c r="V72" s="175">
        <f>ROUNDUP(IF('AS400 JEMBATAN'!$AB72&gt;='AS400 JEMBATAN'!$AA72,'AS400 JEMBATAN'!V72,$AB72/$V$4)+$AD72,0)</f>
        <v>0</v>
      </c>
      <c r="W72" s="175">
        <f>ROUNDUP(IF('AS400 JEMBATAN'!$AB72&gt;='AS400 JEMBATAN'!$AA72,'AS400 JEMBATAN'!W72,$AB72/$V$4)+$AD72,0)</f>
        <v>0</v>
      </c>
      <c r="X72" s="175">
        <f>ROUNDUP(IF('AS400 JEMBATAN'!$AB72&gt;='AS400 JEMBATAN'!$AA72,'AS400 JEMBATAN'!X72,$AB72/$V$4)+$AD72,0)</f>
        <v>0</v>
      </c>
      <c r="Y72" s="175">
        <f>ROUNDUP(IF('AS400 JEMBATAN'!$AB72&gt;='AS400 JEMBATAN'!$AA72,'AS400 JEMBATAN'!Y72,$AB72/$V$4)+$AD72,0)</f>
        <v>0</v>
      </c>
      <c r="Z72" s="175">
        <f>ROUNDUP(IF('AS400 JEMBATAN'!$AB72&gt;='AS400 JEMBATAN'!$AA72,'AS400 JEMBATAN'!Z72,$AB72/$V$4)+$AD72,0)</f>
        <v>0</v>
      </c>
      <c r="AA72" s="175">
        <f t="shared" si="45"/>
        <v>0</v>
      </c>
      <c r="AB72" s="175">
        <f>'QTY '!W72</f>
        <v>0</v>
      </c>
      <c r="AC72" s="175">
        <f t="shared" si="46"/>
        <v>0</v>
      </c>
      <c r="AD72" s="183"/>
      <c r="AE72" s="175">
        <f>ROUNDUP(IF('AS400 JEMBATAN'!$AK72&gt;='AS400 JEMBATAN'!$AJ72,'AS400 JEMBATAN'!AE72,$AK72/$AE$4)+$AM72,0)</f>
        <v>0</v>
      </c>
      <c r="AF72" s="175">
        <f>ROUNDUP(IF('AS400 JEMBATAN'!$AK72&gt;='AS400 JEMBATAN'!$AJ72,'AS400 JEMBATAN'!AF72,$AK72/$AE$4)+$AM72,0)</f>
        <v>0</v>
      </c>
      <c r="AG72" s="175">
        <f>ROUNDUP(IF('AS400 JEMBATAN'!$AK72&gt;='AS400 JEMBATAN'!$AJ72,'AS400 JEMBATAN'!AG72,$AK72/$AE$4)+$AM72,0)</f>
        <v>0</v>
      </c>
      <c r="AH72" s="175">
        <f>ROUNDUP(IF('AS400 JEMBATAN'!$AK72&gt;='AS400 JEMBATAN'!$AJ72,'AS400 JEMBATAN'!AH72,$AK72/$AE$4)+$AM72,0)</f>
        <v>0</v>
      </c>
      <c r="AI72" s="175"/>
      <c r="AJ72" s="175">
        <f t="shared" si="47"/>
        <v>0</v>
      </c>
      <c r="AK72" s="175">
        <f>'QTY '!Z72</f>
        <v>0</v>
      </c>
      <c r="AL72" s="175">
        <f t="shared" si="48"/>
        <v>0</v>
      </c>
      <c r="AM72" s="178"/>
      <c r="AN72" s="179">
        <f>+'AS400 JEMBATAN'!AN72</f>
        <v>0</v>
      </c>
      <c r="AO72" s="179">
        <f>+'AS400 JEMBATAN'!AO72</f>
        <v>0</v>
      </c>
      <c r="AP72" s="179">
        <f>+'AS400 JEMBATAN'!AP72</f>
        <v>0</v>
      </c>
      <c r="AQ72" s="179">
        <f>+'AS400 JEMBATAN'!AQ72</f>
        <v>0</v>
      </c>
      <c r="AR72" s="175"/>
      <c r="AS72" s="175">
        <f t="shared" si="49"/>
        <v>0</v>
      </c>
      <c r="AT72" s="175">
        <f>'QTY '!AC72</f>
        <v>0</v>
      </c>
      <c r="AU72" s="175">
        <f t="shared" si="50"/>
        <v>0</v>
      </c>
      <c r="AV72" s="178">
        <v>0</v>
      </c>
      <c r="AW72" s="180"/>
      <c r="AX72" s="180"/>
      <c r="AY72" s="180"/>
      <c r="AZ72" s="180"/>
      <c r="BA72" s="180"/>
    </row>
    <row r="73" spans="1:53" ht="18" customHeight="1" thickTop="1" thickBot="1">
      <c r="A73" s="210" t="str">
        <f>+'AS400 JEMBATAN'!A73</f>
        <v>BC111-4EW40-1</v>
      </c>
      <c r="B73" s="200" t="str">
        <f>+'AS400 JEMBATAN'!B73</f>
        <v>BC111-4EW40-1 C 0002</v>
      </c>
      <c r="C73" s="187">
        <f>'AS400 JEMBATAN'!C73</f>
        <v>0</v>
      </c>
      <c r="D73" s="175">
        <f>ROUNDUP(IF('AS400 JEMBATAN'!$J73&gt;='AS400 JEMBATAN'!$I73,'AS400 JEMBATAN'!D73,$J73/$D$4)+$L73,0)</f>
        <v>480</v>
      </c>
      <c r="E73" s="175">
        <f>ROUNDUP(IF('AS400 JEMBATAN'!$J73&gt;='AS400 JEMBATAN'!$I73,'AS400 JEMBATAN'!E73,$J73/$D$4)+$L73,0)</f>
        <v>480</v>
      </c>
      <c r="F73" s="175">
        <f>ROUNDUP(IF('AS400 JEMBATAN'!$J73&gt;='AS400 JEMBATAN'!$I73,'AS400 JEMBATAN'!F73,$J73/$D$4)+$L73,0)</f>
        <v>700</v>
      </c>
      <c r="G73" s="175">
        <f>ROUNDUP(IF('AS400 JEMBATAN'!$J73&gt;='AS400 JEMBATAN'!$I73,'AS400 JEMBATAN'!G73,$J73/$D$4)+$L73,0)</f>
        <v>680</v>
      </c>
      <c r="H73" s="175"/>
      <c r="I73" s="175">
        <f t="shared" si="41"/>
        <v>2340</v>
      </c>
      <c r="J73" s="176">
        <f>'QTY '!Q73</f>
        <v>2340</v>
      </c>
      <c r="K73" s="176">
        <f t="shared" si="42"/>
        <v>0</v>
      </c>
      <c r="L73" s="177"/>
      <c r="M73" s="175">
        <f>ROUNDUP(IF('AS400 JEMBATAN'!$S73&gt;='AS400 JEMBATAN'!$R73,'AS400 JEMBATAN'!M73,$S73/$M$4)+$U73,0)</f>
        <v>820</v>
      </c>
      <c r="N73" s="175">
        <f>ROUNDUP(IF('AS400 JEMBATAN'!$S73&gt;='AS400 JEMBATAN'!$R73,'AS400 JEMBATAN'!N73,$S73/$M$4)+$U73,0)</f>
        <v>820</v>
      </c>
      <c r="O73" s="175">
        <f>ROUNDUP(IF('AS400 JEMBATAN'!$S73&gt;='AS400 JEMBATAN'!$R73,'AS400 JEMBATAN'!O73,$S73/$M$4)+$U73,0)</f>
        <v>0</v>
      </c>
      <c r="P73" s="175">
        <f>ROUNDUP(IF('AS400 JEMBATAN'!$S73&gt;='AS400 JEMBATAN'!$R73,'AS400 JEMBATAN'!P73,$S73/$M$4)+$U73,0)</f>
        <v>1700</v>
      </c>
      <c r="Q73" s="175">
        <f>ROUNDUP(IF('AS400 JEMBATAN'!$S73&gt;='AS400 JEMBATAN'!$R73,'AS400 JEMBATAN'!Q73,$S73/$M$4)+$U73,0)</f>
        <v>0</v>
      </c>
      <c r="R73" s="175">
        <f t="shared" si="43"/>
        <v>3340</v>
      </c>
      <c r="S73" s="175">
        <f>'QTY '!T73</f>
        <v>3340</v>
      </c>
      <c r="T73" s="176">
        <f t="shared" si="44"/>
        <v>0</v>
      </c>
      <c r="U73" s="178"/>
      <c r="V73" s="175">
        <f>ROUNDUP(IF('AS400 JEMBATAN'!$AB73&gt;='AS400 JEMBATAN'!$AA73,'AS400 JEMBATAN'!V73,$AB73/$V$4)+$AD73,0)</f>
        <v>1400</v>
      </c>
      <c r="W73" s="175">
        <f>ROUNDUP(IF('AS400 JEMBATAN'!$AB73&gt;='AS400 JEMBATAN'!$AA73,'AS400 JEMBATAN'!W73,$AB73/$V$4)+$AD73,0)</f>
        <v>1100</v>
      </c>
      <c r="X73" s="175">
        <f>ROUNDUP(IF('AS400 JEMBATAN'!$AB73&gt;='AS400 JEMBATAN'!$AA73,'AS400 JEMBATAN'!X73,$AB73/$V$4)+$AD73,0)</f>
        <v>1180</v>
      </c>
      <c r="Y73" s="175">
        <f>ROUNDUP(IF('AS400 JEMBATAN'!$AB73&gt;='AS400 JEMBATAN'!$AA73,'AS400 JEMBATAN'!Y73,$AB73/$V$4)+$AD73,0)</f>
        <v>880</v>
      </c>
      <c r="Z73" s="175">
        <f>ROUNDUP(IF('AS400 JEMBATAN'!$AB73&gt;='AS400 JEMBATAN'!$AA73,'AS400 JEMBATAN'!Z73,$AB73/$V$4)+$AD73,0)</f>
        <v>0</v>
      </c>
      <c r="AA73" s="175">
        <f t="shared" si="45"/>
        <v>4560</v>
      </c>
      <c r="AB73" s="175">
        <f>'QTY '!W73</f>
        <v>4560</v>
      </c>
      <c r="AC73" s="175">
        <f t="shared" si="46"/>
        <v>0</v>
      </c>
      <c r="AD73" s="183"/>
      <c r="AE73" s="175">
        <f>ROUNDUP(IF('AS400 JEMBATAN'!$AK73&gt;='AS400 JEMBATAN'!$AJ73,'AS400 JEMBATAN'!AE73,$AK73/$AE$4)+$AM73,0)</f>
        <v>995</v>
      </c>
      <c r="AF73" s="175">
        <f>ROUNDUP(IF('AS400 JEMBATAN'!$AK73&gt;='AS400 JEMBATAN'!$AJ73,'AS400 JEMBATAN'!AF73,$AK73/$AE$4)+$AM73,0)</f>
        <v>995</v>
      </c>
      <c r="AG73" s="175">
        <f>ROUNDUP(IF('AS400 JEMBATAN'!$AK73&gt;='AS400 JEMBATAN'!$AJ73,'AS400 JEMBATAN'!AG73,$AK73/$AE$4)+$AM73,0)</f>
        <v>995</v>
      </c>
      <c r="AH73" s="175">
        <f>ROUNDUP(IF('AS400 JEMBATAN'!$AK73&gt;='AS400 JEMBATAN'!$AJ73,'AS400 JEMBATAN'!AH73,$AK73/$AE$4)+$AM73,0)</f>
        <v>995</v>
      </c>
      <c r="AI73" s="175"/>
      <c r="AJ73" s="175">
        <f t="shared" si="47"/>
        <v>3980</v>
      </c>
      <c r="AK73" s="175">
        <f>'QTY '!Z73</f>
        <v>3980</v>
      </c>
      <c r="AL73" s="175">
        <f t="shared" si="48"/>
        <v>0</v>
      </c>
      <c r="AM73" s="178"/>
      <c r="AN73" s="179">
        <f>+'AS400 JEMBATAN'!AN73</f>
        <v>995</v>
      </c>
      <c r="AO73" s="179">
        <f>+'AS400 JEMBATAN'!AO73</f>
        <v>995</v>
      </c>
      <c r="AP73" s="179">
        <f>+'AS400 JEMBATAN'!AP73</f>
        <v>995</v>
      </c>
      <c r="AQ73" s="179">
        <f>+'AS400 JEMBATAN'!AQ73</f>
        <v>995</v>
      </c>
      <c r="AR73" s="175"/>
      <c r="AS73" s="175">
        <f t="shared" si="49"/>
        <v>3980</v>
      </c>
      <c r="AT73" s="175">
        <f>'QTY '!AC73</f>
        <v>3980</v>
      </c>
      <c r="AU73" s="175">
        <f t="shared" si="50"/>
        <v>0</v>
      </c>
      <c r="AV73" s="178">
        <v>0</v>
      </c>
      <c r="AW73" s="180"/>
      <c r="AX73" s="180"/>
      <c r="AY73" s="180"/>
      <c r="AZ73" s="180"/>
      <c r="BA73" s="180"/>
    </row>
    <row r="74" spans="1:53" ht="18" customHeight="1" thickTop="1" thickBot="1">
      <c r="A74" s="210" t="str">
        <f>+'AS400 JEMBATAN'!A74</f>
        <v>BC111-4EB50-1</v>
      </c>
      <c r="B74" s="200" t="str">
        <f>+'AS400 JEMBATAN'!B74</f>
        <v>BC111-4EB50-1 C 0002</v>
      </c>
      <c r="C74" s="187">
        <f>'AS400 JEMBATAN'!C74</f>
        <v>0</v>
      </c>
      <c r="D74" s="175">
        <f>ROUNDUP(IF('AS400 JEMBATAN'!$J74&gt;='AS400 JEMBATAN'!$I74,'AS400 JEMBATAN'!D74,$J74/$D$4)+$L74,0)</f>
        <v>80</v>
      </c>
      <c r="E74" s="175">
        <f>ROUNDUP(IF('AS400 JEMBATAN'!$J74&gt;='AS400 JEMBATAN'!$I74,'AS400 JEMBATAN'!E74,$J74/$D$4)+$L74,0)</f>
        <v>80</v>
      </c>
      <c r="F74" s="175">
        <f>ROUNDUP(IF('AS400 JEMBATAN'!$J74&gt;='AS400 JEMBATAN'!$I74,'AS400 JEMBATAN'!F74,$J74/$D$4)+$L74,0)</f>
        <v>120</v>
      </c>
      <c r="G74" s="175">
        <f>ROUNDUP(IF('AS400 JEMBATAN'!$J74&gt;='AS400 JEMBATAN'!$I74,'AS400 JEMBATAN'!G74,$J74/$D$4)+$L74,0)</f>
        <v>120</v>
      </c>
      <c r="H74" s="175"/>
      <c r="I74" s="175">
        <f t="shared" si="41"/>
        <v>400</v>
      </c>
      <c r="J74" s="176">
        <f>'QTY '!Q74</f>
        <v>400</v>
      </c>
      <c r="K74" s="176">
        <f t="shared" si="42"/>
        <v>0</v>
      </c>
      <c r="L74" s="177"/>
      <c r="M74" s="175">
        <f>ROUNDUP(IF('AS400 JEMBATAN'!$S74&gt;='AS400 JEMBATAN'!$R74,'AS400 JEMBATAN'!M74,$S74/$M$4)+$U74,0)</f>
        <v>120</v>
      </c>
      <c r="N74" s="175">
        <f>ROUNDUP(IF('AS400 JEMBATAN'!$S74&gt;='AS400 JEMBATAN'!$R74,'AS400 JEMBATAN'!N74,$S74/$M$4)+$U74,0)</f>
        <v>120</v>
      </c>
      <c r="O74" s="175">
        <f>ROUNDUP(IF('AS400 JEMBATAN'!$S74&gt;='AS400 JEMBATAN'!$R74,'AS400 JEMBATAN'!O74,$S74/$M$4)+$U74,0)</f>
        <v>0</v>
      </c>
      <c r="P74" s="175">
        <f>ROUNDUP(IF('AS400 JEMBATAN'!$S74&gt;='AS400 JEMBATAN'!$R74,'AS400 JEMBATAN'!P74,$S74/$M$4)+$U74,0)</f>
        <v>240</v>
      </c>
      <c r="Q74" s="175">
        <f>ROUNDUP(IF('AS400 JEMBATAN'!$S74&gt;='AS400 JEMBATAN'!$R74,'AS400 JEMBATAN'!Q74,$S74/$M$4)+$U74,0)</f>
        <v>0</v>
      </c>
      <c r="R74" s="175">
        <f t="shared" si="43"/>
        <v>480</v>
      </c>
      <c r="S74" s="175">
        <f>'QTY '!T74</f>
        <v>480</v>
      </c>
      <c r="T74" s="176">
        <f t="shared" si="44"/>
        <v>0</v>
      </c>
      <c r="U74" s="178"/>
      <c r="V74" s="175">
        <f>ROUNDUP(IF('AS400 JEMBATAN'!$AB74&gt;='AS400 JEMBATAN'!$AA74,'AS400 JEMBATAN'!V74,$AB74/$V$4)+$AD74,0)</f>
        <v>200</v>
      </c>
      <c r="W74" s="175">
        <f>ROUNDUP(IF('AS400 JEMBATAN'!$AB74&gt;='AS400 JEMBATAN'!$AA74,'AS400 JEMBATAN'!W74,$AB74/$V$4)+$AD74,0)</f>
        <v>160</v>
      </c>
      <c r="X74" s="175">
        <f>ROUNDUP(IF('AS400 JEMBATAN'!$AB74&gt;='AS400 JEMBATAN'!$AA74,'AS400 JEMBATAN'!X74,$AB74/$V$4)+$AD74,0)</f>
        <v>200</v>
      </c>
      <c r="Y74" s="175">
        <f>ROUNDUP(IF('AS400 JEMBATAN'!$AB74&gt;='AS400 JEMBATAN'!$AA74,'AS400 JEMBATAN'!Y74,$AB74/$V$4)+$AD74,0)</f>
        <v>160</v>
      </c>
      <c r="Z74" s="175">
        <f>ROUNDUP(IF('AS400 JEMBATAN'!$AB74&gt;='AS400 JEMBATAN'!$AA74,'AS400 JEMBATAN'!Z74,$AB74/$V$4)+$AD74,0)</f>
        <v>0</v>
      </c>
      <c r="AA74" s="175">
        <f t="shared" si="45"/>
        <v>720</v>
      </c>
      <c r="AB74" s="175">
        <f>'QTY '!W74</f>
        <v>720</v>
      </c>
      <c r="AC74" s="175">
        <f t="shared" si="46"/>
        <v>0</v>
      </c>
      <c r="AD74" s="183"/>
      <c r="AE74" s="175">
        <f>ROUNDUP(IF('AS400 JEMBATAN'!$AK74&gt;='AS400 JEMBATAN'!$AJ74,'AS400 JEMBATAN'!AE74,$AK74/$AE$4)+$AM74,0)</f>
        <v>160</v>
      </c>
      <c r="AF74" s="175">
        <f>ROUNDUP(IF('AS400 JEMBATAN'!$AK74&gt;='AS400 JEMBATAN'!$AJ74,'AS400 JEMBATAN'!AF74,$AK74/$AE$4)+$AM74,0)</f>
        <v>160</v>
      </c>
      <c r="AG74" s="175">
        <f>ROUNDUP(IF('AS400 JEMBATAN'!$AK74&gt;='AS400 JEMBATAN'!$AJ74,'AS400 JEMBATAN'!AG74,$AK74/$AE$4)+$AM74,0)</f>
        <v>160</v>
      </c>
      <c r="AH74" s="175">
        <f>ROUNDUP(IF('AS400 JEMBATAN'!$AK74&gt;='AS400 JEMBATAN'!$AJ74,'AS400 JEMBATAN'!AH74,$AK74/$AE$4)+$AM74,0)</f>
        <v>160</v>
      </c>
      <c r="AI74" s="175"/>
      <c r="AJ74" s="175">
        <f t="shared" si="47"/>
        <v>640</v>
      </c>
      <c r="AK74" s="175">
        <f>'QTY '!Z74</f>
        <v>640</v>
      </c>
      <c r="AL74" s="175">
        <f t="shared" si="48"/>
        <v>0</v>
      </c>
      <c r="AM74" s="178"/>
      <c r="AN74" s="179">
        <f>+'AS400 JEMBATAN'!AN74</f>
        <v>160</v>
      </c>
      <c r="AO74" s="179">
        <f>+'AS400 JEMBATAN'!AO74</f>
        <v>160</v>
      </c>
      <c r="AP74" s="179">
        <f>+'AS400 JEMBATAN'!AP74</f>
        <v>160</v>
      </c>
      <c r="AQ74" s="179">
        <f>+'AS400 JEMBATAN'!AQ74</f>
        <v>160</v>
      </c>
      <c r="AR74" s="175"/>
      <c r="AS74" s="175">
        <f t="shared" si="49"/>
        <v>640</v>
      </c>
      <c r="AT74" s="175">
        <f>'QTY '!AC74</f>
        <v>640</v>
      </c>
      <c r="AU74" s="175">
        <f t="shared" si="50"/>
        <v>0</v>
      </c>
      <c r="AV74" s="178">
        <v>0</v>
      </c>
      <c r="AW74" s="180"/>
      <c r="AX74" s="180"/>
      <c r="AY74" s="180"/>
      <c r="AZ74" s="180"/>
      <c r="BA74" s="180"/>
    </row>
    <row r="75" spans="1:53" ht="18" customHeight="1" thickTop="1" thickBot="1">
      <c r="A75" s="210" t="str">
        <f>+'AS400 JEMBATAN'!A75</f>
        <v>BC111-4EE80-1</v>
      </c>
      <c r="B75" s="200" t="str">
        <f>+'AS400 JEMBATAN'!B75</f>
        <v>BC111-4EE80-1 C 0002</v>
      </c>
      <c r="C75" s="187">
        <f>'AS400 JEMBATAN'!C75</f>
        <v>0</v>
      </c>
      <c r="D75" s="175">
        <f>ROUNDUP(IF('AS400 JEMBATAN'!$J75&gt;='AS400 JEMBATAN'!$I75,'AS400 JEMBATAN'!D75,$J75/$D$4)+$L75,0)</f>
        <v>620</v>
      </c>
      <c r="E75" s="175">
        <f>ROUNDUP(IF('AS400 JEMBATAN'!$J75&gt;='AS400 JEMBATAN'!$I75,'AS400 JEMBATAN'!E75,$J75/$D$4)+$L75,0)</f>
        <v>620</v>
      </c>
      <c r="F75" s="175">
        <f>ROUNDUP(IF('AS400 JEMBATAN'!$J75&gt;='AS400 JEMBATAN'!$I75,'AS400 JEMBATAN'!F75,$J75/$D$4)+$L75,0)</f>
        <v>620</v>
      </c>
      <c r="G75" s="175">
        <f>ROUNDUP(IF('AS400 JEMBATAN'!$J75&gt;='AS400 JEMBATAN'!$I75,'AS400 JEMBATAN'!G75,$J75/$D$4)+$L75,0)</f>
        <v>620</v>
      </c>
      <c r="H75" s="175"/>
      <c r="I75" s="175">
        <f t="shared" si="41"/>
        <v>2480</v>
      </c>
      <c r="J75" s="176">
        <f>'QTY '!Q75</f>
        <v>2480</v>
      </c>
      <c r="K75" s="176">
        <f t="shared" si="42"/>
        <v>0</v>
      </c>
      <c r="L75" s="177"/>
      <c r="M75" s="175">
        <f>ROUNDUP(IF('AS400 JEMBATAN'!$S75&gt;='AS400 JEMBATAN'!$R75,'AS400 JEMBATAN'!M75,$S75/$M$4)+$U75,0)</f>
        <v>700</v>
      </c>
      <c r="N75" s="175">
        <f>ROUNDUP(IF('AS400 JEMBATAN'!$S75&gt;='AS400 JEMBATAN'!$R75,'AS400 JEMBATAN'!N75,$S75/$M$4)+$U75,0)</f>
        <v>580</v>
      </c>
      <c r="O75" s="175">
        <f>ROUNDUP(IF('AS400 JEMBATAN'!$S75&gt;='AS400 JEMBATAN'!$R75,'AS400 JEMBATAN'!O75,$S75/$M$4)+$U75,0)</f>
        <v>0</v>
      </c>
      <c r="P75" s="175">
        <f>ROUNDUP(IF('AS400 JEMBATAN'!$S75&gt;='AS400 JEMBATAN'!$R75,'AS400 JEMBATAN'!P75,$S75/$M$4)+$U75,0)</f>
        <v>1060</v>
      </c>
      <c r="Q75" s="175">
        <f>ROUNDUP(IF('AS400 JEMBATAN'!$S75&gt;='AS400 JEMBATAN'!$R75,'AS400 JEMBATAN'!Q75,$S75/$M$4)+$U75,0)</f>
        <v>0</v>
      </c>
      <c r="R75" s="175">
        <f t="shared" si="43"/>
        <v>2340</v>
      </c>
      <c r="S75" s="175">
        <f>'QTY '!T75</f>
        <v>2340</v>
      </c>
      <c r="T75" s="176">
        <f t="shared" si="44"/>
        <v>0</v>
      </c>
      <c r="U75" s="178"/>
      <c r="V75" s="175">
        <f>ROUNDUP(IF('AS400 JEMBATAN'!$AB75&gt;='AS400 JEMBATAN'!$AA75,'AS400 JEMBATAN'!V75,$AB75/$V$4)+$AD75,0)</f>
        <v>860</v>
      </c>
      <c r="W75" s="175">
        <f>ROUNDUP(IF('AS400 JEMBATAN'!$AB75&gt;='AS400 JEMBATAN'!$AA75,'AS400 JEMBATAN'!W75,$AB75/$V$4)+$AD75,0)</f>
        <v>700</v>
      </c>
      <c r="X75" s="175">
        <f>ROUNDUP(IF('AS400 JEMBATAN'!$AB75&gt;='AS400 JEMBATAN'!$AA75,'AS400 JEMBATAN'!X75,$AB75/$V$4)+$AD75,0)</f>
        <v>720</v>
      </c>
      <c r="Y75" s="175">
        <f>ROUNDUP(IF('AS400 JEMBATAN'!$AB75&gt;='AS400 JEMBATAN'!$AA75,'AS400 JEMBATAN'!Y75,$AB75/$V$4)+$AD75,0)</f>
        <v>580</v>
      </c>
      <c r="Z75" s="175">
        <f>ROUNDUP(IF('AS400 JEMBATAN'!$AB75&gt;='AS400 JEMBATAN'!$AA75,'AS400 JEMBATAN'!Z75,$AB75/$V$4)+$AD75,0)</f>
        <v>0</v>
      </c>
      <c r="AA75" s="175">
        <f t="shared" si="45"/>
        <v>2860</v>
      </c>
      <c r="AB75" s="175">
        <f>'QTY '!W75</f>
        <v>2860</v>
      </c>
      <c r="AC75" s="175">
        <f t="shared" si="46"/>
        <v>0</v>
      </c>
      <c r="AD75" s="183"/>
      <c r="AE75" s="175">
        <f>ROUNDUP(IF('AS400 JEMBATAN'!$AK75&gt;='AS400 JEMBATAN'!$AJ75,'AS400 JEMBATAN'!AE75,$AK75/$AE$4)+$AM75,0)</f>
        <v>640</v>
      </c>
      <c r="AF75" s="175">
        <f>ROUNDUP(IF('AS400 JEMBATAN'!$AK75&gt;='AS400 JEMBATAN'!$AJ75,'AS400 JEMBATAN'!AF75,$AK75/$AE$4)+$AM75,0)</f>
        <v>640</v>
      </c>
      <c r="AG75" s="175">
        <f>ROUNDUP(IF('AS400 JEMBATAN'!$AK75&gt;='AS400 JEMBATAN'!$AJ75,'AS400 JEMBATAN'!AG75,$AK75/$AE$4)+$AM75,0)</f>
        <v>640</v>
      </c>
      <c r="AH75" s="175">
        <f>ROUNDUP(IF('AS400 JEMBATAN'!$AK75&gt;='AS400 JEMBATAN'!$AJ75,'AS400 JEMBATAN'!AH75,$AK75/$AE$4)+$AM75,0)</f>
        <v>640</v>
      </c>
      <c r="AI75" s="175"/>
      <c r="AJ75" s="175">
        <f t="shared" si="47"/>
        <v>2560</v>
      </c>
      <c r="AK75" s="175">
        <f>'QTY '!Z75</f>
        <v>2560</v>
      </c>
      <c r="AL75" s="175">
        <f t="shared" si="48"/>
        <v>0</v>
      </c>
      <c r="AM75" s="178"/>
      <c r="AN75" s="179">
        <f>+'AS400 JEMBATAN'!AN75</f>
        <v>640</v>
      </c>
      <c r="AO75" s="179">
        <f>+'AS400 JEMBATAN'!AO75</f>
        <v>640</v>
      </c>
      <c r="AP75" s="179">
        <f>+'AS400 JEMBATAN'!AP75</f>
        <v>640</v>
      </c>
      <c r="AQ75" s="179">
        <f>+'AS400 JEMBATAN'!AQ75</f>
        <v>640</v>
      </c>
      <c r="AR75" s="175"/>
      <c r="AS75" s="175">
        <f t="shared" si="49"/>
        <v>2560</v>
      </c>
      <c r="AT75" s="175">
        <f>'QTY '!AC75</f>
        <v>2560</v>
      </c>
      <c r="AU75" s="175">
        <f t="shared" si="50"/>
        <v>0</v>
      </c>
      <c r="AV75" s="178">
        <v>0</v>
      </c>
      <c r="AW75" s="180"/>
      <c r="AX75" s="180"/>
      <c r="AY75" s="180"/>
      <c r="AZ75" s="180"/>
      <c r="BA75" s="180"/>
    </row>
    <row r="76" spans="1:53" ht="18" customHeight="1" thickTop="1" thickBot="1">
      <c r="A76" s="210" t="str">
        <f>+'AS400 JEMBATAN'!A76</f>
        <v>BC111-47V60-1</v>
      </c>
      <c r="B76" s="200" t="str">
        <f>+'AS400 JEMBATAN'!B76</f>
        <v>BC111-47V60-1 C 0002</v>
      </c>
      <c r="C76" s="187">
        <f>'AS400 JEMBATAN'!C76</f>
        <v>0</v>
      </c>
      <c r="D76" s="175">
        <f>ROUNDUP(IF('AS400 JEMBATAN'!$J76&gt;='AS400 JEMBATAN'!$I76,'AS400 JEMBATAN'!D76,$J76/$D$4)+$L76,0)</f>
        <v>240</v>
      </c>
      <c r="E76" s="175">
        <f>ROUNDUP(IF('AS400 JEMBATAN'!$J76&gt;='AS400 JEMBATAN'!$I76,'AS400 JEMBATAN'!E76,$J76/$D$4)+$L76,0)</f>
        <v>240</v>
      </c>
      <c r="F76" s="175">
        <f>ROUNDUP(IF('AS400 JEMBATAN'!$J76&gt;='AS400 JEMBATAN'!$I76,'AS400 JEMBATAN'!F76,$J76/$D$4)+$L76,0)</f>
        <v>280</v>
      </c>
      <c r="G76" s="175">
        <f>ROUNDUP(IF('AS400 JEMBATAN'!$J76&gt;='AS400 JEMBATAN'!$I76,'AS400 JEMBATAN'!G76,$J76/$D$4)+$L76,0)</f>
        <v>280</v>
      </c>
      <c r="H76" s="175"/>
      <c r="I76" s="175">
        <f t="shared" si="41"/>
        <v>1040</v>
      </c>
      <c r="J76" s="176">
        <f>'QTY '!Q76</f>
        <v>1040</v>
      </c>
      <c r="K76" s="176">
        <f t="shared" si="42"/>
        <v>0</v>
      </c>
      <c r="L76" s="177"/>
      <c r="M76" s="175">
        <f>ROUNDUP(IF('AS400 JEMBATAN'!$S76&gt;='AS400 JEMBATAN'!$R76,'AS400 JEMBATAN'!M76,$S76/$M$4)+$U76,0)</f>
        <v>280</v>
      </c>
      <c r="N76" s="175">
        <f>ROUNDUP(IF('AS400 JEMBATAN'!$S76&gt;='AS400 JEMBATAN'!$R76,'AS400 JEMBATAN'!N76,$S76/$M$4)+$U76,0)</f>
        <v>240</v>
      </c>
      <c r="O76" s="175">
        <f>ROUNDUP(IF('AS400 JEMBATAN'!$S76&gt;='AS400 JEMBATAN'!$R76,'AS400 JEMBATAN'!O76,$S76/$M$4)+$U76,0)</f>
        <v>0</v>
      </c>
      <c r="P76" s="175">
        <f>ROUNDUP(IF('AS400 JEMBATAN'!$S76&gt;='AS400 JEMBATAN'!$R76,'AS400 JEMBATAN'!P76,$S76/$M$4)+$U76,0)</f>
        <v>400</v>
      </c>
      <c r="Q76" s="175">
        <f>ROUNDUP(IF('AS400 JEMBATAN'!$S76&gt;='AS400 JEMBATAN'!$R76,'AS400 JEMBATAN'!Q76,$S76/$M$4)+$U76,0)</f>
        <v>0</v>
      </c>
      <c r="R76" s="175">
        <f t="shared" si="43"/>
        <v>920</v>
      </c>
      <c r="S76" s="175">
        <f>'QTY '!T76</f>
        <v>920</v>
      </c>
      <c r="T76" s="176">
        <f t="shared" si="44"/>
        <v>0</v>
      </c>
      <c r="U76" s="178"/>
      <c r="V76" s="175">
        <f>ROUNDUP(IF('AS400 JEMBATAN'!$AB76&gt;='AS400 JEMBATAN'!$AA76,'AS400 JEMBATAN'!V76,$AB76/$V$4)+$AD76,0)</f>
        <v>360</v>
      </c>
      <c r="W76" s="175">
        <f>ROUNDUP(IF('AS400 JEMBATAN'!$AB76&gt;='AS400 JEMBATAN'!$AA76,'AS400 JEMBATAN'!W76,$AB76/$V$4)+$AD76,0)</f>
        <v>240</v>
      </c>
      <c r="X76" s="175">
        <f>ROUNDUP(IF('AS400 JEMBATAN'!$AB76&gt;='AS400 JEMBATAN'!$AA76,'AS400 JEMBATAN'!X76,$AB76/$V$4)+$AD76,0)</f>
        <v>320</v>
      </c>
      <c r="Y76" s="175">
        <f>ROUNDUP(IF('AS400 JEMBATAN'!$AB76&gt;='AS400 JEMBATAN'!$AA76,'AS400 JEMBATAN'!Y76,$AB76/$V$4)+$AD76,0)</f>
        <v>200</v>
      </c>
      <c r="Z76" s="175">
        <f>ROUNDUP(IF('AS400 JEMBATAN'!$AB76&gt;='AS400 JEMBATAN'!$AA76,'AS400 JEMBATAN'!Z76,$AB76/$V$4)+$AD76,0)</f>
        <v>0</v>
      </c>
      <c r="AA76" s="175">
        <f t="shared" si="45"/>
        <v>1120</v>
      </c>
      <c r="AB76" s="175">
        <f>'QTY '!W76</f>
        <v>1120</v>
      </c>
      <c r="AC76" s="175">
        <f t="shared" si="46"/>
        <v>0</v>
      </c>
      <c r="AD76" s="183"/>
      <c r="AE76" s="175">
        <f>ROUNDUP(IF('AS400 JEMBATAN'!$AK76&gt;='AS400 JEMBATAN'!$AJ76,'AS400 JEMBATAN'!AE76,$AK76/$AE$4)+$AM76,0)</f>
        <v>260</v>
      </c>
      <c r="AF76" s="175">
        <f>ROUNDUP(IF('AS400 JEMBATAN'!$AK76&gt;='AS400 JEMBATAN'!$AJ76,'AS400 JEMBATAN'!AF76,$AK76/$AE$4)+$AM76,0)</f>
        <v>260</v>
      </c>
      <c r="AG76" s="175">
        <f>ROUNDUP(IF('AS400 JEMBATAN'!$AK76&gt;='AS400 JEMBATAN'!$AJ76,'AS400 JEMBATAN'!AG76,$AK76/$AE$4)+$AM76,0)</f>
        <v>260</v>
      </c>
      <c r="AH76" s="175">
        <f>ROUNDUP(IF('AS400 JEMBATAN'!$AK76&gt;='AS400 JEMBATAN'!$AJ76,'AS400 JEMBATAN'!AH76,$AK76/$AE$4)+$AM76,0)</f>
        <v>260</v>
      </c>
      <c r="AI76" s="175"/>
      <c r="AJ76" s="175">
        <f t="shared" si="47"/>
        <v>1040</v>
      </c>
      <c r="AK76" s="175">
        <f>'QTY '!Z76</f>
        <v>1040</v>
      </c>
      <c r="AL76" s="175">
        <f t="shared" si="48"/>
        <v>0</v>
      </c>
      <c r="AM76" s="178"/>
      <c r="AN76" s="179">
        <f>+'AS400 JEMBATAN'!AN76</f>
        <v>260</v>
      </c>
      <c r="AO76" s="179">
        <f>+'AS400 JEMBATAN'!AO76</f>
        <v>260</v>
      </c>
      <c r="AP76" s="179">
        <f>+'AS400 JEMBATAN'!AP76</f>
        <v>260</v>
      </c>
      <c r="AQ76" s="179">
        <f>+'AS400 JEMBATAN'!AQ76</f>
        <v>260</v>
      </c>
      <c r="AR76" s="175"/>
      <c r="AS76" s="175">
        <f t="shared" si="49"/>
        <v>1040</v>
      </c>
      <c r="AT76" s="175">
        <f>'QTY '!AC76</f>
        <v>1040</v>
      </c>
      <c r="AU76" s="175">
        <f t="shared" si="50"/>
        <v>0</v>
      </c>
      <c r="AV76" s="178">
        <v>0</v>
      </c>
      <c r="AW76" s="180"/>
      <c r="AX76" s="180"/>
      <c r="AY76" s="180"/>
      <c r="AZ76" s="180"/>
      <c r="BA76" s="180"/>
    </row>
    <row r="77" spans="1:53" ht="18" customHeight="1" thickTop="1" thickBot="1">
      <c r="A77" s="210" t="str">
        <f>+'AS400 JEMBATAN'!A77</f>
        <v>JN111-62064-1</v>
      </c>
      <c r="B77" s="200" t="str">
        <f>+'AS400 JEMBATAN'!B77</f>
        <v>JN111-62064-1   0001</v>
      </c>
      <c r="C77" s="187">
        <f>'AS400 JEMBATAN'!C77</f>
        <v>0</v>
      </c>
      <c r="D77" s="175">
        <f>ROUNDUP(IF('AS400 JEMBATAN'!$J77&gt;='AS400 JEMBATAN'!$I77,'AS400 JEMBATAN'!D77,$J77/$D$4)+$L77,0)</f>
        <v>0</v>
      </c>
      <c r="E77" s="175">
        <f>ROUNDUP(IF('AS400 JEMBATAN'!$J77&gt;='AS400 JEMBATAN'!$I77,'AS400 JEMBATAN'!E77,$J77/$D$4)+$L77,0)</f>
        <v>0</v>
      </c>
      <c r="F77" s="175">
        <f>ROUNDUP(IF('AS400 JEMBATAN'!$J77&gt;='AS400 JEMBATAN'!$I77,'AS400 JEMBATAN'!F77,$J77/$D$4)+$L77,0)</f>
        <v>0</v>
      </c>
      <c r="G77" s="175">
        <f>ROUNDUP(IF('AS400 JEMBATAN'!$J77&gt;='AS400 JEMBATAN'!$I77,'AS400 JEMBATAN'!G77,$J77/$D$4)+$L77,0)</f>
        <v>0</v>
      </c>
      <c r="H77" s="175"/>
      <c r="I77" s="175">
        <f t="shared" si="41"/>
        <v>0</v>
      </c>
      <c r="J77" s="176">
        <f>'QTY '!Q77</f>
        <v>0</v>
      </c>
      <c r="K77" s="176">
        <f t="shared" si="42"/>
        <v>0</v>
      </c>
      <c r="L77" s="177"/>
      <c r="M77" s="175">
        <f>ROUNDUP(IF('AS400 JEMBATAN'!$S77&gt;='AS400 JEMBATAN'!$R77,'AS400 JEMBATAN'!M77,$S77/$M$4)+$U77,0)</f>
        <v>0</v>
      </c>
      <c r="N77" s="175">
        <f>ROUNDUP(IF('AS400 JEMBATAN'!$S77&gt;='AS400 JEMBATAN'!$R77,'AS400 JEMBATAN'!N77,$S77/$M$4)+$U77,0)</f>
        <v>0</v>
      </c>
      <c r="O77" s="175">
        <f>ROUNDUP(IF('AS400 JEMBATAN'!$S77&gt;='AS400 JEMBATAN'!$R77,'AS400 JEMBATAN'!O77,$S77/$M$4)+$U77,0)</f>
        <v>0</v>
      </c>
      <c r="P77" s="175">
        <f>ROUNDUP(IF('AS400 JEMBATAN'!$S77&gt;='AS400 JEMBATAN'!$R77,'AS400 JEMBATAN'!P77,$S77/$M$4)+$U77,0)</f>
        <v>0</v>
      </c>
      <c r="Q77" s="175">
        <f>ROUNDUP(IF('AS400 JEMBATAN'!$S77&gt;='AS400 JEMBATAN'!$R77,'AS400 JEMBATAN'!Q77,$S77/$M$4)+$U77,0)</f>
        <v>0</v>
      </c>
      <c r="R77" s="175">
        <f t="shared" si="43"/>
        <v>0</v>
      </c>
      <c r="S77" s="175">
        <f>'QTY '!T77</f>
        <v>0</v>
      </c>
      <c r="T77" s="176">
        <f t="shared" si="44"/>
        <v>0</v>
      </c>
      <c r="U77" s="178"/>
      <c r="V77" s="175">
        <f>ROUNDUP(IF('AS400 JEMBATAN'!$AB77&gt;='AS400 JEMBATAN'!$AA77,'AS400 JEMBATAN'!V77,$AB77/$V$4)+$AD77,0)</f>
        <v>0</v>
      </c>
      <c r="W77" s="175">
        <f>ROUNDUP(IF('AS400 JEMBATAN'!$AB77&gt;='AS400 JEMBATAN'!$AA77,'AS400 JEMBATAN'!W77,$AB77/$V$4)+$AD77,0)</f>
        <v>0</v>
      </c>
      <c r="X77" s="175">
        <f>ROUNDUP(IF('AS400 JEMBATAN'!$AB77&gt;='AS400 JEMBATAN'!$AA77,'AS400 JEMBATAN'!X77,$AB77/$V$4)+$AD77,0)</f>
        <v>0</v>
      </c>
      <c r="Y77" s="175">
        <f>ROUNDUP(IF('AS400 JEMBATAN'!$AB77&gt;='AS400 JEMBATAN'!$AA77,'AS400 JEMBATAN'!Y77,$AB77/$V$4)+$AD77,0)</f>
        <v>0</v>
      </c>
      <c r="Z77" s="175">
        <f>ROUNDUP(IF('AS400 JEMBATAN'!$AB77&gt;='AS400 JEMBATAN'!$AA77,'AS400 JEMBATAN'!Z77,$AB77/$V$4)+$AD77,0)</f>
        <v>0</v>
      </c>
      <c r="AA77" s="175">
        <f t="shared" si="45"/>
        <v>0</v>
      </c>
      <c r="AB77" s="175">
        <f>'QTY '!W77</f>
        <v>0</v>
      </c>
      <c r="AC77" s="175">
        <f t="shared" si="46"/>
        <v>0</v>
      </c>
      <c r="AD77" s="183"/>
      <c r="AE77" s="175">
        <f>ROUNDUP(IF('AS400 JEMBATAN'!$AK77&gt;='AS400 JEMBATAN'!$AJ77,'AS400 JEMBATAN'!AE77,$AK77/$AE$4)+$AM77,0)</f>
        <v>0</v>
      </c>
      <c r="AF77" s="175">
        <f>ROUNDUP(IF('AS400 JEMBATAN'!$AK77&gt;='AS400 JEMBATAN'!$AJ77,'AS400 JEMBATAN'!AF77,$AK77/$AE$4)+$AM77,0)</f>
        <v>0</v>
      </c>
      <c r="AG77" s="175">
        <f>ROUNDUP(IF('AS400 JEMBATAN'!$AK77&gt;='AS400 JEMBATAN'!$AJ77,'AS400 JEMBATAN'!AG77,$AK77/$AE$4)+$AM77,0)</f>
        <v>0</v>
      </c>
      <c r="AH77" s="175">
        <f>ROUNDUP(IF('AS400 JEMBATAN'!$AK77&gt;='AS400 JEMBATAN'!$AJ77,'AS400 JEMBATAN'!AH77,$AK77/$AE$4)+$AM77,0)</f>
        <v>0</v>
      </c>
      <c r="AI77" s="175"/>
      <c r="AJ77" s="175">
        <f t="shared" si="47"/>
        <v>0</v>
      </c>
      <c r="AK77" s="175">
        <f>'QTY '!Z77</f>
        <v>0</v>
      </c>
      <c r="AL77" s="175">
        <f t="shared" si="48"/>
        <v>0</v>
      </c>
      <c r="AM77" s="178"/>
      <c r="AN77" s="179">
        <f>+'AS400 JEMBATAN'!AN77</f>
        <v>0</v>
      </c>
      <c r="AO77" s="179">
        <f>+'AS400 JEMBATAN'!AO77</f>
        <v>0</v>
      </c>
      <c r="AP77" s="179">
        <f>+'AS400 JEMBATAN'!AP77</f>
        <v>0</v>
      </c>
      <c r="AQ77" s="179">
        <f>+'AS400 JEMBATAN'!AQ77</f>
        <v>0</v>
      </c>
      <c r="AR77" s="175"/>
      <c r="AS77" s="175">
        <f t="shared" si="49"/>
        <v>0</v>
      </c>
      <c r="AT77" s="175">
        <f>'QTY '!AC77</f>
        <v>0</v>
      </c>
      <c r="AU77" s="175">
        <f t="shared" si="50"/>
        <v>0</v>
      </c>
      <c r="AV77" s="178">
        <v>0</v>
      </c>
      <c r="AW77" s="180"/>
      <c r="AX77" s="180"/>
      <c r="AY77" s="180"/>
      <c r="AZ77" s="180"/>
      <c r="BA77" s="180"/>
    </row>
    <row r="78" spans="1:53" ht="18" customHeight="1" thickTop="1" thickBot="1">
      <c r="A78" s="210" t="str">
        <f>+'AS400 JEMBATAN'!A78</f>
        <v>JN111-62064-3</v>
      </c>
      <c r="B78" s="200" t="str">
        <f>+'AS400 JEMBATAN'!B78</f>
        <v>JN111-62064-3   0001</v>
      </c>
      <c r="C78" s="187">
        <f>'AS400 JEMBATAN'!C78</f>
        <v>0</v>
      </c>
      <c r="D78" s="175">
        <f>ROUNDUP(IF('AS400 JEMBATAN'!$J78&gt;='AS400 JEMBATAN'!$I78,'AS400 JEMBATAN'!D78,$J78/$D$4)+$L78,0)</f>
        <v>0</v>
      </c>
      <c r="E78" s="175">
        <f>ROUNDUP(IF('AS400 JEMBATAN'!$J78&gt;='AS400 JEMBATAN'!$I78,'AS400 JEMBATAN'!E78,$J78/$D$4)+$L78,0)</f>
        <v>0</v>
      </c>
      <c r="F78" s="175">
        <f>ROUNDUP(IF('AS400 JEMBATAN'!$J78&gt;='AS400 JEMBATAN'!$I78,'AS400 JEMBATAN'!F78,$J78/$D$4)+$L78,0)</f>
        <v>0</v>
      </c>
      <c r="G78" s="175">
        <f>ROUNDUP(IF('AS400 JEMBATAN'!$J78&gt;='AS400 JEMBATAN'!$I78,'AS400 JEMBATAN'!G78,$J78/$D$4)+$L78,0)</f>
        <v>0</v>
      </c>
      <c r="H78" s="175"/>
      <c r="I78" s="175">
        <f t="shared" si="41"/>
        <v>0</v>
      </c>
      <c r="J78" s="176">
        <f>'QTY '!Q78</f>
        <v>0</v>
      </c>
      <c r="K78" s="176">
        <f t="shared" si="42"/>
        <v>0</v>
      </c>
      <c r="L78" s="177"/>
      <c r="M78" s="175">
        <f>ROUNDUP(IF('AS400 JEMBATAN'!$S78&gt;='AS400 JEMBATAN'!$R78,'AS400 JEMBATAN'!M78,$S78/$M$4)+$U78,0)</f>
        <v>0</v>
      </c>
      <c r="N78" s="175">
        <f>ROUNDUP(IF('AS400 JEMBATAN'!$S78&gt;='AS400 JEMBATAN'!$R78,'AS400 JEMBATAN'!N78,$S78/$M$4)+$U78,0)</f>
        <v>0</v>
      </c>
      <c r="O78" s="175">
        <f>ROUNDUP(IF('AS400 JEMBATAN'!$S78&gt;='AS400 JEMBATAN'!$R78,'AS400 JEMBATAN'!O78,$S78/$M$4)+$U78,0)</f>
        <v>0</v>
      </c>
      <c r="P78" s="175">
        <f>ROUNDUP(IF('AS400 JEMBATAN'!$S78&gt;='AS400 JEMBATAN'!$R78,'AS400 JEMBATAN'!P78,$S78/$M$4)+$U78,0)</f>
        <v>0</v>
      </c>
      <c r="Q78" s="175">
        <f>ROUNDUP(IF('AS400 JEMBATAN'!$S78&gt;='AS400 JEMBATAN'!$R78,'AS400 JEMBATAN'!Q78,$S78/$M$4)+$U78,0)</f>
        <v>0</v>
      </c>
      <c r="R78" s="175">
        <f t="shared" si="43"/>
        <v>0</v>
      </c>
      <c r="S78" s="175">
        <f>'QTY '!T78</f>
        <v>0</v>
      </c>
      <c r="T78" s="176">
        <f t="shared" si="44"/>
        <v>0</v>
      </c>
      <c r="U78" s="178"/>
      <c r="V78" s="175">
        <f>ROUNDUP(IF('AS400 JEMBATAN'!$AB78&gt;='AS400 JEMBATAN'!$AA78,'AS400 JEMBATAN'!V78,$AB78/$V$4)+$AD78,0)</f>
        <v>0</v>
      </c>
      <c r="W78" s="175">
        <f>ROUNDUP(IF('AS400 JEMBATAN'!$AB78&gt;='AS400 JEMBATAN'!$AA78,'AS400 JEMBATAN'!W78,$AB78/$V$4)+$AD78,0)</f>
        <v>0</v>
      </c>
      <c r="X78" s="175">
        <f>ROUNDUP(IF('AS400 JEMBATAN'!$AB78&gt;='AS400 JEMBATAN'!$AA78,'AS400 JEMBATAN'!X78,$AB78/$V$4)+$AD78,0)</f>
        <v>0</v>
      </c>
      <c r="Y78" s="175">
        <f>ROUNDUP(IF('AS400 JEMBATAN'!$AB78&gt;='AS400 JEMBATAN'!$AA78,'AS400 JEMBATAN'!Y78,$AB78/$V$4)+$AD78,0)</f>
        <v>0</v>
      </c>
      <c r="Z78" s="175">
        <f>ROUNDUP(IF('AS400 JEMBATAN'!$AB78&gt;='AS400 JEMBATAN'!$AA78,'AS400 JEMBATAN'!Z78,$AB78/$V$4)+$AD78,0)</f>
        <v>0</v>
      </c>
      <c r="AA78" s="175">
        <f t="shared" si="45"/>
        <v>0</v>
      </c>
      <c r="AB78" s="175">
        <f>'QTY '!W78</f>
        <v>0</v>
      </c>
      <c r="AC78" s="175">
        <f t="shared" si="46"/>
        <v>0</v>
      </c>
      <c r="AD78" s="183"/>
      <c r="AE78" s="175">
        <f>ROUNDUP(IF('AS400 JEMBATAN'!$AK78&gt;='AS400 JEMBATAN'!$AJ78,'AS400 JEMBATAN'!AE78,$AK78/$AE$4)+$AM78,0)</f>
        <v>0</v>
      </c>
      <c r="AF78" s="175">
        <f>ROUNDUP(IF('AS400 JEMBATAN'!$AK78&gt;='AS400 JEMBATAN'!$AJ78,'AS400 JEMBATAN'!AF78,$AK78/$AE$4)+$AM78,0)</f>
        <v>0</v>
      </c>
      <c r="AG78" s="175">
        <f>ROUNDUP(IF('AS400 JEMBATAN'!$AK78&gt;='AS400 JEMBATAN'!$AJ78,'AS400 JEMBATAN'!AG78,$AK78/$AE$4)+$AM78,0)</f>
        <v>0</v>
      </c>
      <c r="AH78" s="175">
        <f>ROUNDUP(IF('AS400 JEMBATAN'!$AK78&gt;='AS400 JEMBATAN'!$AJ78,'AS400 JEMBATAN'!AH78,$AK78/$AE$4)+$AM78,0)</f>
        <v>0</v>
      </c>
      <c r="AI78" s="175"/>
      <c r="AJ78" s="175">
        <f t="shared" si="47"/>
        <v>0</v>
      </c>
      <c r="AK78" s="175">
        <f>'QTY '!Z78</f>
        <v>0</v>
      </c>
      <c r="AL78" s="175">
        <f t="shared" si="48"/>
        <v>0</v>
      </c>
      <c r="AM78" s="178"/>
      <c r="AN78" s="179">
        <f>+'AS400 JEMBATAN'!AN78</f>
        <v>0</v>
      </c>
      <c r="AO78" s="179">
        <f>+'AS400 JEMBATAN'!AO78</f>
        <v>0</v>
      </c>
      <c r="AP78" s="179">
        <f>+'AS400 JEMBATAN'!AP78</f>
        <v>0</v>
      </c>
      <c r="AQ78" s="179">
        <f>+'AS400 JEMBATAN'!AQ78</f>
        <v>0</v>
      </c>
      <c r="AR78" s="175"/>
      <c r="AS78" s="175">
        <f t="shared" si="49"/>
        <v>0</v>
      </c>
      <c r="AT78" s="175">
        <f>'QTY '!AC78</f>
        <v>0</v>
      </c>
      <c r="AU78" s="175">
        <f t="shared" si="50"/>
        <v>0</v>
      </c>
      <c r="AV78" s="178">
        <v>0</v>
      </c>
      <c r="AW78" s="180"/>
      <c r="AX78" s="180"/>
      <c r="AY78" s="180"/>
      <c r="AZ78" s="180"/>
      <c r="BA78" s="180"/>
    </row>
    <row r="79" spans="1:53" ht="18" customHeight="1" thickTop="1" thickBot="1">
      <c r="A79" s="210" t="str">
        <f>+'AS400 JEMBATAN'!A79</f>
        <v>JN111-62215-1</v>
      </c>
      <c r="B79" s="200" t="str">
        <f>+'AS400 JEMBATAN'!B79</f>
        <v>JN111-62215-1   0001</v>
      </c>
      <c r="C79" s="187">
        <f>'AS400 JEMBATAN'!C79</f>
        <v>0</v>
      </c>
      <c r="D79" s="175">
        <f>ROUNDUP(IF('AS400 JEMBATAN'!$J79&gt;='AS400 JEMBATAN'!$I79,'AS400 JEMBATAN'!D79,$J79/$D$4)+$L79,0)</f>
        <v>0</v>
      </c>
      <c r="E79" s="175">
        <f>ROUNDUP(IF('AS400 JEMBATAN'!$J79&gt;='AS400 JEMBATAN'!$I79,'AS400 JEMBATAN'!E79,$J79/$D$4)+$L79,0)</f>
        <v>0</v>
      </c>
      <c r="F79" s="175">
        <f>ROUNDUP(IF('AS400 JEMBATAN'!$J79&gt;='AS400 JEMBATAN'!$I79,'AS400 JEMBATAN'!F79,$J79/$D$4)+$L79,0)</f>
        <v>0</v>
      </c>
      <c r="G79" s="175">
        <f>ROUNDUP(IF('AS400 JEMBATAN'!$J79&gt;='AS400 JEMBATAN'!$I79,'AS400 JEMBATAN'!G79,$J79/$D$4)+$L79,0)</f>
        <v>0</v>
      </c>
      <c r="H79" s="175"/>
      <c r="I79" s="175">
        <f t="shared" si="41"/>
        <v>0</v>
      </c>
      <c r="J79" s="176">
        <f>'QTY '!Q79</f>
        <v>0</v>
      </c>
      <c r="K79" s="176">
        <f t="shared" si="42"/>
        <v>0</v>
      </c>
      <c r="L79" s="177"/>
      <c r="M79" s="175">
        <f>ROUNDUP(IF('AS400 JEMBATAN'!$S79&gt;='AS400 JEMBATAN'!$R79,'AS400 JEMBATAN'!M79,$S79/$M$4)+$U79,0)</f>
        <v>0</v>
      </c>
      <c r="N79" s="175">
        <f>ROUNDUP(IF('AS400 JEMBATAN'!$S79&gt;='AS400 JEMBATAN'!$R79,'AS400 JEMBATAN'!N79,$S79/$M$4)+$U79,0)</f>
        <v>0</v>
      </c>
      <c r="O79" s="175">
        <f>ROUNDUP(IF('AS400 JEMBATAN'!$S79&gt;='AS400 JEMBATAN'!$R79,'AS400 JEMBATAN'!O79,$S79/$M$4)+$U79,0)</f>
        <v>0</v>
      </c>
      <c r="P79" s="175">
        <f>ROUNDUP(IF('AS400 JEMBATAN'!$S79&gt;='AS400 JEMBATAN'!$R79,'AS400 JEMBATAN'!P79,$S79/$M$4)+$U79,0)</f>
        <v>0</v>
      </c>
      <c r="Q79" s="175">
        <f>ROUNDUP(IF('AS400 JEMBATAN'!$S79&gt;='AS400 JEMBATAN'!$R79,'AS400 JEMBATAN'!Q79,$S79/$M$4)+$U79,0)</f>
        <v>0</v>
      </c>
      <c r="R79" s="175">
        <f t="shared" si="43"/>
        <v>0</v>
      </c>
      <c r="S79" s="175">
        <f>'QTY '!T79</f>
        <v>0</v>
      </c>
      <c r="T79" s="176">
        <f t="shared" si="44"/>
        <v>0</v>
      </c>
      <c r="U79" s="178"/>
      <c r="V79" s="175">
        <f>ROUNDUP(IF('AS400 JEMBATAN'!$AB79&gt;='AS400 JEMBATAN'!$AA79,'AS400 JEMBATAN'!V79,$AB79/$V$4)+$AD79,0)</f>
        <v>0</v>
      </c>
      <c r="W79" s="175">
        <f>ROUNDUP(IF('AS400 JEMBATAN'!$AB79&gt;='AS400 JEMBATAN'!$AA79,'AS400 JEMBATAN'!W79,$AB79/$V$4)+$AD79,0)</f>
        <v>0</v>
      </c>
      <c r="X79" s="175">
        <f>ROUNDUP(IF('AS400 JEMBATAN'!$AB79&gt;='AS400 JEMBATAN'!$AA79,'AS400 JEMBATAN'!X79,$AB79/$V$4)+$AD79,0)</f>
        <v>0</v>
      </c>
      <c r="Y79" s="175">
        <f>ROUNDUP(IF('AS400 JEMBATAN'!$AB79&gt;='AS400 JEMBATAN'!$AA79,'AS400 JEMBATAN'!Y79,$AB79/$V$4)+$AD79,0)</f>
        <v>0</v>
      </c>
      <c r="Z79" s="175">
        <f>ROUNDUP(IF('AS400 JEMBATAN'!$AB79&gt;='AS400 JEMBATAN'!$AA79,'AS400 JEMBATAN'!Z79,$AB79/$V$4)+$AD79,0)</f>
        <v>0</v>
      </c>
      <c r="AA79" s="175">
        <f t="shared" si="45"/>
        <v>0</v>
      </c>
      <c r="AB79" s="175">
        <f>'QTY '!W79</f>
        <v>0</v>
      </c>
      <c r="AC79" s="175">
        <f t="shared" si="46"/>
        <v>0</v>
      </c>
      <c r="AD79" s="183"/>
      <c r="AE79" s="175">
        <f>ROUNDUP(IF('AS400 JEMBATAN'!$AK79&gt;='AS400 JEMBATAN'!$AJ79,'AS400 JEMBATAN'!AE79,$AK79/$AE$4)+$AM79,0)</f>
        <v>13</v>
      </c>
      <c r="AF79" s="175">
        <f>ROUNDUP(IF('AS400 JEMBATAN'!$AK79&gt;='AS400 JEMBATAN'!$AJ79,'AS400 JEMBATAN'!AF79,$AK79/$AE$4)+$AM79,0)</f>
        <v>13</v>
      </c>
      <c r="AG79" s="175">
        <f>ROUNDUP(IF('AS400 JEMBATAN'!$AK79&gt;='AS400 JEMBATAN'!$AJ79,'AS400 JEMBATAN'!AG79,$AK79/$AE$4)+$AM79,0)</f>
        <v>13</v>
      </c>
      <c r="AH79" s="175">
        <f>ROUNDUP(IF('AS400 JEMBATAN'!$AK79&gt;='AS400 JEMBATAN'!$AJ79,'AS400 JEMBATAN'!AH79,$AK79/$AE$4)+$AM79,0)</f>
        <v>13</v>
      </c>
      <c r="AI79" s="175"/>
      <c r="AJ79" s="175">
        <f t="shared" si="47"/>
        <v>52</v>
      </c>
      <c r="AK79" s="175">
        <f>'QTY '!Z79</f>
        <v>50</v>
      </c>
      <c r="AL79" s="175">
        <f t="shared" si="48"/>
        <v>-1</v>
      </c>
      <c r="AM79" s="178"/>
      <c r="AN79" s="179">
        <f>+'AS400 JEMBATAN'!AN79</f>
        <v>12.5</v>
      </c>
      <c r="AO79" s="179">
        <f>+'AS400 JEMBATAN'!AO79</f>
        <v>12.5</v>
      </c>
      <c r="AP79" s="179">
        <f>+'AS400 JEMBATAN'!AP79</f>
        <v>12.5</v>
      </c>
      <c r="AQ79" s="179">
        <f>+'AS400 JEMBATAN'!AQ79</f>
        <v>12.5</v>
      </c>
      <c r="AR79" s="175"/>
      <c r="AS79" s="175">
        <f t="shared" si="49"/>
        <v>50</v>
      </c>
      <c r="AT79" s="175">
        <f>'QTY '!AC79</f>
        <v>50</v>
      </c>
      <c r="AU79" s="175">
        <f t="shared" si="50"/>
        <v>0</v>
      </c>
      <c r="AV79" s="178">
        <v>0</v>
      </c>
      <c r="AW79" s="180"/>
      <c r="AX79" s="180"/>
      <c r="AY79" s="180"/>
      <c r="AZ79" s="180"/>
      <c r="BA79" s="180"/>
    </row>
    <row r="80" spans="1:53" ht="18" customHeight="1" thickTop="1" thickBot="1">
      <c r="A80" s="210" t="str">
        <f>+'AS400 JEMBATAN'!A80</f>
        <v>JN111-62215-3</v>
      </c>
      <c r="B80" s="200" t="str">
        <f>+'AS400 JEMBATAN'!B80</f>
        <v>JN111-62215-3   0001</v>
      </c>
      <c r="C80" s="187">
        <f>'AS400 JEMBATAN'!C80</f>
        <v>0</v>
      </c>
      <c r="D80" s="175">
        <f>ROUNDUP(IF('AS400 JEMBATAN'!$J80&gt;='AS400 JEMBATAN'!$I80,'AS400 JEMBATAN'!D80,$J80/$D$4)+$L80,0)</f>
        <v>0</v>
      </c>
      <c r="E80" s="175">
        <f>ROUNDUP(IF('AS400 JEMBATAN'!$J80&gt;='AS400 JEMBATAN'!$I80,'AS400 JEMBATAN'!E80,$J80/$D$4)+$L80,0)</f>
        <v>0</v>
      </c>
      <c r="F80" s="175">
        <f>ROUNDUP(IF('AS400 JEMBATAN'!$J80&gt;='AS400 JEMBATAN'!$I80,'AS400 JEMBATAN'!F80,$J80/$D$4)+$L80,0)</f>
        <v>0</v>
      </c>
      <c r="G80" s="175">
        <f>ROUNDUP(IF('AS400 JEMBATAN'!$J80&gt;='AS400 JEMBATAN'!$I80,'AS400 JEMBATAN'!G80,$J80/$D$4)+$L80,0)</f>
        <v>50</v>
      </c>
      <c r="H80" s="175"/>
      <c r="I80" s="175">
        <f t="shared" si="41"/>
        <v>50</v>
      </c>
      <c r="J80" s="176">
        <f>'QTY '!Q80</f>
        <v>50</v>
      </c>
      <c r="K80" s="176">
        <f t="shared" si="42"/>
        <v>0</v>
      </c>
      <c r="L80" s="177"/>
      <c r="M80" s="175">
        <f>ROUNDUP(IF('AS400 JEMBATAN'!$S80&gt;='AS400 JEMBATAN'!$R80,'AS400 JEMBATAN'!M80,$S80/$M$4)+$U80,0)</f>
        <v>0</v>
      </c>
      <c r="N80" s="175">
        <f>ROUNDUP(IF('AS400 JEMBATAN'!$S80&gt;='AS400 JEMBATAN'!$R80,'AS400 JEMBATAN'!N80,$S80/$M$4)+$U80,0)</f>
        <v>0</v>
      </c>
      <c r="O80" s="175">
        <f>ROUNDUP(IF('AS400 JEMBATAN'!$S80&gt;='AS400 JEMBATAN'!$R80,'AS400 JEMBATAN'!O80,$S80/$M$4)+$U80,0)</f>
        <v>0</v>
      </c>
      <c r="P80" s="175">
        <f>ROUNDUP(IF('AS400 JEMBATAN'!$S80&gt;='AS400 JEMBATAN'!$R80,'AS400 JEMBATAN'!P80,$S80/$M$4)+$U80,0)</f>
        <v>0</v>
      </c>
      <c r="Q80" s="175">
        <f>ROUNDUP(IF('AS400 JEMBATAN'!$S80&gt;='AS400 JEMBATAN'!$R80,'AS400 JEMBATAN'!Q80,$S80/$M$4)+$U80,0)</f>
        <v>0</v>
      </c>
      <c r="R80" s="175">
        <f t="shared" si="43"/>
        <v>0</v>
      </c>
      <c r="S80" s="175">
        <f>'QTY '!T80</f>
        <v>0</v>
      </c>
      <c r="T80" s="176">
        <f t="shared" si="44"/>
        <v>0</v>
      </c>
      <c r="U80" s="178"/>
      <c r="V80" s="175">
        <f>ROUNDUP(IF('AS400 JEMBATAN'!$AB80&gt;='AS400 JEMBATAN'!$AA80,'AS400 JEMBATAN'!V80,$AB80/$V$4)+$AD80,0)</f>
        <v>0</v>
      </c>
      <c r="W80" s="175">
        <f>ROUNDUP(IF('AS400 JEMBATAN'!$AB80&gt;='AS400 JEMBATAN'!$AA80,'AS400 JEMBATAN'!W80,$AB80/$V$4)+$AD80,0)</f>
        <v>0</v>
      </c>
      <c r="X80" s="175">
        <f>ROUNDUP(IF('AS400 JEMBATAN'!$AB80&gt;='AS400 JEMBATAN'!$AA80,'AS400 JEMBATAN'!X80,$AB80/$V$4)+$AD80,0)</f>
        <v>0</v>
      </c>
      <c r="Y80" s="175">
        <f>ROUNDUP(IF('AS400 JEMBATAN'!$AB80&gt;='AS400 JEMBATAN'!$AA80,'AS400 JEMBATAN'!Y80,$AB80/$V$4)+$AD80,0)</f>
        <v>0</v>
      </c>
      <c r="Z80" s="175">
        <f>ROUNDUP(IF('AS400 JEMBATAN'!$AB80&gt;='AS400 JEMBATAN'!$AA80,'AS400 JEMBATAN'!Z80,$AB80/$V$4)+$AD80,0)</f>
        <v>0</v>
      </c>
      <c r="AA80" s="175">
        <f t="shared" si="45"/>
        <v>0</v>
      </c>
      <c r="AB80" s="175">
        <f>'QTY '!W80</f>
        <v>0</v>
      </c>
      <c r="AC80" s="175">
        <f t="shared" si="46"/>
        <v>0</v>
      </c>
      <c r="AD80" s="183"/>
      <c r="AE80" s="175">
        <f>ROUNDUP(IF('AS400 JEMBATAN'!$AK80&gt;='AS400 JEMBATAN'!$AJ80,'AS400 JEMBATAN'!AE80,$AK80/$AE$4)+$AM80,0)</f>
        <v>0</v>
      </c>
      <c r="AF80" s="175">
        <f>ROUNDUP(IF('AS400 JEMBATAN'!$AK80&gt;='AS400 JEMBATAN'!$AJ80,'AS400 JEMBATAN'!AF80,$AK80/$AE$4)+$AM80,0)</f>
        <v>0</v>
      </c>
      <c r="AG80" s="175">
        <f>ROUNDUP(IF('AS400 JEMBATAN'!$AK80&gt;='AS400 JEMBATAN'!$AJ80,'AS400 JEMBATAN'!AG80,$AK80/$AE$4)+$AM80,0)</f>
        <v>0</v>
      </c>
      <c r="AH80" s="175">
        <f>ROUNDUP(IF('AS400 JEMBATAN'!$AK80&gt;='AS400 JEMBATAN'!$AJ80,'AS400 JEMBATAN'!AH80,$AK80/$AE$4)+$AM80,0)</f>
        <v>0</v>
      </c>
      <c r="AI80" s="175"/>
      <c r="AJ80" s="175">
        <f t="shared" si="47"/>
        <v>0</v>
      </c>
      <c r="AK80" s="175">
        <f>'QTY '!Z80</f>
        <v>0</v>
      </c>
      <c r="AL80" s="175">
        <f t="shared" si="48"/>
        <v>0</v>
      </c>
      <c r="AM80" s="178"/>
      <c r="AN80" s="179">
        <f>+'AS400 JEMBATAN'!AN80</f>
        <v>0</v>
      </c>
      <c r="AO80" s="179">
        <f>+'AS400 JEMBATAN'!AO80</f>
        <v>0</v>
      </c>
      <c r="AP80" s="179">
        <f>+'AS400 JEMBATAN'!AP80</f>
        <v>0</v>
      </c>
      <c r="AQ80" s="179">
        <f>+'AS400 JEMBATAN'!AQ80</f>
        <v>0</v>
      </c>
      <c r="AR80" s="175"/>
      <c r="AS80" s="175">
        <f t="shared" si="49"/>
        <v>0</v>
      </c>
      <c r="AT80" s="175">
        <f>'QTY '!AC80</f>
        <v>0</v>
      </c>
      <c r="AU80" s="175">
        <f t="shared" si="50"/>
        <v>0</v>
      </c>
      <c r="AV80" s="178">
        <v>0</v>
      </c>
      <c r="AW80" s="180"/>
      <c r="AX80" s="180"/>
      <c r="AY80" s="180"/>
      <c r="AZ80" s="180"/>
      <c r="BA80" s="180"/>
    </row>
    <row r="81" spans="1:53" ht="18" customHeight="1" thickTop="1" thickBot="1">
      <c r="A81" s="210" t="str">
        <f>+'AS400 JEMBATAN'!A81</f>
        <v>BC111-62064-2</v>
      </c>
      <c r="B81" s="200" t="str">
        <f>+'AS400 JEMBATAN'!B81</f>
        <v>BC111-62064-2   0001</v>
      </c>
      <c r="C81" s="187">
        <f>'AS400 JEMBATAN'!C81</f>
        <v>0</v>
      </c>
      <c r="D81" s="175">
        <f>ROUNDUP(IF('AS400 JEMBATAN'!$J81&gt;='AS400 JEMBATAN'!$I81,'AS400 JEMBATAN'!D81,$J81/$D$4)+$L81,0)</f>
        <v>0</v>
      </c>
      <c r="E81" s="175">
        <f>ROUNDUP(IF('AS400 JEMBATAN'!$J81&gt;='AS400 JEMBATAN'!$I81,'AS400 JEMBATAN'!E81,$J81/$D$4)+$L81,0)</f>
        <v>0</v>
      </c>
      <c r="F81" s="175">
        <f>ROUNDUP(IF('AS400 JEMBATAN'!$J81&gt;='AS400 JEMBATAN'!$I81,'AS400 JEMBATAN'!F81,$J81/$D$4)+$L81,0)</f>
        <v>0</v>
      </c>
      <c r="G81" s="175">
        <f>ROUNDUP(IF('AS400 JEMBATAN'!$J81&gt;='AS400 JEMBATAN'!$I81,'AS400 JEMBATAN'!G81,$J81/$D$4)+$L81,0)</f>
        <v>0</v>
      </c>
      <c r="H81" s="175"/>
      <c r="I81" s="175">
        <f t="shared" si="41"/>
        <v>0</v>
      </c>
      <c r="J81" s="176">
        <f>'QTY '!Q81</f>
        <v>0</v>
      </c>
      <c r="K81" s="176">
        <f t="shared" si="42"/>
        <v>0</v>
      </c>
      <c r="L81" s="177"/>
      <c r="M81" s="175">
        <f>ROUNDUP(IF('AS400 JEMBATAN'!$S81&gt;='AS400 JEMBATAN'!$R81,'AS400 JEMBATAN'!M81,$S81/$M$4)+$U81,0)</f>
        <v>0</v>
      </c>
      <c r="N81" s="175">
        <f>ROUNDUP(IF('AS400 JEMBATAN'!$S81&gt;='AS400 JEMBATAN'!$R81,'AS400 JEMBATAN'!N81,$S81/$M$4)+$U81,0)</f>
        <v>0</v>
      </c>
      <c r="O81" s="175">
        <f>ROUNDUP(IF('AS400 JEMBATAN'!$S81&gt;='AS400 JEMBATAN'!$R81,'AS400 JEMBATAN'!O81,$S81/$M$4)+$U81,0)</f>
        <v>0</v>
      </c>
      <c r="P81" s="175">
        <f>ROUNDUP(IF('AS400 JEMBATAN'!$S81&gt;='AS400 JEMBATAN'!$R81,'AS400 JEMBATAN'!P81,$S81/$M$4)+$U81,0)</f>
        <v>0</v>
      </c>
      <c r="Q81" s="175">
        <f>ROUNDUP(IF('AS400 JEMBATAN'!$S81&gt;='AS400 JEMBATAN'!$R81,'AS400 JEMBATAN'!Q81,$S81/$M$4)+$U81,0)</f>
        <v>0</v>
      </c>
      <c r="R81" s="175">
        <f t="shared" si="43"/>
        <v>0</v>
      </c>
      <c r="S81" s="175">
        <f>'QTY '!T81</f>
        <v>0</v>
      </c>
      <c r="T81" s="176">
        <f t="shared" si="44"/>
        <v>0</v>
      </c>
      <c r="U81" s="178"/>
      <c r="V81" s="175">
        <f>ROUNDUP(IF('AS400 JEMBATAN'!$AB81&gt;='AS400 JEMBATAN'!$AA81,'AS400 JEMBATAN'!V81,$AB81/$V$4)+$AD81,0)</f>
        <v>0</v>
      </c>
      <c r="W81" s="175">
        <f>ROUNDUP(IF('AS400 JEMBATAN'!$AB81&gt;='AS400 JEMBATAN'!$AA81,'AS400 JEMBATAN'!W81,$AB81/$V$4)+$AD81,0)</f>
        <v>0</v>
      </c>
      <c r="X81" s="175">
        <f>ROUNDUP(IF('AS400 JEMBATAN'!$AB81&gt;='AS400 JEMBATAN'!$AA81,'AS400 JEMBATAN'!X81,$AB81/$V$4)+$AD81,0)</f>
        <v>0</v>
      </c>
      <c r="Y81" s="175">
        <f>ROUNDUP(IF('AS400 JEMBATAN'!$AB81&gt;='AS400 JEMBATAN'!$AA81,'AS400 JEMBATAN'!Y81,$AB81/$V$4)+$AD81,0)</f>
        <v>0</v>
      </c>
      <c r="Z81" s="175">
        <f>ROUNDUP(IF('AS400 JEMBATAN'!$AB81&gt;='AS400 JEMBATAN'!$AA81,'AS400 JEMBATAN'!Z81,$AB81/$V$4)+$AD81,0)</f>
        <v>0</v>
      </c>
      <c r="AA81" s="175">
        <f t="shared" si="45"/>
        <v>0</v>
      </c>
      <c r="AB81" s="175">
        <f>'QTY '!W81</f>
        <v>0</v>
      </c>
      <c r="AC81" s="175">
        <f t="shared" si="46"/>
        <v>0</v>
      </c>
      <c r="AD81" s="183"/>
      <c r="AE81" s="175">
        <f>ROUNDUP(IF('AS400 JEMBATAN'!$AK81&gt;='AS400 JEMBATAN'!$AJ81,'AS400 JEMBATAN'!AE81,$AK81/$AE$4)+$AM81,0)</f>
        <v>0</v>
      </c>
      <c r="AF81" s="175">
        <f>ROUNDUP(IF('AS400 JEMBATAN'!$AK81&gt;='AS400 JEMBATAN'!$AJ81,'AS400 JEMBATAN'!AF81,$AK81/$AE$4)+$AM81,0)</f>
        <v>0</v>
      </c>
      <c r="AG81" s="175">
        <f>ROUNDUP(IF('AS400 JEMBATAN'!$AK81&gt;='AS400 JEMBATAN'!$AJ81,'AS400 JEMBATAN'!AG81,$AK81/$AE$4)+$AM81,0)</f>
        <v>0</v>
      </c>
      <c r="AH81" s="175">
        <f>ROUNDUP(IF('AS400 JEMBATAN'!$AK81&gt;='AS400 JEMBATAN'!$AJ81,'AS400 JEMBATAN'!AH81,$AK81/$AE$4)+$AM81,0)</f>
        <v>0</v>
      </c>
      <c r="AI81" s="175"/>
      <c r="AJ81" s="175">
        <f t="shared" si="47"/>
        <v>0</v>
      </c>
      <c r="AK81" s="175">
        <f>'QTY '!Z81</f>
        <v>0</v>
      </c>
      <c r="AL81" s="175">
        <f t="shared" si="48"/>
        <v>0</v>
      </c>
      <c r="AM81" s="178"/>
      <c r="AN81" s="179">
        <f>+'AS400 JEMBATAN'!AN81</f>
        <v>0</v>
      </c>
      <c r="AO81" s="179">
        <f>+'AS400 JEMBATAN'!AO81</f>
        <v>0</v>
      </c>
      <c r="AP81" s="179">
        <f>+'AS400 JEMBATAN'!AP81</f>
        <v>0</v>
      </c>
      <c r="AQ81" s="179">
        <f>+'AS400 JEMBATAN'!AQ81</f>
        <v>0</v>
      </c>
      <c r="AR81" s="175"/>
      <c r="AS81" s="175">
        <f t="shared" si="49"/>
        <v>0</v>
      </c>
      <c r="AT81" s="175">
        <f>'QTY '!AC81</f>
        <v>0</v>
      </c>
      <c r="AU81" s="175">
        <f t="shared" si="50"/>
        <v>0</v>
      </c>
      <c r="AV81" s="178">
        <v>0</v>
      </c>
      <c r="AW81" s="180"/>
      <c r="AX81" s="180"/>
      <c r="AY81" s="180"/>
      <c r="AZ81" s="180"/>
      <c r="BA81" s="180"/>
    </row>
    <row r="82" spans="1:53" ht="18" customHeight="1" thickTop="1" thickBot="1">
      <c r="A82" s="210" t="str">
        <f>+'AS400 JEMBATAN'!A82</f>
        <v>BC111-62215-2</v>
      </c>
      <c r="B82" s="200" t="str">
        <f>+'AS400 JEMBATAN'!B82</f>
        <v>BC111-62215-2   0001</v>
      </c>
      <c r="C82" s="187">
        <f>'AS400 JEMBATAN'!C82</f>
        <v>0</v>
      </c>
      <c r="D82" s="175">
        <f>ROUNDUP(IF('AS400 JEMBATAN'!$J82&gt;='AS400 JEMBATAN'!$I82,'AS400 JEMBATAN'!D82,$J82/$D$4)+$L82,0)</f>
        <v>20</v>
      </c>
      <c r="E82" s="175">
        <f>ROUNDUP(IF('AS400 JEMBATAN'!$J82&gt;='AS400 JEMBATAN'!$I82,'AS400 JEMBATAN'!E82,$J82/$D$4)+$L82,0)</f>
        <v>0</v>
      </c>
      <c r="F82" s="175">
        <f>ROUNDUP(IF('AS400 JEMBATAN'!$J82&gt;='AS400 JEMBATAN'!$I82,'AS400 JEMBATAN'!F82,$J82/$D$4)+$L82,0)</f>
        <v>20</v>
      </c>
      <c r="G82" s="175">
        <f>ROUNDUP(IF('AS400 JEMBATAN'!$J82&gt;='AS400 JEMBATAN'!$I82,'AS400 JEMBATAN'!G82,$J82/$D$4)+$L82,0)</f>
        <v>0</v>
      </c>
      <c r="H82" s="175"/>
      <c r="I82" s="175">
        <f t="shared" si="41"/>
        <v>40</v>
      </c>
      <c r="J82" s="176">
        <f>'QTY '!Q82</f>
        <v>40</v>
      </c>
      <c r="K82" s="176">
        <f t="shared" si="42"/>
        <v>0</v>
      </c>
      <c r="L82" s="177"/>
      <c r="M82" s="175">
        <f>ROUNDUP(IF('AS400 JEMBATAN'!$S82&gt;='AS400 JEMBATAN'!$R82,'AS400 JEMBATAN'!M82,$S82/$M$4)+$U82,0)</f>
        <v>0</v>
      </c>
      <c r="N82" s="175">
        <f>ROUNDUP(IF('AS400 JEMBATAN'!$S82&gt;='AS400 JEMBATAN'!$R82,'AS400 JEMBATAN'!N82,$S82/$M$4)+$U82,0)</f>
        <v>0</v>
      </c>
      <c r="O82" s="175">
        <f>ROUNDUP(IF('AS400 JEMBATAN'!$S82&gt;='AS400 JEMBATAN'!$R82,'AS400 JEMBATAN'!O82,$S82/$M$4)+$U82,0)</f>
        <v>0</v>
      </c>
      <c r="P82" s="175">
        <f>ROUNDUP(IF('AS400 JEMBATAN'!$S82&gt;='AS400 JEMBATAN'!$R82,'AS400 JEMBATAN'!P82,$S82/$M$4)+$U82,0)</f>
        <v>20</v>
      </c>
      <c r="Q82" s="175">
        <f>ROUNDUP(IF('AS400 JEMBATAN'!$S82&gt;='AS400 JEMBATAN'!$R82,'AS400 JEMBATAN'!Q82,$S82/$M$4)+$U82,0)</f>
        <v>0</v>
      </c>
      <c r="R82" s="175">
        <f t="shared" si="43"/>
        <v>20</v>
      </c>
      <c r="S82" s="175">
        <f>'QTY '!T82</f>
        <v>20</v>
      </c>
      <c r="T82" s="176">
        <f t="shared" si="44"/>
        <v>0</v>
      </c>
      <c r="U82" s="178"/>
      <c r="V82" s="175">
        <f>ROUNDUP(IF('AS400 JEMBATAN'!$AB82&gt;='AS400 JEMBATAN'!$AA82,'AS400 JEMBATAN'!V82,$AB82/$V$4)+$AD82,0)</f>
        <v>0</v>
      </c>
      <c r="W82" s="175">
        <f>ROUNDUP(IF('AS400 JEMBATAN'!$AB82&gt;='AS400 JEMBATAN'!$AA82,'AS400 JEMBATAN'!W82,$AB82/$V$4)+$AD82,0)</f>
        <v>0</v>
      </c>
      <c r="X82" s="175">
        <f>ROUNDUP(IF('AS400 JEMBATAN'!$AB82&gt;='AS400 JEMBATAN'!$AA82,'AS400 JEMBATAN'!X82,$AB82/$V$4)+$AD82,0)</f>
        <v>20</v>
      </c>
      <c r="Y82" s="175">
        <f>ROUNDUP(IF('AS400 JEMBATAN'!$AB82&gt;='AS400 JEMBATAN'!$AA82,'AS400 JEMBATAN'!Y82,$AB82/$V$4)+$AD82,0)</f>
        <v>0</v>
      </c>
      <c r="Z82" s="175">
        <f>ROUNDUP(IF('AS400 JEMBATAN'!$AB82&gt;='AS400 JEMBATAN'!$AA82,'AS400 JEMBATAN'!Z82,$AB82/$V$4)+$AD82,0)</f>
        <v>0</v>
      </c>
      <c r="AA82" s="175">
        <f t="shared" si="45"/>
        <v>20</v>
      </c>
      <c r="AB82" s="175">
        <f>'QTY '!W82</f>
        <v>20</v>
      </c>
      <c r="AC82" s="175">
        <f t="shared" si="46"/>
        <v>0</v>
      </c>
      <c r="AD82" s="183"/>
      <c r="AE82" s="175">
        <f>ROUNDUP(IF('AS400 JEMBATAN'!$AK82&gt;='AS400 JEMBATAN'!$AJ82,'AS400 JEMBATAN'!AE82,$AK82/$AE$4)+$AM82,0)</f>
        <v>5</v>
      </c>
      <c r="AF82" s="175">
        <f>ROUNDUP(IF('AS400 JEMBATAN'!$AK82&gt;='AS400 JEMBATAN'!$AJ82,'AS400 JEMBATAN'!AF82,$AK82/$AE$4)+$AM82,0)</f>
        <v>5</v>
      </c>
      <c r="AG82" s="175">
        <f>ROUNDUP(IF('AS400 JEMBATAN'!$AK82&gt;='AS400 JEMBATAN'!$AJ82,'AS400 JEMBATAN'!AG82,$AK82/$AE$4)+$AM82,0)</f>
        <v>5</v>
      </c>
      <c r="AH82" s="175">
        <f>ROUNDUP(IF('AS400 JEMBATAN'!$AK82&gt;='AS400 JEMBATAN'!$AJ82,'AS400 JEMBATAN'!AH82,$AK82/$AE$4)+$AM82,0)</f>
        <v>5</v>
      </c>
      <c r="AI82" s="175"/>
      <c r="AJ82" s="175">
        <f t="shared" si="47"/>
        <v>20</v>
      </c>
      <c r="AK82" s="175">
        <f>'QTY '!Z82</f>
        <v>20</v>
      </c>
      <c r="AL82" s="175">
        <f t="shared" si="48"/>
        <v>0</v>
      </c>
      <c r="AM82" s="178"/>
      <c r="AN82" s="179">
        <f>+'AS400 JEMBATAN'!AN82</f>
        <v>5</v>
      </c>
      <c r="AO82" s="179">
        <f>+'AS400 JEMBATAN'!AO82</f>
        <v>5</v>
      </c>
      <c r="AP82" s="179">
        <f>+'AS400 JEMBATAN'!AP82</f>
        <v>5</v>
      </c>
      <c r="AQ82" s="179">
        <f>+'AS400 JEMBATAN'!AQ82</f>
        <v>5</v>
      </c>
      <c r="AR82" s="175"/>
      <c r="AS82" s="175">
        <f t="shared" si="49"/>
        <v>20</v>
      </c>
      <c r="AT82" s="175">
        <f>'QTY '!AC82</f>
        <v>20</v>
      </c>
      <c r="AU82" s="175">
        <f t="shared" si="50"/>
        <v>0</v>
      </c>
      <c r="AV82" s="178">
        <v>0</v>
      </c>
      <c r="AW82" s="180"/>
      <c r="AX82" s="180"/>
      <c r="AY82" s="180"/>
      <c r="AZ82" s="180"/>
      <c r="BA82" s="180"/>
    </row>
    <row r="83" spans="1:53" ht="18" customHeight="1" thickTop="1" thickBot="1">
      <c r="A83" s="210" t="str">
        <f>+'AS400 JEMBATAN'!A83</f>
        <v>BC115-5CC80-1</v>
      </c>
      <c r="B83" s="200" t="str">
        <f>+'AS400 JEMBATAN'!B83</f>
        <v>BC115-5CC80-1   0001</v>
      </c>
      <c r="C83" s="187">
        <f>'AS400 JEMBATAN'!C83</f>
        <v>0</v>
      </c>
      <c r="D83" s="175">
        <f>ROUNDUP(IF('AS400 JEMBATAN'!$J83&gt;='AS400 JEMBATAN'!$I83,'AS400 JEMBATAN'!D83,$J83/$D$4)+$L83,0)</f>
        <v>540</v>
      </c>
      <c r="E83" s="175">
        <f>ROUNDUP(IF('AS400 JEMBATAN'!$J83&gt;='AS400 JEMBATAN'!$I83,'AS400 JEMBATAN'!E83,$J83/$D$4)+$L83,0)</f>
        <v>780</v>
      </c>
      <c r="F83" s="175">
        <f>ROUNDUP(IF('AS400 JEMBATAN'!$J83&gt;='AS400 JEMBATAN'!$I83,'AS400 JEMBATAN'!F83,$J83/$D$4)+$L83,0)</f>
        <v>900</v>
      </c>
      <c r="G83" s="175">
        <f>ROUNDUP(IF('AS400 JEMBATAN'!$J83&gt;='AS400 JEMBATAN'!$I83,'AS400 JEMBATAN'!G83,$J83/$D$4)+$L83,0)</f>
        <v>900</v>
      </c>
      <c r="H83" s="175"/>
      <c r="I83" s="175">
        <f t="shared" si="41"/>
        <v>3120</v>
      </c>
      <c r="J83" s="176">
        <f>'QTY '!Q83</f>
        <v>3120</v>
      </c>
      <c r="K83" s="176">
        <f t="shared" si="42"/>
        <v>0</v>
      </c>
      <c r="L83" s="177"/>
      <c r="M83" s="175">
        <f>ROUNDUP(IF('AS400 JEMBATAN'!$S83&gt;='AS400 JEMBATAN'!$R83,'AS400 JEMBATAN'!M83,$S83/$M$4)+$U83,0)</f>
        <v>1080</v>
      </c>
      <c r="N83" s="175">
        <f>ROUNDUP(IF('AS400 JEMBATAN'!$S83&gt;='AS400 JEMBATAN'!$R83,'AS400 JEMBATAN'!N83,$S83/$M$4)+$U83,0)</f>
        <v>600</v>
      </c>
      <c r="O83" s="175">
        <f>ROUNDUP(IF('AS400 JEMBATAN'!$S83&gt;='AS400 JEMBATAN'!$R83,'AS400 JEMBATAN'!O83,$S83/$M$4)+$U83,0)</f>
        <v>0</v>
      </c>
      <c r="P83" s="175">
        <f>ROUNDUP(IF('AS400 JEMBATAN'!$S83&gt;='AS400 JEMBATAN'!$R83,'AS400 JEMBATAN'!P83,$S83/$M$4)+$U83,0)</f>
        <v>780</v>
      </c>
      <c r="Q83" s="175">
        <f>ROUNDUP(IF('AS400 JEMBATAN'!$S83&gt;='AS400 JEMBATAN'!$R83,'AS400 JEMBATAN'!Q83,$S83/$M$4)+$U83,0)</f>
        <v>0</v>
      </c>
      <c r="R83" s="175">
        <f t="shared" si="43"/>
        <v>2460</v>
      </c>
      <c r="S83" s="175">
        <f>'QTY '!T83</f>
        <v>2460</v>
      </c>
      <c r="T83" s="176">
        <f t="shared" si="44"/>
        <v>0</v>
      </c>
      <c r="U83" s="178"/>
      <c r="V83" s="175">
        <f>ROUNDUP(IF('AS400 JEMBATAN'!$AB83&gt;='AS400 JEMBATAN'!$AA83,'AS400 JEMBATAN'!V83,$AB83/$V$4)+$AD83,0)</f>
        <v>540</v>
      </c>
      <c r="W83" s="175">
        <f>ROUNDUP(IF('AS400 JEMBATAN'!$AB83&gt;='AS400 JEMBATAN'!$AA83,'AS400 JEMBATAN'!W83,$AB83/$V$4)+$AD83,0)</f>
        <v>480</v>
      </c>
      <c r="X83" s="175">
        <f>ROUNDUP(IF('AS400 JEMBATAN'!$AB83&gt;='AS400 JEMBATAN'!$AA83,'AS400 JEMBATAN'!X83,$AB83/$V$4)+$AD83,0)</f>
        <v>480</v>
      </c>
      <c r="Y83" s="175">
        <f>ROUNDUP(IF('AS400 JEMBATAN'!$AB83&gt;='AS400 JEMBATAN'!$AA83,'AS400 JEMBATAN'!Y83,$AB83/$V$4)+$AD83,0)</f>
        <v>360</v>
      </c>
      <c r="Z83" s="175">
        <f>ROUNDUP(IF('AS400 JEMBATAN'!$AB83&gt;='AS400 JEMBATAN'!$AA83,'AS400 JEMBATAN'!Z83,$AB83/$V$4)+$AD83,0)</f>
        <v>0</v>
      </c>
      <c r="AA83" s="175">
        <f t="shared" si="45"/>
        <v>1860</v>
      </c>
      <c r="AB83" s="175">
        <f>'QTY '!W83</f>
        <v>1860</v>
      </c>
      <c r="AC83" s="175">
        <f t="shared" si="46"/>
        <v>0</v>
      </c>
      <c r="AD83" s="183"/>
      <c r="AE83" s="175">
        <f>ROUNDUP(IF('AS400 JEMBATAN'!$AK83&gt;='AS400 JEMBATAN'!$AJ83,'AS400 JEMBATAN'!AE83,$AK83/$AE$4)+$AM83,0)</f>
        <v>360</v>
      </c>
      <c r="AF83" s="175">
        <f>ROUNDUP(IF('AS400 JEMBATAN'!$AK83&gt;='AS400 JEMBATAN'!$AJ83,'AS400 JEMBATAN'!AF83,$AK83/$AE$4)+$AM83,0)</f>
        <v>360</v>
      </c>
      <c r="AG83" s="175">
        <f>ROUNDUP(IF('AS400 JEMBATAN'!$AK83&gt;='AS400 JEMBATAN'!$AJ83,'AS400 JEMBATAN'!AG83,$AK83/$AE$4)+$AM83,0)</f>
        <v>360</v>
      </c>
      <c r="AH83" s="175">
        <f>ROUNDUP(IF('AS400 JEMBATAN'!$AK83&gt;='AS400 JEMBATAN'!$AJ83,'AS400 JEMBATAN'!AH83,$AK83/$AE$4)+$AM83,0)</f>
        <v>360</v>
      </c>
      <c r="AI83" s="175"/>
      <c r="AJ83" s="175">
        <f t="shared" si="47"/>
        <v>1440</v>
      </c>
      <c r="AK83" s="175">
        <f>'QTY '!Z83</f>
        <v>1440</v>
      </c>
      <c r="AL83" s="175">
        <f t="shared" si="48"/>
        <v>0</v>
      </c>
      <c r="AM83" s="178"/>
      <c r="AN83" s="179">
        <f>+'AS400 JEMBATAN'!AN83</f>
        <v>360</v>
      </c>
      <c r="AO83" s="179">
        <f>+'AS400 JEMBATAN'!AO83</f>
        <v>360</v>
      </c>
      <c r="AP83" s="179">
        <f>+'AS400 JEMBATAN'!AP83</f>
        <v>360</v>
      </c>
      <c r="AQ83" s="179">
        <f>+'AS400 JEMBATAN'!AQ83</f>
        <v>360</v>
      </c>
      <c r="AR83" s="175"/>
      <c r="AS83" s="175">
        <f t="shared" si="49"/>
        <v>1440</v>
      </c>
      <c r="AT83" s="175">
        <f>'QTY '!AC83</f>
        <v>1440</v>
      </c>
      <c r="AU83" s="175">
        <f t="shared" si="50"/>
        <v>0</v>
      </c>
      <c r="AV83" s="178">
        <v>0</v>
      </c>
      <c r="AW83" s="180"/>
      <c r="AX83" s="180"/>
      <c r="AY83" s="180"/>
      <c r="AZ83" s="180"/>
      <c r="BA83" s="180"/>
    </row>
    <row r="84" spans="1:53" ht="18" customHeight="1" thickTop="1">
      <c r="A84" s="210" t="str">
        <f>+'AS400 JEMBATAN'!A84</f>
        <v>BC115-5CC80-2</v>
      </c>
      <c r="B84" s="200" t="str">
        <f>+'AS400 JEMBATAN'!B84</f>
        <v>BC115-5CC80-2   0001</v>
      </c>
      <c r="C84" s="187">
        <f>'AS400 JEMBATAN'!C84</f>
        <v>0</v>
      </c>
      <c r="D84" s="175">
        <f>ROUNDUP(IF('AS400 JEMBATAN'!$J84&gt;='AS400 JEMBATAN'!$I84,'AS400 JEMBATAN'!D84,$J84/$D$4)+$L84,0)</f>
        <v>480</v>
      </c>
      <c r="E84" s="175">
        <f>ROUNDUP(IF('AS400 JEMBATAN'!$J84&gt;='AS400 JEMBATAN'!$I84,'AS400 JEMBATAN'!E84,$J84/$D$4)+$L84,0)</f>
        <v>780</v>
      </c>
      <c r="F84" s="175">
        <f>ROUNDUP(IF('AS400 JEMBATAN'!$J84&gt;='AS400 JEMBATAN'!$I84,'AS400 JEMBATAN'!F84,$J84/$D$4)+$L84,0)</f>
        <v>900</v>
      </c>
      <c r="G84" s="175">
        <f>ROUNDUP(IF('AS400 JEMBATAN'!$J84&gt;='AS400 JEMBATAN'!$I84,'AS400 JEMBATAN'!G84,$J84/$D$4)+$L84,0)</f>
        <v>900</v>
      </c>
      <c r="H84" s="175"/>
      <c r="I84" s="175">
        <f t="shared" si="41"/>
        <v>3060</v>
      </c>
      <c r="J84" s="176">
        <f>'QTY '!Q84</f>
        <v>3060</v>
      </c>
      <c r="K84" s="176">
        <f t="shared" si="42"/>
        <v>0</v>
      </c>
      <c r="L84" s="177"/>
      <c r="M84" s="175">
        <f>ROUNDUP(IF('AS400 JEMBATAN'!$S84&gt;='AS400 JEMBATAN'!$R84,'AS400 JEMBATAN'!M84,$S84/$M$4)+$U84,0)</f>
        <v>1080</v>
      </c>
      <c r="N84" s="175">
        <f>ROUNDUP(IF('AS400 JEMBATAN'!$S84&gt;='AS400 JEMBATAN'!$R84,'AS400 JEMBATAN'!N84,$S84/$M$4)+$U84,0)</f>
        <v>600</v>
      </c>
      <c r="O84" s="175">
        <f>ROUNDUP(IF('AS400 JEMBATAN'!$S84&gt;='AS400 JEMBATAN'!$R84,'AS400 JEMBATAN'!O84,$S84/$M$4)+$U84,0)</f>
        <v>0</v>
      </c>
      <c r="P84" s="175">
        <f>ROUNDUP(IF('AS400 JEMBATAN'!$S84&gt;='AS400 JEMBATAN'!$R84,'AS400 JEMBATAN'!P84,$S84/$M$4)+$U84,0)</f>
        <v>780</v>
      </c>
      <c r="Q84" s="175">
        <f>ROUNDUP(IF('AS400 JEMBATAN'!$S84&gt;='AS400 JEMBATAN'!$R84,'AS400 JEMBATAN'!Q84,$S84/$M$4)+$U84,0)</f>
        <v>0</v>
      </c>
      <c r="R84" s="175">
        <f t="shared" si="43"/>
        <v>2460</v>
      </c>
      <c r="S84" s="175">
        <f>'QTY '!T84</f>
        <v>2460</v>
      </c>
      <c r="T84" s="176">
        <f t="shared" si="44"/>
        <v>0</v>
      </c>
      <c r="U84" s="178"/>
      <c r="V84" s="175">
        <f>ROUNDUP(IF('AS400 JEMBATAN'!$AB84&gt;='AS400 JEMBATAN'!$AA84,'AS400 JEMBATAN'!V84,$AB84/$V$4)+$AD84,0)</f>
        <v>540</v>
      </c>
      <c r="W84" s="175">
        <f>ROUNDUP(IF('AS400 JEMBATAN'!$AB84&gt;='AS400 JEMBATAN'!$AA84,'AS400 JEMBATAN'!W84,$AB84/$V$4)+$AD84,0)</f>
        <v>480</v>
      </c>
      <c r="X84" s="175">
        <f>ROUNDUP(IF('AS400 JEMBATAN'!$AB84&gt;='AS400 JEMBATAN'!$AA84,'AS400 JEMBATAN'!X84,$AB84/$V$4)+$AD84,0)</f>
        <v>480</v>
      </c>
      <c r="Y84" s="175">
        <f>ROUNDUP(IF('AS400 JEMBATAN'!$AB84&gt;='AS400 JEMBATAN'!$AA84,'AS400 JEMBATAN'!Y84,$AB84/$V$4)+$AD84,0)</f>
        <v>360</v>
      </c>
      <c r="Z84" s="175">
        <f>ROUNDUP(IF('AS400 JEMBATAN'!$AB84&gt;='AS400 JEMBATAN'!$AA84,'AS400 JEMBATAN'!Z84,$AB84/$V$4)+$AD84,0)</f>
        <v>0</v>
      </c>
      <c r="AA84" s="175">
        <f t="shared" si="45"/>
        <v>1860</v>
      </c>
      <c r="AB84" s="175">
        <f>'QTY '!W84</f>
        <v>1860</v>
      </c>
      <c r="AC84" s="175">
        <f t="shared" si="46"/>
        <v>0</v>
      </c>
      <c r="AD84" s="183"/>
      <c r="AE84" s="175">
        <f>ROUNDUP(IF('AS400 JEMBATAN'!$AK84&gt;='AS400 JEMBATAN'!$AJ84,'AS400 JEMBATAN'!AE84,$AK84/$AE$4)+$AM84,0)</f>
        <v>360</v>
      </c>
      <c r="AF84" s="175">
        <f>ROUNDUP(IF('AS400 JEMBATAN'!$AK84&gt;='AS400 JEMBATAN'!$AJ84,'AS400 JEMBATAN'!AF84,$AK84/$AE$4)+$AM84,0)</f>
        <v>360</v>
      </c>
      <c r="AG84" s="175">
        <f>ROUNDUP(IF('AS400 JEMBATAN'!$AK84&gt;='AS400 JEMBATAN'!$AJ84,'AS400 JEMBATAN'!AG84,$AK84/$AE$4)+$AM84,0)</f>
        <v>360</v>
      </c>
      <c r="AH84" s="175">
        <f>ROUNDUP(IF('AS400 JEMBATAN'!$AK84&gt;='AS400 JEMBATAN'!$AJ84,'AS400 JEMBATAN'!AH84,$AK84/$AE$4)+$AM84,0)</f>
        <v>360</v>
      </c>
      <c r="AI84" s="175"/>
      <c r="AJ84" s="175">
        <f t="shared" si="47"/>
        <v>1440</v>
      </c>
      <c r="AK84" s="175">
        <f>'QTY '!Z84</f>
        <v>1440</v>
      </c>
      <c r="AL84" s="175">
        <f t="shared" si="48"/>
        <v>0</v>
      </c>
      <c r="AM84" s="178"/>
      <c r="AN84" s="179">
        <f>+'AS400 JEMBATAN'!AN84</f>
        <v>360</v>
      </c>
      <c r="AO84" s="179">
        <f>+'AS400 JEMBATAN'!AO84</f>
        <v>360</v>
      </c>
      <c r="AP84" s="179">
        <f>+'AS400 JEMBATAN'!AP84</f>
        <v>360</v>
      </c>
      <c r="AQ84" s="179">
        <f>+'AS400 JEMBATAN'!AQ84</f>
        <v>360</v>
      </c>
      <c r="AR84" s="175"/>
      <c r="AS84" s="175">
        <f t="shared" si="49"/>
        <v>1440</v>
      </c>
      <c r="AT84" s="175">
        <f>'QTY '!AC84</f>
        <v>1440</v>
      </c>
      <c r="AU84" s="175">
        <f t="shared" si="50"/>
        <v>0</v>
      </c>
      <c r="AV84" s="178">
        <v>0</v>
      </c>
      <c r="AW84" s="180"/>
      <c r="AX84" s="180"/>
      <c r="AY84" s="180"/>
      <c r="AZ84" s="180"/>
      <c r="BA84" s="180"/>
    </row>
    <row r="85" spans="1:53" ht="18.75">
      <c r="B85" s="213" t="s">
        <v>117</v>
      </c>
      <c r="C85" s="214"/>
      <c r="D85" s="256">
        <f>SUM(D9:D84)</f>
        <v>16150</v>
      </c>
      <c r="E85" s="256">
        <f t="shared" ref="E85:AV85" si="51">SUM(E9:E84)</f>
        <v>17020</v>
      </c>
      <c r="F85" s="256">
        <f t="shared" si="51"/>
        <v>19830</v>
      </c>
      <c r="G85" s="256">
        <f t="shared" si="51"/>
        <v>19980</v>
      </c>
      <c r="H85" s="256">
        <f t="shared" si="51"/>
        <v>0</v>
      </c>
      <c r="I85" s="256">
        <f t="shared" si="51"/>
        <v>72980</v>
      </c>
      <c r="J85" s="256">
        <f t="shared" si="51"/>
        <v>72980</v>
      </c>
      <c r="K85" s="256">
        <f t="shared" si="51"/>
        <v>0</v>
      </c>
      <c r="L85" s="256">
        <f t="shared" si="51"/>
        <v>0</v>
      </c>
      <c r="M85" s="256">
        <f t="shared" si="51"/>
        <v>23440</v>
      </c>
      <c r="N85" s="256">
        <f t="shared" si="51"/>
        <v>16120</v>
      </c>
      <c r="O85" s="256">
        <f t="shared" si="51"/>
        <v>0</v>
      </c>
      <c r="P85" s="256">
        <f t="shared" si="51"/>
        <v>25000</v>
      </c>
      <c r="Q85" s="256">
        <f t="shared" si="51"/>
        <v>0</v>
      </c>
      <c r="R85" s="256">
        <f t="shared" si="51"/>
        <v>64560</v>
      </c>
      <c r="S85" s="256">
        <f t="shared" si="51"/>
        <v>64560</v>
      </c>
      <c r="T85" s="256">
        <f t="shared" si="51"/>
        <v>0</v>
      </c>
      <c r="U85" s="256">
        <f t="shared" si="51"/>
        <v>0</v>
      </c>
      <c r="V85" s="256">
        <f t="shared" si="51"/>
        <v>20670</v>
      </c>
      <c r="W85" s="256">
        <f t="shared" si="51"/>
        <v>16230</v>
      </c>
      <c r="X85" s="256">
        <f t="shared" si="51"/>
        <v>19560</v>
      </c>
      <c r="Y85" s="256">
        <f t="shared" si="51"/>
        <v>18330</v>
      </c>
      <c r="Z85" s="256">
        <f t="shared" si="51"/>
        <v>0</v>
      </c>
      <c r="AA85" s="256">
        <f t="shared" si="51"/>
        <v>74790</v>
      </c>
      <c r="AB85" s="256">
        <f t="shared" si="51"/>
        <v>74790</v>
      </c>
      <c r="AC85" s="256">
        <f t="shared" si="51"/>
        <v>0</v>
      </c>
      <c r="AD85" s="256">
        <f t="shared" si="51"/>
        <v>0</v>
      </c>
      <c r="AE85" s="256">
        <f t="shared" si="51"/>
        <v>21142</v>
      </c>
      <c r="AF85" s="256">
        <f t="shared" si="51"/>
        <v>21142</v>
      </c>
      <c r="AG85" s="256">
        <f t="shared" si="51"/>
        <v>21142</v>
      </c>
      <c r="AH85" s="256">
        <f t="shared" si="51"/>
        <v>21142</v>
      </c>
      <c r="AI85" s="256">
        <f t="shared" si="51"/>
        <v>0</v>
      </c>
      <c r="AJ85" s="256">
        <f t="shared" si="51"/>
        <v>84568</v>
      </c>
      <c r="AK85" s="256">
        <f t="shared" si="51"/>
        <v>84560</v>
      </c>
      <c r="AL85" s="256">
        <f t="shared" si="51"/>
        <v>-4</v>
      </c>
      <c r="AM85" s="256">
        <f t="shared" si="51"/>
        <v>0</v>
      </c>
      <c r="AN85" s="256">
        <f t="shared" si="51"/>
        <v>21140</v>
      </c>
      <c r="AO85" s="256">
        <f t="shared" si="51"/>
        <v>21140</v>
      </c>
      <c r="AP85" s="256">
        <f t="shared" si="51"/>
        <v>21140</v>
      </c>
      <c r="AQ85" s="256">
        <f t="shared" si="51"/>
        <v>21140</v>
      </c>
      <c r="AR85" s="256">
        <f t="shared" si="51"/>
        <v>0</v>
      </c>
      <c r="AS85" s="256">
        <f t="shared" si="51"/>
        <v>84560</v>
      </c>
      <c r="AT85" s="256">
        <f>SUM(AT9:AT84)</f>
        <v>84560</v>
      </c>
      <c r="AU85" s="256">
        <f t="shared" si="51"/>
        <v>0</v>
      </c>
      <c r="AV85" s="256">
        <f t="shared" si="51"/>
        <v>0</v>
      </c>
    </row>
    <row r="86" spans="1:53" ht="15">
      <c r="B86" s="182"/>
      <c r="C86" s="269" t="s">
        <v>200</v>
      </c>
      <c r="D86" s="117">
        <f>+SUM(D9:D55)</f>
        <v>11110</v>
      </c>
      <c r="E86" s="117">
        <f t="shared" ref="E86:AV86" si="52">+SUM(E9:E55)</f>
        <v>11400</v>
      </c>
      <c r="F86" s="117">
        <f t="shared" si="52"/>
        <v>13770</v>
      </c>
      <c r="G86" s="117">
        <f t="shared" si="52"/>
        <v>13910</v>
      </c>
      <c r="H86" s="117">
        <f t="shared" si="52"/>
        <v>0</v>
      </c>
      <c r="I86" s="117">
        <f t="shared" si="52"/>
        <v>50190</v>
      </c>
      <c r="J86" s="117">
        <f t="shared" si="52"/>
        <v>50190</v>
      </c>
      <c r="K86" s="117">
        <f t="shared" si="52"/>
        <v>0</v>
      </c>
      <c r="L86" s="117">
        <f t="shared" si="52"/>
        <v>0</v>
      </c>
      <c r="M86" s="117">
        <f t="shared" si="52"/>
        <v>16240</v>
      </c>
      <c r="N86" s="117">
        <f t="shared" si="52"/>
        <v>10940</v>
      </c>
      <c r="O86" s="117">
        <f t="shared" si="52"/>
        <v>0</v>
      </c>
      <c r="P86" s="117">
        <f t="shared" si="52"/>
        <v>16660</v>
      </c>
      <c r="Q86" s="117">
        <f t="shared" si="52"/>
        <v>0</v>
      </c>
      <c r="R86" s="117">
        <f t="shared" si="52"/>
        <v>43840</v>
      </c>
      <c r="S86" s="117">
        <f t="shared" si="52"/>
        <v>43840</v>
      </c>
      <c r="T86" s="117">
        <f t="shared" si="52"/>
        <v>0</v>
      </c>
      <c r="U86" s="117">
        <f t="shared" si="52"/>
        <v>0</v>
      </c>
      <c r="V86" s="117">
        <f t="shared" si="52"/>
        <v>13890</v>
      </c>
      <c r="W86" s="117">
        <f t="shared" si="52"/>
        <v>10850</v>
      </c>
      <c r="X86" s="117">
        <f t="shared" si="52"/>
        <v>13340</v>
      </c>
      <c r="Y86" s="117">
        <f t="shared" si="52"/>
        <v>13090</v>
      </c>
      <c r="Z86" s="117">
        <f t="shared" si="52"/>
        <v>0</v>
      </c>
      <c r="AA86" s="117">
        <f t="shared" si="52"/>
        <v>51170</v>
      </c>
      <c r="AB86" s="117">
        <f t="shared" si="52"/>
        <v>51170</v>
      </c>
      <c r="AC86" s="117">
        <f t="shared" si="52"/>
        <v>0</v>
      </c>
      <c r="AD86" s="117">
        <f t="shared" si="52"/>
        <v>0</v>
      </c>
      <c r="AE86" s="117">
        <f t="shared" si="52"/>
        <v>15364</v>
      </c>
      <c r="AF86" s="117">
        <f t="shared" si="52"/>
        <v>15364</v>
      </c>
      <c r="AG86" s="117">
        <f t="shared" si="52"/>
        <v>15364</v>
      </c>
      <c r="AH86" s="117">
        <f t="shared" si="52"/>
        <v>15364</v>
      </c>
      <c r="AI86" s="117">
        <f t="shared" si="52"/>
        <v>0</v>
      </c>
      <c r="AJ86" s="117">
        <f t="shared" si="52"/>
        <v>61456</v>
      </c>
      <c r="AK86" s="117">
        <f t="shared" si="52"/>
        <v>61450</v>
      </c>
      <c r="AL86" s="117">
        <f t="shared" si="52"/>
        <v>-3</v>
      </c>
      <c r="AM86" s="117">
        <f t="shared" si="52"/>
        <v>0</v>
      </c>
      <c r="AN86" s="117">
        <f t="shared" si="52"/>
        <v>15362.5</v>
      </c>
      <c r="AO86" s="117">
        <f t="shared" si="52"/>
        <v>15362.5</v>
      </c>
      <c r="AP86" s="117">
        <f t="shared" si="52"/>
        <v>15362.5</v>
      </c>
      <c r="AQ86" s="117">
        <f t="shared" si="52"/>
        <v>15362.5</v>
      </c>
      <c r="AR86" s="117">
        <f t="shared" si="52"/>
        <v>0</v>
      </c>
      <c r="AS86" s="117">
        <f t="shared" si="52"/>
        <v>61450</v>
      </c>
      <c r="AT86" s="117">
        <f t="shared" si="52"/>
        <v>61450</v>
      </c>
      <c r="AU86" s="117">
        <f t="shared" si="52"/>
        <v>0</v>
      </c>
      <c r="AV86" s="117">
        <f t="shared" si="52"/>
        <v>0</v>
      </c>
    </row>
    <row r="87" spans="1:53">
      <c r="C87" s="269" t="s">
        <v>297</v>
      </c>
      <c r="D87" s="117">
        <f>+SUM(D56:D84)</f>
        <v>5040</v>
      </c>
      <c r="E87" s="117">
        <f t="shared" ref="E87:AV87" si="53">+SUM(E56:E84)</f>
        <v>5620</v>
      </c>
      <c r="F87" s="117">
        <f t="shared" si="53"/>
        <v>6060</v>
      </c>
      <c r="G87" s="117">
        <f t="shared" si="53"/>
        <v>6070</v>
      </c>
      <c r="H87" s="117">
        <f t="shared" si="53"/>
        <v>0</v>
      </c>
      <c r="I87" s="117">
        <f t="shared" si="53"/>
        <v>22790</v>
      </c>
      <c r="J87" s="117">
        <f t="shared" si="53"/>
        <v>22790</v>
      </c>
      <c r="K87" s="117">
        <f t="shared" si="53"/>
        <v>0</v>
      </c>
      <c r="L87" s="117">
        <f t="shared" si="53"/>
        <v>0</v>
      </c>
      <c r="M87" s="117">
        <f t="shared" si="53"/>
        <v>7200</v>
      </c>
      <c r="N87" s="117">
        <f t="shared" si="53"/>
        <v>5180</v>
      </c>
      <c r="O87" s="117">
        <f t="shared" si="53"/>
        <v>0</v>
      </c>
      <c r="P87" s="117">
        <f t="shared" si="53"/>
        <v>8340</v>
      </c>
      <c r="Q87" s="117">
        <f t="shared" si="53"/>
        <v>0</v>
      </c>
      <c r="R87" s="117">
        <f t="shared" si="53"/>
        <v>20720</v>
      </c>
      <c r="S87" s="117">
        <f t="shared" si="53"/>
        <v>20720</v>
      </c>
      <c r="T87" s="117">
        <f t="shared" si="53"/>
        <v>0</v>
      </c>
      <c r="U87" s="117">
        <f t="shared" si="53"/>
        <v>0</v>
      </c>
      <c r="V87" s="117">
        <f t="shared" si="53"/>
        <v>6780</v>
      </c>
      <c r="W87" s="117">
        <f t="shared" si="53"/>
        <v>5380</v>
      </c>
      <c r="X87" s="117">
        <f t="shared" si="53"/>
        <v>6220</v>
      </c>
      <c r="Y87" s="117">
        <f t="shared" si="53"/>
        <v>5240</v>
      </c>
      <c r="Z87" s="117">
        <f t="shared" si="53"/>
        <v>0</v>
      </c>
      <c r="AA87" s="117">
        <f t="shared" si="53"/>
        <v>23620</v>
      </c>
      <c r="AB87" s="117">
        <f t="shared" si="53"/>
        <v>23620</v>
      </c>
      <c r="AC87" s="117">
        <f t="shared" si="53"/>
        <v>0</v>
      </c>
      <c r="AD87" s="117">
        <f t="shared" si="53"/>
        <v>0</v>
      </c>
      <c r="AE87" s="117">
        <f t="shared" si="53"/>
        <v>5778</v>
      </c>
      <c r="AF87" s="117">
        <f t="shared" si="53"/>
        <v>5778</v>
      </c>
      <c r="AG87" s="117">
        <f t="shared" si="53"/>
        <v>5778</v>
      </c>
      <c r="AH87" s="117">
        <f t="shared" si="53"/>
        <v>5778</v>
      </c>
      <c r="AI87" s="117">
        <f t="shared" si="53"/>
        <v>0</v>
      </c>
      <c r="AJ87" s="117">
        <f t="shared" si="53"/>
        <v>23112</v>
      </c>
      <c r="AK87" s="117">
        <f t="shared" si="53"/>
        <v>23110</v>
      </c>
      <c r="AL87" s="117">
        <f t="shared" si="53"/>
        <v>-1</v>
      </c>
      <c r="AM87" s="117">
        <f t="shared" si="53"/>
        <v>0</v>
      </c>
      <c r="AN87" s="117">
        <f t="shared" si="53"/>
        <v>5777.5</v>
      </c>
      <c r="AO87" s="117">
        <f t="shared" si="53"/>
        <v>5777.5</v>
      </c>
      <c r="AP87" s="117">
        <f t="shared" si="53"/>
        <v>5777.5</v>
      </c>
      <c r="AQ87" s="117">
        <f t="shared" si="53"/>
        <v>5777.5</v>
      </c>
      <c r="AR87" s="117">
        <f t="shared" si="53"/>
        <v>0</v>
      </c>
      <c r="AS87" s="117">
        <f t="shared" si="53"/>
        <v>23110</v>
      </c>
      <c r="AT87" s="117">
        <f t="shared" si="53"/>
        <v>23110</v>
      </c>
      <c r="AU87" s="117">
        <f t="shared" si="53"/>
        <v>0</v>
      </c>
      <c r="AV87" s="117">
        <f t="shared" si="53"/>
        <v>0</v>
      </c>
    </row>
    <row r="88" spans="1:53">
      <c r="I88" s="186"/>
    </row>
    <row r="90" spans="1:53">
      <c r="R90" s="117"/>
      <c r="AA90" s="117"/>
      <c r="AJ90" s="117"/>
    </row>
  </sheetData>
  <mergeCells count="8">
    <mergeCell ref="M6:U7"/>
    <mergeCell ref="V6:AD7"/>
    <mergeCell ref="AE6:AM7"/>
    <mergeCell ref="AN6:AV7"/>
    <mergeCell ref="A6:A8"/>
    <mergeCell ref="B6:B8"/>
    <mergeCell ref="C6:C8"/>
    <mergeCell ref="D6:L7"/>
  </mergeCells>
  <phoneticPr fontId="31"/>
  <conditionalFormatting sqref="I9 AA9:AC9 R9:S9 AS9:AT9 S10:S46 AB10:AB46 AK10:AK46 AT10:AT46 U9 AJ9:AM9 D9:G45">
    <cfRule type="expression" dxfId="371" priority="3987">
      <formula>D9=#REF!</formula>
    </cfRule>
  </conditionalFormatting>
  <conditionalFormatting sqref="I9 AA9:AC9 R9:S9 AS9:AT9 S10:S46 AB10:AB46 AK10:AK46 AT10:AT46 U9 AJ9:AM9 D9:G45">
    <cfRule type="expression" priority="3986">
      <formula>D9=#REF!</formula>
    </cfRule>
  </conditionalFormatting>
  <conditionalFormatting sqref="I9 AA9:AC9 R9:S9 AS9:AT9 S10:S46 AB10:AB46 AK10:AK46 AT10:AT46 U9 AJ9:AM9 D9:G45">
    <cfRule type="expression" dxfId="370" priority="3985">
      <formula>D9=#REF!</formula>
    </cfRule>
  </conditionalFormatting>
  <conditionalFormatting sqref="AL9 AC9 AC55:AC84 AU55:AU84 AL55:AL84">
    <cfRule type="cellIs" dxfId="369" priority="3984" stopIfTrue="1" operator="equal">
      <formula>AD9</formula>
    </cfRule>
  </conditionalFormatting>
  <conditionalFormatting sqref="L9">
    <cfRule type="cellIs" dxfId="368" priority="3988" stopIfTrue="1" operator="equal">
      <formula>#REF!</formula>
    </cfRule>
    <cfRule type="cellIs" dxfId="367" priority="3989" stopIfTrue="1" operator="equal">
      <formula>#REF!=#REF!</formula>
    </cfRule>
  </conditionalFormatting>
  <conditionalFormatting sqref="K9">
    <cfRule type="cellIs" dxfId="366" priority="3990" stopIfTrue="1" operator="equal">
      <formula>$L9</formula>
    </cfRule>
    <cfRule type="cellIs" dxfId="365" priority="3991" stopIfTrue="1" operator="equal">
      <formula>#REF!</formula>
    </cfRule>
  </conditionalFormatting>
  <conditionalFormatting sqref="T9">
    <cfRule type="cellIs" dxfId="364" priority="3992" stopIfTrue="1" operator="equal">
      <formula>U9</formula>
    </cfRule>
    <cfRule type="cellIs" dxfId="363" priority="3993" stopIfTrue="1" operator="equal">
      <formula>$L9</formula>
    </cfRule>
    <cfRule type="cellIs" dxfId="362" priority="3994" stopIfTrue="1" operator="equal">
      <formula>#REF!</formula>
    </cfRule>
  </conditionalFormatting>
  <conditionalFormatting sqref="U11 I11 AA11 R11 AJ11 AS11 AC11 AL11:AM11 AU11 P12:P17 M9:P11 P19:P21">
    <cfRule type="expression" dxfId="361" priority="3946">
      <formula>I9=#REF!</formula>
    </cfRule>
  </conditionalFormatting>
  <conditionalFormatting sqref="U11 I11 AA11 R11 AJ11 AS11 AC11 AL11:AM11 AU11 P12:P17 M9:P11 P19:P21">
    <cfRule type="expression" priority="3945">
      <formula>I9=#REF!</formula>
    </cfRule>
  </conditionalFormatting>
  <conditionalFormatting sqref="U11 I11 AA11 R11 AJ11 AS11 AC11 AL11:AM11 AU11 P12:P17 M9:P11 P19:P21">
    <cfRule type="expression" dxfId="360" priority="3944">
      <formula>I9=#REF!</formula>
    </cfRule>
  </conditionalFormatting>
  <conditionalFormatting sqref="AC11 AU11 AL11">
    <cfRule type="cellIs" dxfId="359" priority="3943" stopIfTrue="1" operator="equal">
      <formula>AD11</formula>
    </cfRule>
  </conditionalFormatting>
  <conditionalFormatting sqref="L11">
    <cfRule type="cellIs" dxfId="358" priority="3947" stopIfTrue="1" operator="equal">
      <formula>#REF!</formula>
    </cfRule>
    <cfRule type="cellIs" dxfId="357" priority="3948" stopIfTrue="1" operator="equal">
      <formula>#REF!=#REF!</formula>
    </cfRule>
  </conditionalFormatting>
  <conditionalFormatting sqref="K11">
    <cfRule type="cellIs" dxfId="356" priority="3949" stopIfTrue="1" operator="equal">
      <formula>$L11</formula>
    </cfRule>
    <cfRule type="cellIs" dxfId="355" priority="3950" stopIfTrue="1" operator="equal">
      <formula>#REF!</formula>
    </cfRule>
  </conditionalFormatting>
  <conditionalFormatting sqref="T11">
    <cfRule type="cellIs" dxfId="354" priority="3951" stopIfTrue="1" operator="equal">
      <formula>U11</formula>
    </cfRule>
    <cfRule type="cellIs" dxfId="353" priority="3952" stopIfTrue="1" operator="equal">
      <formula>$L11</formula>
    </cfRule>
    <cfRule type="cellIs" dxfId="352" priority="3953" stopIfTrue="1" operator="equal">
      <formula>#REF!</formula>
    </cfRule>
  </conditionalFormatting>
  <conditionalFormatting sqref="I13 M13:O13 U13 AA13 R13 AJ13 AS13 AC13 AL13:AM13 AU13">
    <cfRule type="expression" dxfId="351" priority="3911">
      <formula>I13=#REF!</formula>
    </cfRule>
  </conditionalFormatting>
  <conditionalFormatting sqref="I13 M13:O13 U13 AA13 R13 AJ13 AS13 AC13 AL13:AM13 AU13">
    <cfRule type="expression" priority="3910">
      <formula>I13=#REF!</formula>
    </cfRule>
  </conditionalFormatting>
  <conditionalFormatting sqref="I13 M13:O13 U13 AA13 R13 AJ13 AS13 AC13 AL13:AM13 AU13">
    <cfRule type="expression" dxfId="350" priority="3909">
      <formula>I13=#REF!</formula>
    </cfRule>
  </conditionalFormatting>
  <conditionalFormatting sqref="AL13 AU13 AC13">
    <cfRule type="cellIs" dxfId="349" priority="3908" stopIfTrue="1" operator="equal">
      <formula>AD13</formula>
    </cfRule>
  </conditionalFormatting>
  <conditionalFormatting sqref="L13">
    <cfRule type="cellIs" dxfId="348" priority="3912" stopIfTrue="1" operator="equal">
      <formula>#REF!</formula>
    </cfRule>
    <cfRule type="cellIs" dxfId="347" priority="3913" stopIfTrue="1" operator="equal">
      <formula>#REF!=#REF!</formula>
    </cfRule>
  </conditionalFormatting>
  <conditionalFormatting sqref="K13">
    <cfRule type="cellIs" dxfId="346" priority="3914" stopIfTrue="1" operator="equal">
      <formula>$L13</formula>
    </cfRule>
    <cfRule type="cellIs" dxfId="345" priority="3915" stopIfTrue="1" operator="equal">
      <formula>#REF!</formula>
    </cfRule>
  </conditionalFormatting>
  <conditionalFormatting sqref="T13">
    <cfRule type="cellIs" dxfId="344" priority="3916" stopIfTrue="1" operator="equal">
      <formula>U13</formula>
    </cfRule>
    <cfRule type="cellIs" dxfId="343" priority="3917" stopIfTrue="1" operator="equal">
      <formula>$L13</formula>
    </cfRule>
    <cfRule type="cellIs" dxfId="342" priority="3918" stopIfTrue="1" operator="equal">
      <formula>#REF!</formula>
    </cfRule>
  </conditionalFormatting>
  <conditionalFormatting sqref="U15 I15 AA15 R15 AJ15 AS15 AC15 AL15:AM15 AU15 M22:P25 M15:O17 P26:P29 M19:O21">
    <cfRule type="expression" dxfId="341" priority="3876">
      <formula>I15=#REF!</formula>
    </cfRule>
  </conditionalFormatting>
  <conditionalFormatting sqref="U15 I15 AA15 R15 AJ15 AS15 AC15 AL15:AM15 AU15 M22:P25 M15:O17 P26:P29 M19:O21">
    <cfRule type="expression" priority="3875">
      <formula>I15=#REF!</formula>
    </cfRule>
  </conditionalFormatting>
  <conditionalFormatting sqref="U15 I15 AA15 R15 AJ15 AS15 AC15 AL15:AM15 AU15 M22:P25 M15:O17 P26:P29 M19:O21">
    <cfRule type="expression" dxfId="340" priority="3874">
      <formula>I15=#REF!</formula>
    </cfRule>
  </conditionalFormatting>
  <conditionalFormatting sqref="AC15 AU15 AL15">
    <cfRule type="cellIs" dxfId="339" priority="3873" stopIfTrue="1" operator="equal">
      <formula>AD15</formula>
    </cfRule>
  </conditionalFormatting>
  <conditionalFormatting sqref="L15">
    <cfRule type="cellIs" dxfId="338" priority="3877" stopIfTrue="1" operator="equal">
      <formula>#REF!</formula>
    </cfRule>
    <cfRule type="cellIs" dxfId="337" priority="3878" stopIfTrue="1" operator="equal">
      <formula>#REF!=#REF!</formula>
    </cfRule>
  </conditionalFormatting>
  <conditionalFormatting sqref="K15">
    <cfRule type="cellIs" dxfId="336" priority="3879" stopIfTrue="1" operator="equal">
      <formula>$L15</formula>
    </cfRule>
    <cfRule type="cellIs" dxfId="335" priority="3880" stopIfTrue="1" operator="equal">
      <formula>#REF!</formula>
    </cfRule>
  </conditionalFormatting>
  <conditionalFormatting sqref="T15">
    <cfRule type="cellIs" dxfId="334" priority="3881" stopIfTrue="1" operator="equal">
      <formula>U15</formula>
    </cfRule>
    <cfRule type="cellIs" dxfId="333" priority="3882" stopIfTrue="1" operator="equal">
      <formula>$L15</formula>
    </cfRule>
    <cfRule type="cellIs" dxfId="332" priority="3883" stopIfTrue="1" operator="equal">
      <formula>#REF!</formula>
    </cfRule>
  </conditionalFormatting>
  <conditionalFormatting sqref="I10 U10 AA10 R10 AJ10 AS10 AC10 AL10:AM10 AU9:AU10">
    <cfRule type="expression" dxfId="331" priority="3701">
      <formula>I9=#REF!</formula>
    </cfRule>
  </conditionalFormatting>
  <conditionalFormatting sqref="I10 U10 AA10 R10 AJ10 AS10 AC10 AL10:AM10 AU9:AU10">
    <cfRule type="expression" priority="3700">
      <formula>I9=#REF!</formula>
    </cfRule>
  </conditionalFormatting>
  <conditionalFormatting sqref="I10 U10 AA10 R10 AJ10 AS10 AC10 AL10:AM10 AU9:AU10">
    <cfRule type="expression" dxfId="330" priority="3699">
      <formula>I9=#REF!</formula>
    </cfRule>
  </conditionalFormatting>
  <conditionalFormatting sqref="AL10 AC10 AU9:AU10">
    <cfRule type="cellIs" dxfId="329" priority="3698" stopIfTrue="1" operator="equal">
      <formula>AD9</formula>
    </cfRule>
  </conditionalFormatting>
  <conditionalFormatting sqref="L10">
    <cfRule type="cellIs" dxfId="328" priority="3702" stopIfTrue="1" operator="equal">
      <formula>#REF!</formula>
    </cfRule>
    <cfRule type="cellIs" dxfId="327" priority="3703" stopIfTrue="1" operator="equal">
      <formula>#REF!=#REF!</formula>
    </cfRule>
  </conditionalFormatting>
  <conditionalFormatting sqref="K10">
    <cfRule type="cellIs" dxfId="326" priority="3704" stopIfTrue="1" operator="equal">
      <formula>$L10</formula>
    </cfRule>
    <cfRule type="cellIs" dxfId="325" priority="3705" stopIfTrue="1" operator="equal">
      <formula>#REF!</formula>
    </cfRule>
  </conditionalFormatting>
  <conditionalFormatting sqref="T10">
    <cfRule type="cellIs" dxfId="324" priority="3706" stopIfTrue="1" operator="equal">
      <formula>U10</formula>
    </cfRule>
    <cfRule type="cellIs" dxfId="323" priority="3707" stopIfTrue="1" operator="equal">
      <formula>$L10</formula>
    </cfRule>
    <cfRule type="cellIs" dxfId="322" priority="3708" stopIfTrue="1" operator="equal">
      <formula>#REF!</formula>
    </cfRule>
  </conditionalFormatting>
  <conditionalFormatting sqref="U12 M12:O12 I12 AA12 R12 AJ12 AS12 AC12 AL12:AM12 AU12">
    <cfRule type="expression" dxfId="321" priority="3660">
      <formula>I12=#REF!</formula>
    </cfRule>
  </conditionalFormatting>
  <conditionalFormatting sqref="U12 M12:O12 I12 AA12 R12 AJ12 AS12 AC12 AL12:AM12 AU12">
    <cfRule type="expression" priority="3659">
      <formula>I12=#REF!</formula>
    </cfRule>
  </conditionalFormatting>
  <conditionalFormatting sqref="U12 M12:O12 I12 AA12 R12 AJ12 AS12 AC12 AL12:AM12 AU12">
    <cfRule type="expression" dxfId="320" priority="3658">
      <formula>I12=#REF!</formula>
    </cfRule>
  </conditionalFormatting>
  <conditionalFormatting sqref="AC12 AU12 AL12">
    <cfRule type="cellIs" dxfId="319" priority="3657" stopIfTrue="1" operator="equal">
      <formula>AD12</formula>
    </cfRule>
  </conditionalFormatting>
  <conditionalFormatting sqref="L12">
    <cfRule type="cellIs" dxfId="318" priority="3661" stopIfTrue="1" operator="equal">
      <formula>#REF!</formula>
    </cfRule>
    <cfRule type="cellIs" dxfId="317" priority="3662" stopIfTrue="1" operator="equal">
      <formula>#REF!=#REF!</formula>
    </cfRule>
  </conditionalFormatting>
  <conditionalFormatting sqref="K12">
    <cfRule type="cellIs" dxfId="316" priority="3663" stopIfTrue="1" operator="equal">
      <formula>$L12</formula>
    </cfRule>
    <cfRule type="cellIs" dxfId="315" priority="3664" stopIfTrue="1" operator="equal">
      <formula>#REF!</formula>
    </cfRule>
  </conditionalFormatting>
  <conditionalFormatting sqref="T12">
    <cfRule type="cellIs" dxfId="314" priority="3665" stopIfTrue="1" operator="equal">
      <formula>U12</formula>
    </cfRule>
    <cfRule type="cellIs" dxfId="313" priority="3666" stopIfTrue="1" operator="equal">
      <formula>$L12</formula>
    </cfRule>
    <cfRule type="cellIs" dxfId="312" priority="3667" stopIfTrue="1" operator="equal">
      <formula>#REF!</formula>
    </cfRule>
  </conditionalFormatting>
  <conditionalFormatting sqref="I14 M14:O14 U14 AA14 R14 AJ14 AS14 AC14 AL14:AM14 AU14">
    <cfRule type="expression" dxfId="311" priority="3625">
      <formula>I14=#REF!</formula>
    </cfRule>
  </conditionalFormatting>
  <conditionalFormatting sqref="I14 M14:O14 U14 AA14 R14 AJ14 AS14 AC14 AL14:AM14 AU14">
    <cfRule type="expression" priority="3624">
      <formula>I14=#REF!</formula>
    </cfRule>
  </conditionalFormatting>
  <conditionalFormatting sqref="I14 M14:O14 U14 AA14 R14 AJ14 AS14 AC14 AL14:AM14 AU14">
    <cfRule type="expression" dxfId="310" priority="3623">
      <formula>I14=#REF!</formula>
    </cfRule>
  </conditionalFormatting>
  <conditionalFormatting sqref="AL14 AU14 AC14">
    <cfRule type="cellIs" dxfId="309" priority="3622" stopIfTrue="1" operator="equal">
      <formula>AD14</formula>
    </cfRule>
  </conditionalFormatting>
  <conditionalFormatting sqref="L14">
    <cfRule type="cellIs" dxfId="308" priority="3626" stopIfTrue="1" operator="equal">
      <formula>#REF!</formula>
    </cfRule>
    <cfRule type="cellIs" dxfId="307" priority="3627" stopIfTrue="1" operator="equal">
      <formula>#REF!=#REF!</formula>
    </cfRule>
  </conditionalFormatting>
  <conditionalFormatting sqref="K14">
    <cfRule type="cellIs" dxfId="306" priority="3628" stopIfTrue="1" operator="equal">
      <formula>$L14</formula>
    </cfRule>
    <cfRule type="cellIs" dxfId="305" priority="3629" stopIfTrue="1" operator="equal">
      <formula>#REF!</formula>
    </cfRule>
  </conditionalFormatting>
  <conditionalFormatting sqref="T14">
    <cfRule type="cellIs" dxfId="304" priority="3630" stopIfTrue="1" operator="equal">
      <formula>U14</formula>
    </cfRule>
    <cfRule type="cellIs" dxfId="303" priority="3631" stopIfTrue="1" operator="equal">
      <formula>$L14</formula>
    </cfRule>
    <cfRule type="cellIs" dxfId="302" priority="3632" stopIfTrue="1" operator="equal">
      <formula>#REF!</formula>
    </cfRule>
  </conditionalFormatting>
  <conditionalFormatting sqref="U16 I16 AA16 R16 AJ16 AS16 AC16 AL16:AM16 AU16">
    <cfRule type="expression" dxfId="301" priority="3590">
      <formula>I16=#REF!</formula>
    </cfRule>
  </conditionalFormatting>
  <conditionalFormatting sqref="U16 I16 AA16 R16 AJ16 AS16 AC16 AL16:AM16 AU16">
    <cfRule type="expression" priority="3589">
      <formula>I16=#REF!</formula>
    </cfRule>
  </conditionalFormatting>
  <conditionalFormatting sqref="U16 I16 AA16 R16 AJ16 AS16 AC16 AL16:AM16 AU16">
    <cfRule type="expression" dxfId="300" priority="3588">
      <formula>I16=#REF!</formula>
    </cfRule>
  </conditionalFormatting>
  <conditionalFormatting sqref="AC16 AU16 AL16">
    <cfRule type="cellIs" dxfId="299" priority="3587" stopIfTrue="1" operator="equal">
      <formula>AD16</formula>
    </cfRule>
  </conditionalFormatting>
  <conditionalFormatting sqref="L16">
    <cfRule type="cellIs" dxfId="298" priority="3591" stopIfTrue="1" operator="equal">
      <formula>#REF!</formula>
    </cfRule>
    <cfRule type="cellIs" dxfId="297" priority="3592" stopIfTrue="1" operator="equal">
      <formula>#REF!=#REF!</formula>
    </cfRule>
  </conditionalFormatting>
  <conditionalFormatting sqref="K16">
    <cfRule type="cellIs" dxfId="296" priority="3593" stopIfTrue="1" operator="equal">
      <formula>$L16</formula>
    </cfRule>
    <cfRule type="cellIs" dxfId="295" priority="3594" stopIfTrue="1" operator="equal">
      <formula>#REF!</formula>
    </cfRule>
  </conditionalFormatting>
  <conditionalFormatting sqref="T16">
    <cfRule type="cellIs" dxfId="294" priority="3595" stopIfTrue="1" operator="equal">
      <formula>U16</formula>
    </cfRule>
    <cfRule type="cellIs" dxfId="293" priority="3596" stopIfTrue="1" operator="equal">
      <formula>$L16</formula>
    </cfRule>
    <cfRule type="cellIs" dxfId="292" priority="3597" stopIfTrue="1" operator="equal">
      <formula>#REF!</formula>
    </cfRule>
  </conditionalFormatting>
  <conditionalFormatting sqref="I17 U17 AA17 R17 AJ17 AS17 AC17 AL17:AM17 AU17">
    <cfRule type="expression" dxfId="291" priority="2051">
      <formula>I17=#REF!</formula>
    </cfRule>
  </conditionalFormatting>
  <conditionalFormatting sqref="I17 U17 AA17 R17 AJ17 AS17 AC17 AL17:AM17 AU17">
    <cfRule type="expression" priority="2050">
      <formula>I17=#REF!</formula>
    </cfRule>
  </conditionalFormatting>
  <conditionalFormatting sqref="I17 U17 AA17 R17 AJ17 AS17 AC17 AL17:AM17 AU17">
    <cfRule type="expression" dxfId="290" priority="2049">
      <formula>I17=#REF!</formula>
    </cfRule>
  </conditionalFormatting>
  <conditionalFormatting sqref="AL17 AU17 AC17">
    <cfRule type="cellIs" dxfId="289" priority="2048" stopIfTrue="1" operator="equal">
      <formula>AD17</formula>
    </cfRule>
  </conditionalFormatting>
  <conditionalFormatting sqref="L17">
    <cfRule type="cellIs" dxfId="288" priority="2052" stopIfTrue="1" operator="equal">
      <formula>#REF!</formula>
    </cfRule>
    <cfRule type="cellIs" dxfId="287" priority="2053" stopIfTrue="1" operator="equal">
      <formula>#REF!=#REF!</formula>
    </cfRule>
  </conditionalFormatting>
  <conditionalFormatting sqref="K17">
    <cfRule type="cellIs" dxfId="286" priority="2054" stopIfTrue="1" operator="equal">
      <formula>$L17</formula>
    </cfRule>
    <cfRule type="cellIs" dxfId="285" priority="2055" stopIfTrue="1" operator="equal">
      <formula>#REF!</formula>
    </cfRule>
  </conditionalFormatting>
  <conditionalFormatting sqref="T17">
    <cfRule type="cellIs" dxfId="284" priority="2056" stopIfTrue="1" operator="equal">
      <formula>U17</formula>
    </cfRule>
    <cfRule type="cellIs" dxfId="283" priority="2057" stopIfTrue="1" operator="equal">
      <formula>$L17</formula>
    </cfRule>
    <cfRule type="cellIs" dxfId="282" priority="2058" stopIfTrue="1" operator="equal">
      <formula>#REF!</formula>
    </cfRule>
  </conditionalFormatting>
  <conditionalFormatting sqref="U19 I19 AA19 R19 AJ19 AS19 AC19 AL19:AM19 AU19">
    <cfRule type="expression" dxfId="281" priority="2037">
      <formula>I19=#REF!</formula>
    </cfRule>
  </conditionalFormatting>
  <conditionalFormatting sqref="U19 I19 AA19 R19 AJ19 AS19 AC19 AL19:AM19 AU19">
    <cfRule type="expression" priority="2036">
      <formula>I19=#REF!</formula>
    </cfRule>
  </conditionalFormatting>
  <conditionalFormatting sqref="U19 I19 AA19 R19 AJ19 AS19 AC19 AL19:AM19 AU19">
    <cfRule type="expression" dxfId="280" priority="2035">
      <formula>I19=#REF!</formula>
    </cfRule>
  </conditionalFormatting>
  <conditionalFormatting sqref="AC19 AU19 AL19">
    <cfRule type="cellIs" dxfId="279" priority="2034" stopIfTrue="1" operator="equal">
      <formula>AD19</formula>
    </cfRule>
  </conditionalFormatting>
  <conditionalFormatting sqref="L19">
    <cfRule type="cellIs" dxfId="278" priority="2038" stopIfTrue="1" operator="equal">
      <formula>#REF!</formula>
    </cfRule>
    <cfRule type="cellIs" dxfId="277" priority="2039" stopIfTrue="1" operator="equal">
      <formula>#REF!=#REF!</formula>
    </cfRule>
  </conditionalFormatting>
  <conditionalFormatting sqref="K19">
    <cfRule type="cellIs" dxfId="276" priority="2040" stopIfTrue="1" operator="equal">
      <formula>$L19</formula>
    </cfRule>
    <cfRule type="cellIs" dxfId="275" priority="2041" stopIfTrue="1" operator="equal">
      <formula>#REF!</formula>
    </cfRule>
  </conditionalFormatting>
  <conditionalFormatting sqref="T19">
    <cfRule type="cellIs" dxfId="274" priority="2042" stopIfTrue="1" operator="equal">
      <formula>U19</formula>
    </cfRule>
    <cfRule type="cellIs" dxfId="273" priority="2043" stopIfTrue="1" operator="equal">
      <formula>$L19</formula>
    </cfRule>
    <cfRule type="cellIs" dxfId="272" priority="2044" stopIfTrue="1" operator="equal">
      <formula>#REF!</formula>
    </cfRule>
  </conditionalFormatting>
  <conditionalFormatting sqref="I21 U21 AA21 R21 AJ21 AS21 AC21 AL21:AM21 AU21:AU22">
    <cfRule type="expression" dxfId="271" priority="2023">
      <formula>I21=#REF!</formula>
    </cfRule>
  </conditionalFormatting>
  <conditionalFormatting sqref="I21 U21 AA21 R21 AJ21 AS21 AC21 AL21:AM21 AU21:AU22">
    <cfRule type="expression" priority="2022">
      <formula>I21=#REF!</formula>
    </cfRule>
  </conditionalFormatting>
  <conditionalFormatting sqref="I21 U21 AA21 R21 AJ21 AS21 AC21 AL21:AM21 AU21:AU22">
    <cfRule type="expression" dxfId="270" priority="2021">
      <formula>I21=#REF!</formula>
    </cfRule>
  </conditionalFormatting>
  <conditionalFormatting sqref="AL21 AC21 AU21:AU22">
    <cfRule type="cellIs" dxfId="269" priority="2020" stopIfTrue="1" operator="equal">
      <formula>AD21</formula>
    </cfRule>
  </conditionalFormatting>
  <conditionalFormatting sqref="L21">
    <cfRule type="cellIs" dxfId="268" priority="2024" stopIfTrue="1" operator="equal">
      <formula>#REF!</formula>
    </cfRule>
    <cfRule type="cellIs" dxfId="267" priority="2025" stopIfTrue="1" operator="equal">
      <formula>#REF!=#REF!</formula>
    </cfRule>
  </conditionalFormatting>
  <conditionalFormatting sqref="K21">
    <cfRule type="cellIs" dxfId="266" priority="2026" stopIfTrue="1" operator="equal">
      <formula>$L21</formula>
    </cfRule>
    <cfRule type="cellIs" dxfId="265" priority="2027" stopIfTrue="1" operator="equal">
      <formula>#REF!</formula>
    </cfRule>
  </conditionalFormatting>
  <conditionalFormatting sqref="T21">
    <cfRule type="cellIs" dxfId="264" priority="2028" stopIfTrue="1" operator="equal">
      <formula>U21</formula>
    </cfRule>
    <cfRule type="cellIs" dxfId="263" priority="2029" stopIfTrue="1" operator="equal">
      <formula>$L21</formula>
    </cfRule>
    <cfRule type="cellIs" dxfId="262" priority="2030" stopIfTrue="1" operator="equal">
      <formula>#REF!</formula>
    </cfRule>
  </conditionalFormatting>
  <conditionalFormatting sqref="U23 I23 AA23 R23 AJ23 AS23 AC23 AL23:AM23 AU23">
    <cfRule type="expression" dxfId="261" priority="2009">
      <formula>I23=#REF!</formula>
    </cfRule>
  </conditionalFormatting>
  <conditionalFormatting sqref="U23 I23 AA23 R23 AJ23 AS23 AC23 AL23:AM23 AU23">
    <cfRule type="expression" priority="2008">
      <formula>I23=#REF!</formula>
    </cfRule>
  </conditionalFormatting>
  <conditionalFormatting sqref="U23 I23 AA23 R23 AJ23 AS23 AC23 AL23:AM23 AU23">
    <cfRule type="expression" dxfId="260" priority="2007">
      <formula>I23=#REF!</formula>
    </cfRule>
  </conditionalFormatting>
  <conditionalFormatting sqref="AC23 AU23 AL23">
    <cfRule type="cellIs" dxfId="259" priority="2006" stopIfTrue="1" operator="equal">
      <formula>AD23</formula>
    </cfRule>
  </conditionalFormatting>
  <conditionalFormatting sqref="L23">
    <cfRule type="cellIs" dxfId="258" priority="2010" stopIfTrue="1" operator="equal">
      <formula>#REF!</formula>
    </cfRule>
    <cfRule type="cellIs" dxfId="257" priority="2011" stopIfTrue="1" operator="equal">
      <formula>#REF!=#REF!</formula>
    </cfRule>
  </conditionalFormatting>
  <conditionalFormatting sqref="K23">
    <cfRule type="cellIs" dxfId="256" priority="2012" stopIfTrue="1" operator="equal">
      <formula>$L23</formula>
    </cfRule>
    <cfRule type="cellIs" dxfId="255" priority="2013" stopIfTrue="1" operator="equal">
      <formula>#REF!</formula>
    </cfRule>
  </conditionalFormatting>
  <conditionalFormatting sqref="T23">
    <cfRule type="cellIs" dxfId="254" priority="2014" stopIfTrue="1" operator="equal">
      <formula>U23</formula>
    </cfRule>
    <cfRule type="cellIs" dxfId="253" priority="2015" stopIfTrue="1" operator="equal">
      <formula>$L23</formula>
    </cfRule>
    <cfRule type="cellIs" dxfId="252" priority="2016" stopIfTrue="1" operator="equal">
      <formula>#REF!</formula>
    </cfRule>
  </conditionalFormatting>
  <conditionalFormatting sqref="I18 U18 AA18 R18 AJ18 AS18 AC18 AL18:AM18 AU18">
    <cfRule type="expression" dxfId="251" priority="1995">
      <formula>I18=#REF!</formula>
    </cfRule>
  </conditionalFormatting>
  <conditionalFormatting sqref="I18 U18 AA18 R18 AJ18 AS18 AC18 AL18:AM18 AU18">
    <cfRule type="expression" priority="1994">
      <formula>I18=#REF!</formula>
    </cfRule>
  </conditionalFormatting>
  <conditionalFormatting sqref="I18 U18 AA18 R18 AJ18 AS18 AC18 AL18:AM18 AU18">
    <cfRule type="expression" dxfId="250" priority="1993">
      <formula>I18=#REF!</formula>
    </cfRule>
  </conditionalFormatting>
  <conditionalFormatting sqref="AL18 AU18 AC18">
    <cfRule type="cellIs" dxfId="249" priority="1992" stopIfTrue="1" operator="equal">
      <formula>AD18</formula>
    </cfRule>
  </conditionalFormatting>
  <conditionalFormatting sqref="L18">
    <cfRule type="cellIs" dxfId="248" priority="1996" stopIfTrue="1" operator="equal">
      <formula>#REF!</formula>
    </cfRule>
    <cfRule type="cellIs" dxfId="247" priority="1997" stopIfTrue="1" operator="equal">
      <formula>#REF!=#REF!</formula>
    </cfRule>
  </conditionalFormatting>
  <conditionalFormatting sqref="K18">
    <cfRule type="cellIs" dxfId="246" priority="1998" stopIfTrue="1" operator="equal">
      <formula>$L18</formula>
    </cfRule>
    <cfRule type="cellIs" dxfId="245" priority="1999" stopIfTrue="1" operator="equal">
      <formula>#REF!</formula>
    </cfRule>
  </conditionalFormatting>
  <conditionalFormatting sqref="T18">
    <cfRule type="cellIs" dxfId="244" priority="2000" stopIfTrue="1" operator="equal">
      <formula>U18</formula>
    </cfRule>
    <cfRule type="cellIs" dxfId="243" priority="2001" stopIfTrue="1" operator="equal">
      <formula>$L18</formula>
    </cfRule>
    <cfRule type="cellIs" dxfId="242" priority="2002" stopIfTrue="1" operator="equal">
      <formula>#REF!</formula>
    </cfRule>
  </conditionalFormatting>
  <conditionalFormatting sqref="U20 I20 AA20 R20 AJ20 AS20 AC20 AL20:AM20 AU20">
    <cfRule type="expression" dxfId="241" priority="1981">
      <formula>I20=#REF!</formula>
    </cfRule>
  </conditionalFormatting>
  <conditionalFormatting sqref="U20 I20 AA20 R20 AJ20 AS20 AC20 AL20:AM20 AU20">
    <cfRule type="expression" priority="1980">
      <formula>I20=#REF!</formula>
    </cfRule>
  </conditionalFormatting>
  <conditionalFormatting sqref="U20 I20 AA20 R20 AJ20 AS20 AC20 AL20:AM20 AU20">
    <cfRule type="expression" dxfId="240" priority="1979">
      <formula>I20=#REF!</formula>
    </cfRule>
  </conditionalFormatting>
  <conditionalFormatting sqref="AC20 AU20 AL20">
    <cfRule type="cellIs" dxfId="239" priority="1978" stopIfTrue="1" operator="equal">
      <formula>AD20</formula>
    </cfRule>
  </conditionalFormatting>
  <conditionalFormatting sqref="L20">
    <cfRule type="cellIs" dxfId="238" priority="1982" stopIfTrue="1" operator="equal">
      <formula>#REF!</formula>
    </cfRule>
    <cfRule type="cellIs" dxfId="237" priority="1983" stopIfTrue="1" operator="equal">
      <formula>#REF!=#REF!</formula>
    </cfRule>
  </conditionalFormatting>
  <conditionalFormatting sqref="K20">
    <cfRule type="cellIs" dxfId="236" priority="1984" stopIfTrue="1" operator="equal">
      <formula>$L20</formula>
    </cfRule>
    <cfRule type="cellIs" dxfId="235" priority="1985" stopIfTrue="1" operator="equal">
      <formula>#REF!</formula>
    </cfRule>
  </conditionalFormatting>
  <conditionalFormatting sqref="T20">
    <cfRule type="cellIs" dxfId="234" priority="1986" stopIfTrue="1" operator="equal">
      <formula>U20</formula>
    </cfRule>
    <cfRule type="cellIs" dxfId="233" priority="1987" stopIfTrue="1" operator="equal">
      <formula>$L20</formula>
    </cfRule>
    <cfRule type="cellIs" dxfId="232" priority="1988" stopIfTrue="1" operator="equal">
      <formula>#REF!</formula>
    </cfRule>
  </conditionalFormatting>
  <conditionalFormatting sqref="I22 U22 AA22 R22 AJ22 AS22 AC22 AL22:AM22">
    <cfRule type="expression" dxfId="231" priority="1967">
      <formula>I22=#REF!</formula>
    </cfRule>
  </conditionalFormatting>
  <conditionalFormatting sqref="I22 U22 AA22 R22 AJ22 AS22 AC22 AL22:AM22">
    <cfRule type="expression" priority="1966">
      <formula>I22=#REF!</formula>
    </cfRule>
  </conditionalFormatting>
  <conditionalFormatting sqref="I22 U22 AA22 R22 AJ22 AS22 AC22 AL22:AM22">
    <cfRule type="expression" dxfId="230" priority="1965">
      <formula>I22=#REF!</formula>
    </cfRule>
  </conditionalFormatting>
  <conditionalFormatting sqref="AL22 AC22">
    <cfRule type="cellIs" dxfId="229" priority="1964" stopIfTrue="1" operator="equal">
      <formula>AD22</formula>
    </cfRule>
  </conditionalFormatting>
  <conditionalFormatting sqref="L22">
    <cfRule type="cellIs" dxfId="228" priority="1968" stopIfTrue="1" operator="equal">
      <formula>#REF!</formula>
    </cfRule>
    <cfRule type="cellIs" dxfId="227" priority="1969" stopIfTrue="1" operator="equal">
      <formula>#REF!=#REF!</formula>
    </cfRule>
  </conditionalFormatting>
  <conditionalFormatting sqref="K22">
    <cfRule type="cellIs" dxfId="226" priority="1970" stopIfTrue="1" operator="equal">
      <formula>$L22</formula>
    </cfRule>
    <cfRule type="cellIs" dxfId="225" priority="1971" stopIfTrue="1" operator="equal">
      <formula>#REF!</formula>
    </cfRule>
  </conditionalFormatting>
  <conditionalFormatting sqref="T22">
    <cfRule type="cellIs" dxfId="224" priority="1972" stopIfTrue="1" operator="equal">
      <formula>U22</formula>
    </cfRule>
    <cfRule type="cellIs" dxfId="223" priority="1973" stopIfTrue="1" operator="equal">
      <formula>$L22</formula>
    </cfRule>
    <cfRule type="cellIs" dxfId="222" priority="1974" stopIfTrue="1" operator="equal">
      <formula>#REF!</formula>
    </cfRule>
  </conditionalFormatting>
  <conditionalFormatting sqref="U24 I24 AA24 R24 AJ24 AS24 AC24 AL24:AM24 AU24">
    <cfRule type="expression" dxfId="221" priority="1867">
      <formula>I24=#REF!</formula>
    </cfRule>
  </conditionalFormatting>
  <conditionalFormatting sqref="U24 I24 AA24 R24 AJ24 AS24 AC24 AL24:AM24 AU24">
    <cfRule type="expression" priority="1866">
      <formula>I24=#REF!</formula>
    </cfRule>
  </conditionalFormatting>
  <conditionalFormatting sqref="U24 I24 AA24 R24 AJ24 AS24 AC24 AL24:AM24 AU24">
    <cfRule type="expression" dxfId="220" priority="1865">
      <formula>I24=#REF!</formula>
    </cfRule>
  </conditionalFormatting>
  <conditionalFormatting sqref="AC24 AU24 AL24">
    <cfRule type="cellIs" dxfId="219" priority="1864" stopIfTrue="1" operator="equal">
      <formula>AD24</formula>
    </cfRule>
  </conditionalFormatting>
  <conditionalFormatting sqref="L24">
    <cfRule type="cellIs" dxfId="218" priority="1868" stopIfTrue="1" operator="equal">
      <formula>#REF!</formula>
    </cfRule>
    <cfRule type="cellIs" dxfId="217" priority="1869" stopIfTrue="1" operator="equal">
      <formula>#REF!=#REF!</formula>
    </cfRule>
  </conditionalFormatting>
  <conditionalFormatting sqref="K24">
    <cfRule type="cellIs" dxfId="216" priority="1870" stopIfTrue="1" operator="equal">
      <formula>$L24</formula>
    </cfRule>
    <cfRule type="cellIs" dxfId="215" priority="1871" stopIfTrue="1" operator="equal">
      <formula>#REF!</formula>
    </cfRule>
  </conditionalFormatting>
  <conditionalFormatting sqref="T24">
    <cfRule type="cellIs" dxfId="214" priority="1872" stopIfTrue="1" operator="equal">
      <formula>U24</formula>
    </cfRule>
    <cfRule type="cellIs" dxfId="213" priority="1873" stopIfTrue="1" operator="equal">
      <formula>$L24</formula>
    </cfRule>
    <cfRule type="cellIs" dxfId="212" priority="1874" stopIfTrue="1" operator="equal">
      <formula>#REF!</formula>
    </cfRule>
  </conditionalFormatting>
  <conditionalFormatting sqref="U25 I25 AA25 R25 AJ25 AS25 AC25 AL25:AM25 AU25">
    <cfRule type="expression" dxfId="211" priority="1853">
      <formula>I25=#REF!</formula>
    </cfRule>
  </conditionalFormatting>
  <conditionalFormatting sqref="U25 I25 AA25 R25 AJ25 AS25 AC25 AL25:AM25 AU25">
    <cfRule type="expression" priority="1852">
      <formula>I25=#REF!</formula>
    </cfRule>
  </conditionalFormatting>
  <conditionalFormatting sqref="U25 I25 AA25 R25 AJ25 AS25 AC25 AL25:AM25 AU25">
    <cfRule type="expression" dxfId="210" priority="1851">
      <formula>I25=#REF!</formula>
    </cfRule>
  </conditionalFormatting>
  <conditionalFormatting sqref="AC25 AU25 AL25">
    <cfRule type="cellIs" dxfId="209" priority="1850" stopIfTrue="1" operator="equal">
      <formula>AD25</formula>
    </cfRule>
  </conditionalFormatting>
  <conditionalFormatting sqref="L25">
    <cfRule type="cellIs" dxfId="208" priority="1854" stopIfTrue="1" operator="equal">
      <formula>#REF!</formula>
    </cfRule>
    <cfRule type="cellIs" dxfId="207" priority="1855" stopIfTrue="1" operator="equal">
      <formula>#REF!=#REF!</formula>
    </cfRule>
  </conditionalFormatting>
  <conditionalFormatting sqref="K25">
    <cfRule type="cellIs" dxfId="206" priority="1856" stopIfTrue="1" operator="equal">
      <formula>$L25</formula>
    </cfRule>
    <cfRule type="cellIs" dxfId="205" priority="1857" stopIfTrue="1" operator="equal">
      <formula>#REF!</formula>
    </cfRule>
  </conditionalFormatting>
  <conditionalFormatting sqref="T25">
    <cfRule type="cellIs" dxfId="204" priority="1858" stopIfTrue="1" operator="equal">
      <formula>U25</formula>
    </cfRule>
    <cfRule type="cellIs" dxfId="203" priority="1859" stopIfTrue="1" operator="equal">
      <formula>$L25</formula>
    </cfRule>
    <cfRule type="cellIs" dxfId="202" priority="1860" stopIfTrue="1" operator="equal">
      <formula>#REF!</formula>
    </cfRule>
  </conditionalFormatting>
  <conditionalFormatting sqref="U47:Y47 M47:P47 D47:G47 I47 AA47:AC47 R47:S47 AJ47:AM47 AS47:AV47">
    <cfRule type="expression" dxfId="201" priority="1257">
      <formula>D47=#REF!</formula>
    </cfRule>
  </conditionalFormatting>
  <conditionalFormatting sqref="U47:Y47 M47:P47 D47:G47 I47 AA47:AC47 R47:S47 AJ47:AM47 AS47:AV47">
    <cfRule type="expression" priority="1256">
      <formula>D47=#REF!</formula>
    </cfRule>
  </conditionalFormatting>
  <conditionalFormatting sqref="U47:Y47 M47:P47 D47:G47 I47 AA47:AC47 R47:S47 AJ47:AM47 AS47:AV47">
    <cfRule type="expression" dxfId="200" priority="1255">
      <formula>D47=#REF!</formula>
    </cfRule>
  </conditionalFormatting>
  <conditionalFormatting sqref="AC47 AU47 AL47">
    <cfRule type="cellIs" dxfId="199" priority="1254" stopIfTrue="1" operator="equal">
      <formula>AD47</formula>
    </cfRule>
  </conditionalFormatting>
  <conditionalFormatting sqref="L47">
    <cfRule type="cellIs" dxfId="198" priority="1258" stopIfTrue="1" operator="equal">
      <formula>#REF!</formula>
    </cfRule>
    <cfRule type="cellIs" dxfId="197" priority="1259" stopIfTrue="1" operator="equal">
      <formula>#REF!=#REF!</formula>
    </cfRule>
  </conditionalFormatting>
  <conditionalFormatting sqref="K47">
    <cfRule type="cellIs" dxfId="196" priority="1260" stopIfTrue="1" operator="equal">
      <formula>$L47</formula>
    </cfRule>
    <cfRule type="cellIs" dxfId="195" priority="1261" stopIfTrue="1" operator="equal">
      <formula>#REF!</formula>
    </cfRule>
  </conditionalFormatting>
  <conditionalFormatting sqref="T47">
    <cfRule type="cellIs" dxfId="194" priority="1262" stopIfTrue="1" operator="equal">
      <formula>U47</formula>
    </cfRule>
    <cfRule type="cellIs" dxfId="193" priority="1263" stopIfTrue="1" operator="equal">
      <formula>$L47</formula>
    </cfRule>
    <cfRule type="cellIs" dxfId="192" priority="1264" stopIfTrue="1" operator="equal">
      <formula>#REF!</formula>
    </cfRule>
  </conditionalFormatting>
  <conditionalFormatting sqref="U30:Y46 D46:G46 I26:I46 AA26:AA46 R26:R46 AJ26:AJ46 AS26:AS46 AC26:AC46 AU26:AU46 AL26:AM46 M32:P46 U27:X29 U26 V9:X15 V18:X26">
    <cfRule type="expression" dxfId="191" priority="1231">
      <formula>D9=#REF!</formula>
    </cfRule>
  </conditionalFormatting>
  <conditionalFormatting sqref="U30:Y46 D46:G46 I26:I46 AA26:AA46 R26:R46 AJ26:AJ46 AS26:AS46 AC26:AC46 AU26:AU46 AL26:AM46 M32:P46 U27:X29 U26 V9:X15 V18:X26">
    <cfRule type="expression" priority="1230">
      <formula>D9=#REF!</formula>
    </cfRule>
  </conditionalFormatting>
  <conditionalFormatting sqref="U30:Y46 D46:G46 I26:I46 AA26:AA46 R26:R46 AJ26:AJ46 AS26:AS46 AC26:AC46 AU26:AU46 AL26:AM46 M32:P46 U27:X29 U26 V9:X15 V18:X26">
    <cfRule type="expression" dxfId="190" priority="1229">
      <formula>D9=#REF!</formula>
    </cfRule>
  </conditionalFormatting>
  <conditionalFormatting sqref="AC26:AC46 AU26:AU46 AL26:AL46">
    <cfRule type="cellIs" dxfId="189" priority="1228" stopIfTrue="1" operator="equal">
      <formula>AD26</formula>
    </cfRule>
  </conditionalFormatting>
  <conditionalFormatting sqref="L26:L46">
    <cfRule type="cellIs" dxfId="188" priority="1232" stopIfTrue="1" operator="equal">
      <formula>#REF!</formula>
    </cfRule>
    <cfRule type="cellIs" dxfId="187" priority="1233" stopIfTrue="1" operator="equal">
      <formula>#REF!=#REF!</formula>
    </cfRule>
  </conditionalFormatting>
  <conditionalFormatting sqref="K26:K46">
    <cfRule type="cellIs" dxfId="186" priority="1234" stopIfTrue="1" operator="equal">
      <formula>$L26</formula>
    </cfRule>
    <cfRule type="cellIs" dxfId="185" priority="1235" stopIfTrue="1" operator="equal">
      <formula>#REF!</formula>
    </cfRule>
  </conditionalFormatting>
  <conditionalFormatting sqref="T26:T46">
    <cfRule type="cellIs" dxfId="184" priority="1236" stopIfTrue="1" operator="equal">
      <formula>U26</formula>
    </cfRule>
    <cfRule type="cellIs" dxfId="183" priority="1237" stopIfTrue="1" operator="equal">
      <formula>$L26</formula>
    </cfRule>
    <cfRule type="cellIs" dxfId="182" priority="1238" stopIfTrue="1" operator="equal">
      <formula>#REF!</formula>
    </cfRule>
  </conditionalFormatting>
  <conditionalFormatting sqref="M30:P31 M26:O29">
    <cfRule type="expression" dxfId="181" priority="1209">
      <formula>M26=#REF!</formula>
    </cfRule>
  </conditionalFormatting>
  <conditionalFormatting sqref="M30:P31 M26:O29">
    <cfRule type="expression" priority="1208">
      <formula>M26=#REF!</formula>
    </cfRule>
  </conditionalFormatting>
  <conditionalFormatting sqref="M30:P31 M26:O29">
    <cfRule type="expression" dxfId="180" priority="1207">
      <formula>M26=#REF!</formula>
    </cfRule>
  </conditionalFormatting>
  <conditionalFormatting sqref="Y9:Y15 Y18:Y29">
    <cfRule type="expression" dxfId="179" priority="1149">
      <formula>Y9=#REF!</formula>
    </cfRule>
  </conditionalFormatting>
  <conditionalFormatting sqref="Y9:Y15 Y18:Y29">
    <cfRule type="expression" priority="1148">
      <formula>Y9=#REF!</formula>
    </cfRule>
  </conditionalFormatting>
  <conditionalFormatting sqref="Y9:Y15 Y18:Y29">
    <cfRule type="expression" dxfId="178" priority="1147">
      <formula>Y9=#REF!</formula>
    </cfRule>
  </conditionalFormatting>
  <conditionalFormatting sqref="AR9">
    <cfRule type="expression" dxfId="177" priority="1128">
      <formula>AR9=#REF!</formula>
    </cfRule>
  </conditionalFormatting>
  <conditionalFormatting sqref="AR9">
    <cfRule type="expression" priority="1127">
      <formula>AR9=#REF!</formula>
    </cfRule>
  </conditionalFormatting>
  <conditionalFormatting sqref="AR9">
    <cfRule type="expression" dxfId="176" priority="1126">
      <formula>AR9=#REF!</formula>
    </cfRule>
  </conditionalFormatting>
  <conditionalFormatting sqref="AV9">
    <cfRule type="expression" dxfId="175" priority="1125">
      <formula>AV9=#REF!</formula>
    </cfRule>
  </conditionalFormatting>
  <conditionalFormatting sqref="AV9">
    <cfRule type="expression" priority="1124">
      <formula>AV9=#REF!</formula>
    </cfRule>
  </conditionalFormatting>
  <conditionalFormatting sqref="AV9">
    <cfRule type="expression" dxfId="174" priority="1123">
      <formula>AV9=#REF!</formula>
    </cfRule>
  </conditionalFormatting>
  <conditionalFormatting sqref="AV9">
    <cfRule type="cellIs" dxfId="173" priority="1122" stopIfTrue="1" operator="equal">
      <formula>AW9</formula>
    </cfRule>
  </conditionalFormatting>
  <conditionalFormatting sqref="AV11">
    <cfRule type="expression" dxfId="172" priority="1121">
      <formula>AV11=#REF!</formula>
    </cfRule>
  </conditionalFormatting>
  <conditionalFormatting sqref="AV11">
    <cfRule type="expression" priority="1120">
      <formula>AV11=#REF!</formula>
    </cfRule>
  </conditionalFormatting>
  <conditionalFormatting sqref="AV11">
    <cfRule type="expression" dxfId="171" priority="1119">
      <formula>AV11=#REF!</formula>
    </cfRule>
  </conditionalFormatting>
  <conditionalFormatting sqref="AV11">
    <cfRule type="cellIs" dxfId="170" priority="1118" stopIfTrue="1" operator="equal">
      <formula>AW11</formula>
    </cfRule>
  </conditionalFormatting>
  <conditionalFormatting sqref="AV13">
    <cfRule type="expression" dxfId="169" priority="1117">
      <formula>AV13=#REF!</formula>
    </cfRule>
  </conditionalFormatting>
  <conditionalFormatting sqref="AV13">
    <cfRule type="expression" priority="1116">
      <formula>AV13=#REF!</formula>
    </cfRule>
  </conditionalFormatting>
  <conditionalFormatting sqref="AV13">
    <cfRule type="expression" dxfId="168" priority="1115">
      <formula>AV13=#REF!</formula>
    </cfRule>
  </conditionalFormatting>
  <conditionalFormatting sqref="AV13">
    <cfRule type="cellIs" dxfId="167" priority="1114" stopIfTrue="1" operator="equal">
      <formula>AW13</formula>
    </cfRule>
  </conditionalFormatting>
  <conditionalFormatting sqref="AV15">
    <cfRule type="expression" dxfId="166" priority="1113">
      <formula>AV15=#REF!</formula>
    </cfRule>
  </conditionalFormatting>
  <conditionalFormatting sqref="AV15">
    <cfRule type="expression" priority="1112">
      <formula>AV15=#REF!</formula>
    </cfRule>
  </conditionalFormatting>
  <conditionalFormatting sqref="AV15">
    <cfRule type="expression" dxfId="165" priority="1111">
      <formula>AV15=#REF!</formula>
    </cfRule>
  </conditionalFormatting>
  <conditionalFormatting sqref="AV15">
    <cfRule type="cellIs" dxfId="164" priority="1110" stopIfTrue="1" operator="equal">
      <formula>AW15</formula>
    </cfRule>
  </conditionalFormatting>
  <conditionalFormatting sqref="AV10">
    <cfRule type="expression" dxfId="163" priority="1109">
      <formula>AV10=#REF!</formula>
    </cfRule>
  </conditionalFormatting>
  <conditionalFormatting sqref="AV10">
    <cfRule type="expression" priority="1108">
      <formula>AV10=#REF!</formula>
    </cfRule>
  </conditionalFormatting>
  <conditionalFormatting sqref="AV10">
    <cfRule type="expression" dxfId="162" priority="1107">
      <formula>AV10=#REF!</formula>
    </cfRule>
  </conditionalFormatting>
  <conditionalFormatting sqref="AV10">
    <cfRule type="cellIs" dxfId="161" priority="1106" stopIfTrue="1" operator="equal">
      <formula>AW10</formula>
    </cfRule>
  </conditionalFormatting>
  <conditionalFormatting sqref="AV12">
    <cfRule type="expression" dxfId="160" priority="1105">
      <formula>AV12=#REF!</formula>
    </cfRule>
  </conditionalFormatting>
  <conditionalFormatting sqref="AV12">
    <cfRule type="expression" priority="1104">
      <formula>AV12=#REF!</formula>
    </cfRule>
  </conditionalFormatting>
  <conditionalFormatting sqref="AV12">
    <cfRule type="expression" dxfId="159" priority="1103">
      <formula>AV12=#REF!</formula>
    </cfRule>
  </conditionalFormatting>
  <conditionalFormatting sqref="AV12">
    <cfRule type="cellIs" dxfId="158" priority="1102" stopIfTrue="1" operator="equal">
      <formula>AW12</formula>
    </cfRule>
  </conditionalFormatting>
  <conditionalFormatting sqref="AV14">
    <cfRule type="expression" dxfId="157" priority="1101">
      <formula>AV14=#REF!</formula>
    </cfRule>
  </conditionalFormatting>
  <conditionalFormatting sqref="AV14">
    <cfRule type="expression" priority="1100">
      <formula>AV14=#REF!</formula>
    </cfRule>
  </conditionalFormatting>
  <conditionalFormatting sqref="AV14">
    <cfRule type="expression" dxfId="156" priority="1099">
      <formula>AV14=#REF!</formula>
    </cfRule>
  </conditionalFormatting>
  <conditionalFormatting sqref="AV14">
    <cfRule type="cellIs" dxfId="155" priority="1098" stopIfTrue="1" operator="equal">
      <formula>AW14</formula>
    </cfRule>
  </conditionalFormatting>
  <conditionalFormatting sqref="AV16">
    <cfRule type="expression" dxfId="154" priority="1097">
      <formula>AV16=#REF!</formula>
    </cfRule>
  </conditionalFormatting>
  <conditionalFormatting sqref="AV16">
    <cfRule type="expression" priority="1096">
      <formula>AV16=#REF!</formula>
    </cfRule>
  </conditionalFormatting>
  <conditionalFormatting sqref="AV16">
    <cfRule type="expression" dxfId="153" priority="1095">
      <formula>AV16=#REF!</formula>
    </cfRule>
  </conditionalFormatting>
  <conditionalFormatting sqref="AV16">
    <cfRule type="cellIs" dxfId="152" priority="1094" stopIfTrue="1" operator="equal">
      <formula>AW16</formula>
    </cfRule>
  </conditionalFormatting>
  <conditionalFormatting sqref="AV17">
    <cfRule type="expression" dxfId="151" priority="1093">
      <formula>AV17=#REF!</formula>
    </cfRule>
  </conditionalFormatting>
  <conditionalFormatting sqref="AV17">
    <cfRule type="expression" priority="1092">
      <formula>AV17=#REF!</formula>
    </cfRule>
  </conditionalFormatting>
  <conditionalFormatting sqref="AV17">
    <cfRule type="expression" dxfId="150" priority="1091">
      <formula>AV17=#REF!</formula>
    </cfRule>
  </conditionalFormatting>
  <conditionalFormatting sqref="AV17">
    <cfRule type="cellIs" dxfId="149" priority="1090" stopIfTrue="1" operator="equal">
      <formula>AW17</formula>
    </cfRule>
  </conditionalFormatting>
  <conditionalFormatting sqref="AV19">
    <cfRule type="expression" dxfId="148" priority="1089">
      <formula>AV19=#REF!</formula>
    </cfRule>
  </conditionalFormatting>
  <conditionalFormatting sqref="AV19">
    <cfRule type="expression" priority="1088">
      <formula>AV19=#REF!</formula>
    </cfRule>
  </conditionalFormatting>
  <conditionalFormatting sqref="AV19">
    <cfRule type="expression" dxfId="147" priority="1087">
      <formula>AV19=#REF!</formula>
    </cfRule>
  </conditionalFormatting>
  <conditionalFormatting sqref="AV19">
    <cfRule type="cellIs" dxfId="146" priority="1086" stopIfTrue="1" operator="equal">
      <formula>AW19</formula>
    </cfRule>
  </conditionalFormatting>
  <conditionalFormatting sqref="AV21">
    <cfRule type="expression" dxfId="145" priority="1085">
      <formula>AV21=#REF!</formula>
    </cfRule>
  </conditionalFormatting>
  <conditionalFormatting sqref="AV21">
    <cfRule type="expression" priority="1084">
      <formula>AV21=#REF!</formula>
    </cfRule>
  </conditionalFormatting>
  <conditionalFormatting sqref="AV21">
    <cfRule type="expression" dxfId="144" priority="1083">
      <formula>AV21=#REF!</formula>
    </cfRule>
  </conditionalFormatting>
  <conditionalFormatting sqref="AV21">
    <cfRule type="cellIs" dxfId="143" priority="1082" stopIfTrue="1" operator="equal">
      <formula>AW21</formula>
    </cfRule>
  </conditionalFormatting>
  <conditionalFormatting sqref="AV23">
    <cfRule type="expression" dxfId="142" priority="1081">
      <formula>AV23=#REF!</formula>
    </cfRule>
  </conditionalFormatting>
  <conditionalFormatting sqref="AV23">
    <cfRule type="expression" priority="1080">
      <formula>AV23=#REF!</formula>
    </cfRule>
  </conditionalFormatting>
  <conditionalFormatting sqref="AV23">
    <cfRule type="expression" dxfId="141" priority="1079">
      <formula>AV23=#REF!</formula>
    </cfRule>
  </conditionalFormatting>
  <conditionalFormatting sqref="AV23">
    <cfRule type="cellIs" dxfId="140" priority="1078" stopIfTrue="1" operator="equal">
      <formula>AW23</formula>
    </cfRule>
  </conditionalFormatting>
  <conditionalFormatting sqref="AV18">
    <cfRule type="expression" dxfId="139" priority="1077">
      <formula>AV18=#REF!</formula>
    </cfRule>
  </conditionalFormatting>
  <conditionalFormatting sqref="AV18">
    <cfRule type="expression" priority="1076">
      <formula>AV18=#REF!</formula>
    </cfRule>
  </conditionalFormatting>
  <conditionalFormatting sqref="AV18">
    <cfRule type="expression" dxfId="138" priority="1075">
      <formula>AV18=#REF!</formula>
    </cfRule>
  </conditionalFormatting>
  <conditionalFormatting sqref="AV18">
    <cfRule type="cellIs" dxfId="137" priority="1074" stopIfTrue="1" operator="equal">
      <formula>AW18</formula>
    </cfRule>
  </conditionalFormatting>
  <conditionalFormatting sqref="AV20">
    <cfRule type="expression" dxfId="136" priority="1073">
      <formula>AV20=#REF!</formula>
    </cfRule>
  </conditionalFormatting>
  <conditionalFormatting sqref="AV20">
    <cfRule type="expression" priority="1072">
      <formula>AV20=#REF!</formula>
    </cfRule>
  </conditionalFormatting>
  <conditionalFormatting sqref="AV20">
    <cfRule type="expression" dxfId="135" priority="1071">
      <formula>AV20=#REF!</formula>
    </cfRule>
  </conditionalFormatting>
  <conditionalFormatting sqref="AV20">
    <cfRule type="cellIs" dxfId="134" priority="1070" stopIfTrue="1" operator="equal">
      <formula>AW20</formula>
    </cfRule>
  </conditionalFormatting>
  <conditionalFormatting sqref="AV22">
    <cfRule type="expression" dxfId="133" priority="1069">
      <formula>AV22=#REF!</formula>
    </cfRule>
  </conditionalFormatting>
  <conditionalFormatting sqref="AV22">
    <cfRule type="expression" priority="1068">
      <formula>AV22=#REF!</formula>
    </cfRule>
  </conditionalFormatting>
  <conditionalFormatting sqref="AV22">
    <cfRule type="expression" dxfId="132" priority="1067">
      <formula>AV22=#REF!</formula>
    </cfRule>
  </conditionalFormatting>
  <conditionalFormatting sqref="AV22">
    <cfRule type="cellIs" dxfId="131" priority="1066" stopIfTrue="1" operator="equal">
      <formula>AW22</formula>
    </cfRule>
  </conditionalFormatting>
  <conditionalFormatting sqref="AV24">
    <cfRule type="expression" dxfId="130" priority="1065">
      <formula>AV24=#REF!</formula>
    </cfRule>
  </conditionalFormatting>
  <conditionalFormatting sqref="AV24">
    <cfRule type="expression" priority="1064">
      <formula>AV24=#REF!</formula>
    </cfRule>
  </conditionalFormatting>
  <conditionalFormatting sqref="AV24">
    <cfRule type="expression" dxfId="129" priority="1063">
      <formula>AV24=#REF!</formula>
    </cfRule>
  </conditionalFormatting>
  <conditionalFormatting sqref="AV24">
    <cfRule type="cellIs" dxfId="128" priority="1062" stopIfTrue="1" operator="equal">
      <formula>AW24</formula>
    </cfRule>
  </conditionalFormatting>
  <conditionalFormatting sqref="AV25">
    <cfRule type="expression" dxfId="127" priority="1061">
      <formula>AV25=#REF!</formula>
    </cfRule>
  </conditionalFormatting>
  <conditionalFormatting sqref="AV25">
    <cfRule type="expression" priority="1060">
      <formula>AV25=#REF!</formula>
    </cfRule>
  </conditionalFormatting>
  <conditionalFormatting sqref="AV25">
    <cfRule type="expression" dxfId="126" priority="1059">
      <formula>AV25=#REF!</formula>
    </cfRule>
  </conditionalFormatting>
  <conditionalFormatting sqref="AV25">
    <cfRule type="cellIs" dxfId="125" priority="1058" stopIfTrue="1" operator="equal">
      <formula>AW25</formula>
    </cfRule>
  </conditionalFormatting>
  <conditionalFormatting sqref="AV26:AV46">
    <cfRule type="expression" dxfId="124" priority="1057">
      <formula>AV26=#REF!</formula>
    </cfRule>
  </conditionalFormatting>
  <conditionalFormatting sqref="AV26:AV46">
    <cfRule type="expression" priority="1056">
      <formula>AV26=#REF!</formula>
    </cfRule>
  </conditionalFormatting>
  <conditionalFormatting sqref="AV26:AV46">
    <cfRule type="expression" dxfId="123" priority="1055">
      <formula>AV26=#REF!</formula>
    </cfRule>
  </conditionalFormatting>
  <conditionalFormatting sqref="AV26:AV46">
    <cfRule type="cellIs" dxfId="122" priority="1054" stopIfTrue="1" operator="equal">
      <formula>AW26</formula>
    </cfRule>
  </conditionalFormatting>
  <conditionalFormatting sqref="AH9:AH11">
    <cfRule type="expression" dxfId="121" priority="963">
      <formula>AH9=#REF!</formula>
    </cfRule>
  </conditionalFormatting>
  <conditionalFormatting sqref="AH9:AH11">
    <cfRule type="expression" priority="962">
      <formula>AH9=#REF!</formula>
    </cfRule>
  </conditionalFormatting>
  <conditionalFormatting sqref="AH9:AH11">
    <cfRule type="expression" dxfId="120" priority="961">
      <formula>AH9=#REF!</formula>
    </cfRule>
  </conditionalFormatting>
  <conditionalFormatting sqref="AE9:AG11">
    <cfRule type="expression" dxfId="119" priority="960">
      <formula>AE9=#REF!</formula>
    </cfRule>
  </conditionalFormatting>
  <conditionalFormatting sqref="AE9:AG11">
    <cfRule type="expression" priority="959">
      <formula>AE9=#REF!</formula>
    </cfRule>
  </conditionalFormatting>
  <conditionalFormatting sqref="AE9:AG11">
    <cfRule type="expression" dxfId="118" priority="958">
      <formula>AE9=#REF!</formula>
    </cfRule>
  </conditionalFormatting>
  <conditionalFormatting sqref="AI9:AI10">
    <cfRule type="expression" dxfId="117" priority="957">
      <formula>AI9=#REF!</formula>
    </cfRule>
  </conditionalFormatting>
  <conditionalFormatting sqref="AI9:AI10">
    <cfRule type="expression" priority="956">
      <formula>AI9=#REF!</formula>
    </cfRule>
  </conditionalFormatting>
  <conditionalFormatting sqref="AI9:AI10">
    <cfRule type="expression" dxfId="116" priority="955">
      <formula>AI9=#REF!</formula>
    </cfRule>
  </conditionalFormatting>
  <conditionalFormatting sqref="AI11:AI47">
    <cfRule type="expression" dxfId="115" priority="954">
      <formula>AI11=#REF!</formula>
    </cfRule>
  </conditionalFormatting>
  <conditionalFormatting sqref="AI11:AI47">
    <cfRule type="expression" priority="953">
      <formula>AI11=#REF!</formula>
    </cfRule>
  </conditionalFormatting>
  <conditionalFormatting sqref="AI11:AI47">
    <cfRule type="expression" dxfId="114" priority="952">
      <formula>AI11=#REF!</formula>
    </cfRule>
  </conditionalFormatting>
  <conditionalFormatting sqref="AH47">
    <cfRule type="expression" dxfId="113" priority="933">
      <formula>AH47=#REF!</formula>
    </cfRule>
  </conditionalFormatting>
  <conditionalFormatting sqref="AH47">
    <cfRule type="expression" priority="932">
      <formula>AH47=#REF!</formula>
    </cfRule>
  </conditionalFormatting>
  <conditionalFormatting sqref="AH47">
    <cfRule type="expression" dxfId="112" priority="931">
      <formula>AH47=#REF!</formula>
    </cfRule>
  </conditionalFormatting>
  <conditionalFormatting sqref="AE47:AG47">
    <cfRule type="expression" dxfId="111" priority="930">
      <formula>AE47=#REF!</formula>
    </cfRule>
  </conditionalFormatting>
  <conditionalFormatting sqref="AE47:AG47">
    <cfRule type="expression" priority="929">
      <formula>AE47=#REF!</formula>
    </cfRule>
  </conditionalFormatting>
  <conditionalFormatting sqref="AE47:AG47">
    <cfRule type="expression" dxfId="110" priority="928">
      <formula>AE47=#REF!</formula>
    </cfRule>
  </conditionalFormatting>
  <conditionalFormatting sqref="P18">
    <cfRule type="expression" dxfId="109" priority="918">
      <formula>P18=#REF!</formula>
    </cfRule>
  </conditionalFormatting>
  <conditionalFormatting sqref="P18">
    <cfRule type="expression" priority="917">
      <formula>P18=#REF!</formula>
    </cfRule>
  </conditionalFormatting>
  <conditionalFormatting sqref="P18">
    <cfRule type="expression" dxfId="108" priority="916">
      <formula>P18=#REF!</formula>
    </cfRule>
  </conditionalFormatting>
  <conditionalFormatting sqref="M18:O18">
    <cfRule type="expression" dxfId="107" priority="915">
      <formula>M18=#REF!</formula>
    </cfRule>
  </conditionalFormatting>
  <conditionalFormatting sqref="M18:O18">
    <cfRule type="expression" priority="914">
      <formula>M18=#REF!</formula>
    </cfRule>
  </conditionalFormatting>
  <conditionalFormatting sqref="M18:O18">
    <cfRule type="expression" dxfId="106" priority="913">
      <formula>M18=#REF!</formula>
    </cfRule>
  </conditionalFormatting>
  <conditionalFormatting sqref="V16:X17">
    <cfRule type="expression" dxfId="105" priority="891">
      <formula>V16=#REF!</formula>
    </cfRule>
  </conditionalFormatting>
  <conditionalFormatting sqref="V16:X17">
    <cfRule type="expression" priority="890">
      <formula>V16=#REF!</formula>
    </cfRule>
  </conditionalFormatting>
  <conditionalFormatting sqref="V16:X17">
    <cfRule type="expression" dxfId="104" priority="889">
      <formula>V16=#REF!</formula>
    </cfRule>
  </conditionalFormatting>
  <conditionalFormatting sqref="Y16:Y17">
    <cfRule type="expression" dxfId="103" priority="888">
      <formula>Y16=#REF!</formula>
    </cfRule>
  </conditionalFormatting>
  <conditionalFormatting sqref="Y16:Y17">
    <cfRule type="expression" priority="887">
      <formula>Y16=#REF!</formula>
    </cfRule>
  </conditionalFormatting>
  <conditionalFormatting sqref="Y16:Y17">
    <cfRule type="expression" dxfId="102" priority="886">
      <formula>Y16=#REF!</formula>
    </cfRule>
  </conditionalFormatting>
  <conditionalFormatting sqref="AH12:AH46">
    <cfRule type="expression" dxfId="101" priority="858">
      <formula>AH12=#REF!</formula>
    </cfRule>
  </conditionalFormatting>
  <conditionalFormatting sqref="AH12:AH46">
    <cfRule type="expression" priority="857">
      <formula>AH12=#REF!</formula>
    </cfRule>
  </conditionalFormatting>
  <conditionalFormatting sqref="AH12:AH46">
    <cfRule type="expression" dxfId="100" priority="856">
      <formula>AH12=#REF!</formula>
    </cfRule>
  </conditionalFormatting>
  <conditionalFormatting sqref="AE12:AG46">
    <cfRule type="expression" dxfId="99" priority="855">
      <formula>AE12=#REF!</formula>
    </cfRule>
  </conditionalFormatting>
  <conditionalFormatting sqref="AE12:AG46">
    <cfRule type="expression" priority="854">
      <formula>AE12=#REF!</formula>
    </cfRule>
  </conditionalFormatting>
  <conditionalFormatting sqref="AE12:AG46">
    <cfRule type="expression" dxfId="98" priority="853">
      <formula>AE12=#REF!</formula>
    </cfRule>
  </conditionalFormatting>
  <conditionalFormatting sqref="U48:Y51 M48:P51 D48:G51 I48:I51 AA48:AC51 R48:S51 AJ48:AM51 AS48:AV51">
    <cfRule type="expression" dxfId="97" priority="788">
      <formula>D48=#REF!</formula>
    </cfRule>
  </conditionalFormatting>
  <conditionalFormatting sqref="U48:Y51 M48:P51 D48:G51 I48:I51 AA48:AC51 R48:S51 AJ48:AM51 AS48:AV51">
    <cfRule type="expression" priority="787">
      <formula>D48=#REF!</formula>
    </cfRule>
  </conditionalFormatting>
  <conditionalFormatting sqref="U48:Y51 M48:P51 D48:G51 I48:I51 AA48:AC51 R48:S51 AJ48:AM51 AS48:AV51">
    <cfRule type="expression" dxfId="96" priority="786">
      <formula>D48=#REF!</formula>
    </cfRule>
  </conditionalFormatting>
  <conditionalFormatting sqref="AC48:AC51 AU48:AU51 AL48:AL51">
    <cfRule type="cellIs" dxfId="95" priority="785" stopIfTrue="1" operator="equal">
      <formula>AD48</formula>
    </cfRule>
  </conditionalFormatting>
  <conditionalFormatting sqref="L48:L51">
    <cfRule type="cellIs" dxfId="94" priority="789" stopIfTrue="1" operator="equal">
      <formula>#REF!</formula>
    </cfRule>
    <cfRule type="cellIs" dxfId="93" priority="790" stopIfTrue="1" operator="equal">
      <formula>#REF!=#REF!</formula>
    </cfRule>
  </conditionalFormatting>
  <conditionalFormatting sqref="K48:K51 K55:K84">
    <cfRule type="cellIs" dxfId="92" priority="791" stopIfTrue="1" operator="equal">
      <formula>$L48</formula>
    </cfRule>
    <cfRule type="cellIs" dxfId="91" priority="792" stopIfTrue="1" operator="equal">
      <formula>#REF!</formula>
    </cfRule>
  </conditionalFormatting>
  <conditionalFormatting sqref="T48:T51 T55:T84">
    <cfRule type="cellIs" dxfId="90" priority="793" stopIfTrue="1" operator="equal">
      <formula>U48</formula>
    </cfRule>
    <cfRule type="cellIs" dxfId="89" priority="794" stopIfTrue="1" operator="equal">
      <formula>$L48</formula>
    </cfRule>
    <cfRule type="cellIs" dxfId="88" priority="795" stopIfTrue="1" operator="equal">
      <formula>#REF!</formula>
    </cfRule>
  </conditionalFormatting>
  <conditionalFormatting sqref="AI48:AI51">
    <cfRule type="expression" dxfId="87" priority="781">
      <formula>AI48=#REF!</formula>
    </cfRule>
  </conditionalFormatting>
  <conditionalFormatting sqref="AI48:AI51">
    <cfRule type="expression" priority="780">
      <formula>AI48=#REF!</formula>
    </cfRule>
  </conditionalFormatting>
  <conditionalFormatting sqref="AI48:AI51">
    <cfRule type="expression" dxfId="86" priority="779">
      <formula>AI48=#REF!</formula>
    </cfRule>
  </conditionalFormatting>
  <conditionalFormatting sqref="AH48:AH51">
    <cfRule type="expression" dxfId="85" priority="778">
      <formula>AH48=#REF!</formula>
    </cfRule>
  </conditionalFormatting>
  <conditionalFormatting sqref="AH48:AH51">
    <cfRule type="expression" priority="777">
      <formula>AH48=#REF!</formula>
    </cfRule>
  </conditionalFormatting>
  <conditionalFormatting sqref="AH48:AH51">
    <cfRule type="expression" dxfId="84" priority="776">
      <formula>AH48=#REF!</formula>
    </cfRule>
  </conditionalFormatting>
  <conditionalFormatting sqref="AE48:AG51">
    <cfRule type="expression" dxfId="83" priority="775">
      <formula>AE48=#REF!</formula>
    </cfRule>
  </conditionalFormatting>
  <conditionalFormatting sqref="AE48:AG51">
    <cfRule type="expression" priority="774">
      <formula>AE48=#REF!</formula>
    </cfRule>
  </conditionalFormatting>
  <conditionalFormatting sqref="AE48:AG51">
    <cfRule type="expression" dxfId="82" priority="773">
      <formula>AE48=#REF!</formula>
    </cfRule>
  </conditionalFormatting>
  <conditionalFormatting sqref="U52:Y54 M52:P54 D52:G54 I52:I54 AA52:AC54 R52:S54 AJ52:AM54 AS52:AV54">
    <cfRule type="expression" dxfId="81" priority="738">
      <formula>D52=#REF!</formula>
    </cfRule>
  </conditionalFormatting>
  <conditionalFormatting sqref="U52:Y54 M52:P54 D52:G54 I52:I54 AA52:AC54 R52:S54 AJ52:AM54 AS52:AV54">
    <cfRule type="expression" priority="737">
      <formula>D52=#REF!</formula>
    </cfRule>
  </conditionalFormatting>
  <conditionalFormatting sqref="U52:Y54 M52:P54 D52:G54 I52:I54 AA52:AC54 R52:S54 AJ52:AM54 AS52:AV54">
    <cfRule type="expression" dxfId="80" priority="736">
      <formula>D52=#REF!</formula>
    </cfRule>
  </conditionalFormatting>
  <conditionalFormatting sqref="AC52:AC54 AU52:AU54 AL52:AL54">
    <cfRule type="cellIs" dxfId="79" priority="735" stopIfTrue="1" operator="equal">
      <formula>AD52</formula>
    </cfRule>
  </conditionalFormatting>
  <conditionalFormatting sqref="L52:L54">
    <cfRule type="cellIs" dxfId="78" priority="739" stopIfTrue="1" operator="equal">
      <formula>#REF!</formula>
    </cfRule>
    <cfRule type="cellIs" dxfId="77" priority="740" stopIfTrue="1" operator="equal">
      <formula>#REF!=#REF!</formula>
    </cfRule>
  </conditionalFormatting>
  <conditionalFormatting sqref="K52:K54">
    <cfRule type="cellIs" dxfId="76" priority="741" stopIfTrue="1" operator="equal">
      <formula>$L52</formula>
    </cfRule>
    <cfRule type="cellIs" dxfId="75" priority="742" stopIfTrue="1" operator="equal">
      <formula>#REF!</formula>
    </cfRule>
  </conditionalFormatting>
  <conditionalFormatting sqref="T52:T54">
    <cfRule type="cellIs" dxfId="74" priority="743" stopIfTrue="1" operator="equal">
      <formula>U52</formula>
    </cfRule>
    <cfRule type="cellIs" dxfId="73" priority="744" stopIfTrue="1" operator="equal">
      <formula>$L52</formula>
    </cfRule>
    <cfRule type="cellIs" dxfId="72" priority="745" stopIfTrue="1" operator="equal">
      <formula>#REF!</formula>
    </cfRule>
  </conditionalFormatting>
  <conditionalFormatting sqref="AI52:AI54">
    <cfRule type="expression" dxfId="71" priority="731">
      <formula>AI52=#REF!</formula>
    </cfRule>
  </conditionalFormatting>
  <conditionalFormatting sqref="AI52:AI54">
    <cfRule type="expression" priority="730">
      <formula>AI52=#REF!</formula>
    </cfRule>
  </conditionalFormatting>
  <conditionalFormatting sqref="AI52:AI54">
    <cfRule type="expression" dxfId="70" priority="729">
      <formula>AI52=#REF!</formula>
    </cfRule>
  </conditionalFormatting>
  <conditionalFormatting sqref="AH52:AH54">
    <cfRule type="expression" dxfId="69" priority="728">
      <formula>AH52=#REF!</formula>
    </cfRule>
  </conditionalFormatting>
  <conditionalFormatting sqref="AH52:AH54">
    <cfRule type="expression" priority="727">
      <formula>AH52=#REF!</formula>
    </cfRule>
  </conditionalFormatting>
  <conditionalFormatting sqref="AH52:AH54">
    <cfRule type="expression" dxfId="68" priority="726">
      <formula>AH52=#REF!</formula>
    </cfRule>
  </conditionalFormatting>
  <conditionalFormatting sqref="AE52:AG54">
    <cfRule type="expression" dxfId="67" priority="725">
      <formula>AE52=#REF!</formula>
    </cfRule>
  </conditionalFormatting>
  <conditionalFormatting sqref="AE52:AG54">
    <cfRule type="expression" priority="724">
      <formula>AE52=#REF!</formula>
    </cfRule>
  </conditionalFormatting>
  <conditionalFormatting sqref="AE52:AG54">
    <cfRule type="expression" dxfId="66" priority="723">
      <formula>AE52=#REF!</formula>
    </cfRule>
  </conditionalFormatting>
  <conditionalFormatting sqref="H52:H54">
    <cfRule type="expression" dxfId="65" priority="689">
      <formula>H52=#REF!</formula>
    </cfRule>
  </conditionalFormatting>
  <conditionalFormatting sqref="H52:H54">
    <cfRule type="expression" priority="688">
      <formula>H52=#REF!</formula>
    </cfRule>
  </conditionalFormatting>
  <conditionalFormatting sqref="H52:H54">
    <cfRule type="expression" dxfId="64" priority="687">
      <formula>H52=#REF!</formula>
    </cfRule>
  </conditionalFormatting>
  <conditionalFormatting sqref="AN9:AQ84">
    <cfRule type="expression" dxfId="63" priority="680">
      <formula>AN9=#REF!</formula>
    </cfRule>
  </conditionalFormatting>
  <conditionalFormatting sqref="AN9:AQ84">
    <cfRule type="expression" priority="679">
      <formula>AN9=#REF!</formula>
    </cfRule>
  </conditionalFormatting>
  <conditionalFormatting sqref="AN9:AQ84">
    <cfRule type="expression" dxfId="62" priority="678">
      <formula>AN9=#REF!</formula>
    </cfRule>
  </conditionalFormatting>
  <conditionalFormatting sqref="H9:H45">
    <cfRule type="expression" dxfId="61" priority="674">
      <formula>H9=#REF!</formula>
    </cfRule>
  </conditionalFormatting>
  <conditionalFormatting sqref="H9:H45">
    <cfRule type="expression" priority="673">
      <formula>H9=#REF!</formula>
    </cfRule>
  </conditionalFormatting>
  <conditionalFormatting sqref="H9:H45">
    <cfRule type="expression" dxfId="60" priority="672">
      <formula>H9=#REF!</formula>
    </cfRule>
  </conditionalFormatting>
  <conditionalFormatting sqref="H47">
    <cfRule type="expression" dxfId="59" priority="671">
      <formula>H47=#REF!</formula>
    </cfRule>
  </conditionalFormatting>
  <conditionalFormatting sqref="H47">
    <cfRule type="expression" priority="670">
      <formula>H47=#REF!</formula>
    </cfRule>
  </conditionalFormatting>
  <conditionalFormatting sqref="H47">
    <cfRule type="expression" dxfId="58" priority="669">
      <formula>H47=#REF!</formula>
    </cfRule>
  </conditionalFormatting>
  <conditionalFormatting sqref="H46">
    <cfRule type="expression" dxfId="57" priority="668">
      <formula>H46=#REF!</formula>
    </cfRule>
  </conditionalFormatting>
  <conditionalFormatting sqref="H46">
    <cfRule type="expression" priority="667">
      <formula>H46=#REF!</formula>
    </cfRule>
  </conditionalFormatting>
  <conditionalFormatting sqref="H46">
    <cfRule type="expression" dxfId="56" priority="666">
      <formula>H46=#REF!</formula>
    </cfRule>
  </conditionalFormatting>
  <conditionalFormatting sqref="H48:H51">
    <cfRule type="expression" dxfId="55" priority="665">
      <formula>H48=#REF!</formula>
    </cfRule>
  </conditionalFormatting>
  <conditionalFormatting sqref="H48:H51">
    <cfRule type="expression" priority="664">
      <formula>H48=#REF!</formula>
    </cfRule>
  </conditionalFormatting>
  <conditionalFormatting sqref="H48:H51">
    <cfRule type="expression" dxfId="54" priority="663">
      <formula>H48=#REF!</formula>
    </cfRule>
  </conditionalFormatting>
  <conditionalFormatting sqref="Z47">
    <cfRule type="expression" dxfId="53" priority="662">
      <formula>Z47=#REF!</formula>
    </cfRule>
  </conditionalFormatting>
  <conditionalFormatting sqref="Z47">
    <cfRule type="expression" priority="661">
      <formula>Z47=#REF!</formula>
    </cfRule>
  </conditionalFormatting>
  <conditionalFormatting sqref="Z47">
    <cfRule type="expression" dxfId="52" priority="660">
      <formula>Z47=#REF!</formula>
    </cfRule>
  </conditionalFormatting>
  <conditionalFormatting sqref="Z30:Z46">
    <cfRule type="expression" dxfId="51" priority="659">
      <formula>Z30=#REF!</formula>
    </cfRule>
  </conditionalFormatting>
  <conditionalFormatting sqref="Z30:Z46">
    <cfRule type="expression" priority="658">
      <formula>Z30=#REF!</formula>
    </cfRule>
  </conditionalFormatting>
  <conditionalFormatting sqref="Z30:Z46">
    <cfRule type="expression" dxfId="50" priority="657">
      <formula>Z30=#REF!</formula>
    </cfRule>
  </conditionalFormatting>
  <conditionalFormatting sqref="Z9:Z15 Z18:Z29">
    <cfRule type="expression" dxfId="49" priority="656">
      <formula>Z9=#REF!</formula>
    </cfRule>
  </conditionalFormatting>
  <conditionalFormatting sqref="Z9:Z15 Z18:Z29">
    <cfRule type="expression" priority="655">
      <formula>Z9=#REF!</formula>
    </cfRule>
  </conditionalFormatting>
  <conditionalFormatting sqref="Z9:Z15 Z18:Z29">
    <cfRule type="expression" dxfId="48" priority="654">
      <formula>Z9=#REF!</formula>
    </cfRule>
  </conditionalFormatting>
  <conditionalFormatting sqref="Z16:Z17">
    <cfRule type="expression" dxfId="47" priority="653">
      <formula>Z16=#REF!</formula>
    </cfRule>
  </conditionalFormatting>
  <conditionalFormatting sqref="Z16:Z17">
    <cfRule type="expression" priority="652">
      <formula>Z16=#REF!</formula>
    </cfRule>
  </conditionalFormatting>
  <conditionalFormatting sqref="Z16:Z17">
    <cfRule type="expression" dxfId="46" priority="651">
      <formula>Z16=#REF!</formula>
    </cfRule>
  </conditionalFormatting>
  <conditionalFormatting sqref="Z48:Z51">
    <cfRule type="expression" dxfId="45" priority="650">
      <formula>Z48=#REF!</formula>
    </cfRule>
  </conditionalFormatting>
  <conditionalFormatting sqref="Z48:Z51">
    <cfRule type="expression" priority="649">
      <formula>Z48=#REF!</formula>
    </cfRule>
  </conditionalFormatting>
  <conditionalFormatting sqref="Z48:Z51">
    <cfRule type="expression" dxfId="44" priority="648">
      <formula>Z48=#REF!</formula>
    </cfRule>
  </conditionalFormatting>
  <conditionalFormatting sqref="Z52:Z54">
    <cfRule type="expression" dxfId="43" priority="647">
      <formula>Z52=#REF!</formula>
    </cfRule>
  </conditionalFormatting>
  <conditionalFormatting sqref="Z52:Z54">
    <cfRule type="expression" priority="646">
      <formula>Z52=#REF!</formula>
    </cfRule>
  </conditionalFormatting>
  <conditionalFormatting sqref="Z52:Z54">
    <cfRule type="expression" dxfId="42" priority="645">
      <formula>Z52=#REF!</formula>
    </cfRule>
  </conditionalFormatting>
  <conditionalFormatting sqref="U55:Y84 M55:P84 D55:G84 I55:I84 AA55:AC84 R55:S84 AJ55:AM84 AS55:AV84">
    <cfRule type="expression" dxfId="41" priority="619">
      <formula>D55=#REF!</formula>
    </cfRule>
  </conditionalFormatting>
  <conditionalFormatting sqref="U55:Y84 M55:P84 D55:G84 I55:I84 AA55:AC84 R55:S84 AJ55:AM84 AS55:AV84">
    <cfRule type="expression" priority="618">
      <formula>D55=#REF!</formula>
    </cfRule>
  </conditionalFormatting>
  <conditionalFormatting sqref="U55:Y84 M55:P84 D55:G84 I55:I84 AA55:AC84 R55:S84 AJ55:AM84 AS55:AV84">
    <cfRule type="expression" dxfId="40" priority="617">
      <formula>D55=#REF!</formula>
    </cfRule>
  </conditionalFormatting>
  <conditionalFormatting sqref="L55:L84">
    <cfRule type="cellIs" dxfId="39" priority="620" stopIfTrue="1" operator="equal">
      <formula>#REF!</formula>
    </cfRule>
    <cfRule type="cellIs" dxfId="38" priority="621" stopIfTrue="1" operator="equal">
      <formula>#REF!=#REF!</formula>
    </cfRule>
  </conditionalFormatting>
  <conditionalFormatting sqref="AI55:AI84">
    <cfRule type="expression" dxfId="37" priority="612">
      <formula>AI55=#REF!</formula>
    </cfRule>
  </conditionalFormatting>
  <conditionalFormatting sqref="AI55:AI84">
    <cfRule type="expression" priority="611">
      <formula>AI55=#REF!</formula>
    </cfRule>
  </conditionalFormatting>
  <conditionalFormatting sqref="AI55:AI84">
    <cfRule type="expression" dxfId="36" priority="610">
      <formula>AI55=#REF!</formula>
    </cfRule>
  </conditionalFormatting>
  <conditionalFormatting sqref="AH55:AH84">
    <cfRule type="expression" dxfId="35" priority="609">
      <formula>AH55=#REF!</formula>
    </cfRule>
  </conditionalFormatting>
  <conditionalFormatting sqref="AH55:AH84">
    <cfRule type="expression" priority="608">
      <formula>AH55=#REF!</formula>
    </cfRule>
  </conditionalFormatting>
  <conditionalFormatting sqref="AH55:AH84">
    <cfRule type="expression" dxfId="34" priority="607">
      <formula>AH55=#REF!</formula>
    </cfRule>
  </conditionalFormatting>
  <conditionalFormatting sqref="AE55:AG84">
    <cfRule type="expression" dxfId="33" priority="606">
      <formula>AE55=#REF!</formula>
    </cfRule>
  </conditionalFormatting>
  <conditionalFormatting sqref="AE55:AG84">
    <cfRule type="expression" priority="605">
      <formula>AE55=#REF!</formula>
    </cfRule>
  </conditionalFormatting>
  <conditionalFormatting sqref="AE55:AG84">
    <cfRule type="expression" dxfId="32" priority="604">
      <formula>AE55=#REF!</formula>
    </cfRule>
  </conditionalFormatting>
  <conditionalFormatting sqref="H55:H84">
    <cfRule type="expression" dxfId="31" priority="600">
      <formula>H55=#REF!</formula>
    </cfRule>
  </conditionalFormatting>
  <conditionalFormatting sqref="H55:H84">
    <cfRule type="expression" priority="599">
      <formula>H55=#REF!</formula>
    </cfRule>
  </conditionalFormatting>
  <conditionalFormatting sqref="H55:H84">
    <cfRule type="expression" dxfId="30" priority="598">
      <formula>H55=#REF!</formula>
    </cfRule>
  </conditionalFormatting>
  <conditionalFormatting sqref="Z55:Z84">
    <cfRule type="expression" dxfId="29" priority="591">
      <formula>Z55=#REF!</formula>
    </cfRule>
  </conditionalFormatting>
  <conditionalFormatting sqref="Z55:Z84">
    <cfRule type="expression" priority="590">
      <formula>Z55=#REF!</formula>
    </cfRule>
  </conditionalFormatting>
  <conditionalFormatting sqref="Z55:Z84">
    <cfRule type="expression" dxfId="28" priority="589">
      <formula>Z55=#REF!</formula>
    </cfRule>
  </conditionalFormatting>
  <conditionalFormatting sqref="Q9:Q17 Q19:Q21">
    <cfRule type="expression" dxfId="27" priority="588">
      <formula>Q9=#REF!</formula>
    </cfRule>
  </conditionalFormatting>
  <conditionalFormatting sqref="Q9:Q17 Q19:Q21">
    <cfRule type="expression" priority="587">
      <formula>Q9=#REF!</formula>
    </cfRule>
  </conditionalFormatting>
  <conditionalFormatting sqref="Q9:Q17 Q19:Q21">
    <cfRule type="expression" dxfId="26" priority="586">
      <formula>Q9=#REF!</formula>
    </cfRule>
  </conditionalFormatting>
  <conditionalFormatting sqref="Q22:Q29">
    <cfRule type="expression" dxfId="25" priority="585">
      <formula>Q22=#REF!</formula>
    </cfRule>
  </conditionalFormatting>
  <conditionalFormatting sqref="Q22:Q29">
    <cfRule type="expression" priority="584">
      <formula>Q22=#REF!</formula>
    </cfRule>
  </conditionalFormatting>
  <conditionalFormatting sqref="Q22:Q29">
    <cfRule type="expression" dxfId="24" priority="583">
      <formula>Q22=#REF!</formula>
    </cfRule>
  </conditionalFormatting>
  <conditionalFormatting sqref="Q47">
    <cfRule type="expression" dxfId="23" priority="582">
      <formula>Q47=#REF!</formula>
    </cfRule>
  </conditionalFormatting>
  <conditionalFormatting sqref="Q47">
    <cfRule type="expression" priority="581">
      <formula>Q47=#REF!</formula>
    </cfRule>
  </conditionalFormatting>
  <conditionalFormatting sqref="Q47">
    <cfRule type="expression" dxfId="22" priority="580">
      <formula>Q47=#REF!</formula>
    </cfRule>
  </conditionalFormatting>
  <conditionalFormatting sqref="Q32:Q46">
    <cfRule type="expression" dxfId="21" priority="579">
      <formula>Q32=#REF!</formula>
    </cfRule>
  </conditionalFormatting>
  <conditionalFormatting sqref="Q32:Q46">
    <cfRule type="expression" priority="578">
      <formula>Q32=#REF!</formula>
    </cfRule>
  </conditionalFormatting>
  <conditionalFormatting sqref="Q32:Q46">
    <cfRule type="expression" dxfId="20" priority="577">
      <formula>Q32=#REF!</formula>
    </cfRule>
  </conditionalFormatting>
  <conditionalFormatting sqref="Q30:Q31">
    <cfRule type="expression" dxfId="19" priority="576">
      <formula>Q30=#REF!</formula>
    </cfRule>
  </conditionalFormatting>
  <conditionalFormatting sqref="Q30:Q31">
    <cfRule type="expression" priority="575">
      <formula>Q30=#REF!</formula>
    </cfRule>
  </conditionalFormatting>
  <conditionalFormatting sqref="Q30:Q31">
    <cfRule type="expression" dxfId="18" priority="574">
      <formula>Q30=#REF!</formula>
    </cfRule>
  </conditionalFormatting>
  <conditionalFormatting sqref="Q18">
    <cfRule type="expression" dxfId="17" priority="573">
      <formula>Q18=#REF!</formula>
    </cfRule>
  </conditionalFormatting>
  <conditionalFormatting sqref="Q18">
    <cfRule type="expression" priority="572">
      <formula>Q18=#REF!</formula>
    </cfRule>
  </conditionalFormatting>
  <conditionalFormatting sqref="Q18">
    <cfRule type="expression" dxfId="16" priority="571">
      <formula>Q18=#REF!</formula>
    </cfRule>
  </conditionalFormatting>
  <conditionalFormatting sqref="Q48:Q51">
    <cfRule type="expression" dxfId="15" priority="570">
      <formula>Q48=#REF!</formula>
    </cfRule>
  </conditionalFormatting>
  <conditionalFormatting sqref="Q48:Q51">
    <cfRule type="expression" priority="569">
      <formula>Q48=#REF!</formula>
    </cfRule>
  </conditionalFormatting>
  <conditionalFormatting sqref="Q48:Q51">
    <cfRule type="expression" dxfId="14" priority="568">
      <formula>Q48=#REF!</formula>
    </cfRule>
  </conditionalFormatting>
  <conditionalFormatting sqref="Q52:Q54">
    <cfRule type="expression" dxfId="13" priority="567">
      <formula>Q52=#REF!</formula>
    </cfRule>
  </conditionalFormatting>
  <conditionalFormatting sqref="Q52:Q54">
    <cfRule type="expression" priority="566">
      <formula>Q52=#REF!</formula>
    </cfRule>
  </conditionalFormatting>
  <conditionalFormatting sqref="Q52:Q54">
    <cfRule type="expression" dxfId="12" priority="565">
      <formula>Q52=#REF!</formula>
    </cfRule>
  </conditionalFormatting>
  <conditionalFormatting sqref="Q55:Q84">
    <cfRule type="expression" dxfId="11" priority="564">
      <formula>Q55=#REF!</formula>
    </cfRule>
  </conditionalFormatting>
  <conditionalFormatting sqref="Q55:Q84">
    <cfRule type="expression" priority="563">
      <formula>Q55=#REF!</formula>
    </cfRule>
  </conditionalFormatting>
  <conditionalFormatting sqref="Q55:Q84">
    <cfRule type="expression" dxfId="10" priority="562">
      <formula>Q55=#REF!</formula>
    </cfRule>
  </conditionalFormatting>
  <conditionalFormatting sqref="AN9:AQ84">
    <cfRule type="expression" dxfId="9" priority="561">
      <formula>AN9=#REF!</formula>
    </cfRule>
  </conditionalFormatting>
  <conditionalFormatting sqref="AN9:AQ84">
    <cfRule type="expression" priority="560">
      <formula>AN9=#REF!</formula>
    </cfRule>
  </conditionalFormatting>
  <conditionalFormatting sqref="AN9:AQ84">
    <cfRule type="expression" dxfId="8" priority="559">
      <formula>AN9=#REF!</formula>
    </cfRule>
  </conditionalFormatting>
  <conditionalFormatting sqref="AR10:AR84">
    <cfRule type="expression" dxfId="7" priority="87">
      <formula>AR10=#REF!</formula>
    </cfRule>
  </conditionalFormatting>
  <conditionalFormatting sqref="AR10:AR84">
    <cfRule type="expression" priority="86">
      <formula>AR10=#REF!</formula>
    </cfRule>
  </conditionalFormatting>
  <conditionalFormatting sqref="AR10:AR84">
    <cfRule type="expression" dxfId="6" priority="85">
      <formula>AR10=#REF!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B27"/>
  <sheetViews>
    <sheetView workbookViewId="0">
      <selection activeCell="B21" sqref="B21"/>
    </sheetView>
  </sheetViews>
  <sheetFormatPr defaultRowHeight="12.75"/>
  <sheetData>
    <row r="1" spans="1:2">
      <c r="A1">
        <v>2021</v>
      </c>
    </row>
    <row r="2" spans="1:2">
      <c r="A2" t="s">
        <v>112</v>
      </c>
      <c r="B2">
        <v>4</v>
      </c>
    </row>
    <row r="3" spans="1:2">
      <c r="A3" t="s">
        <v>113</v>
      </c>
      <c r="B3">
        <v>4</v>
      </c>
    </row>
    <row r="4" spans="1:2">
      <c r="A4" t="s">
        <v>114</v>
      </c>
      <c r="B4">
        <v>5</v>
      </c>
    </row>
    <row r="5" spans="1:2">
      <c r="A5" t="s">
        <v>95</v>
      </c>
      <c r="B5">
        <v>4</v>
      </c>
    </row>
    <row r="6" spans="1:2">
      <c r="A6" t="s">
        <v>99</v>
      </c>
      <c r="B6">
        <v>5</v>
      </c>
    </row>
    <row r="7" spans="1:2">
      <c r="A7" t="s">
        <v>96</v>
      </c>
      <c r="B7">
        <v>3</v>
      </c>
    </row>
    <row r="8" spans="1:2">
      <c r="A8" t="s">
        <v>98</v>
      </c>
      <c r="B8">
        <v>5</v>
      </c>
    </row>
    <row r="9" spans="1:2">
      <c r="A9" t="s">
        <v>100</v>
      </c>
      <c r="B9">
        <v>4</v>
      </c>
    </row>
    <row r="10" spans="1:2">
      <c r="A10" t="s">
        <v>101</v>
      </c>
      <c r="B10">
        <v>5</v>
      </c>
    </row>
    <row r="11" spans="1:2">
      <c r="A11" t="s">
        <v>102</v>
      </c>
      <c r="B11">
        <v>4</v>
      </c>
    </row>
    <row r="12" spans="1:2">
      <c r="A12" t="s">
        <v>115</v>
      </c>
      <c r="B12">
        <v>4</v>
      </c>
    </row>
    <row r="13" spans="1:2">
      <c r="A13" t="s">
        <v>116</v>
      </c>
      <c r="B13">
        <v>5</v>
      </c>
    </row>
    <row r="15" spans="1:2">
      <c r="A15">
        <v>2022</v>
      </c>
    </row>
    <row r="16" spans="1:2">
      <c r="A16" t="s">
        <v>112</v>
      </c>
      <c r="B16">
        <v>4</v>
      </c>
    </row>
    <row r="17" spans="1:2">
      <c r="A17" t="s">
        <v>113</v>
      </c>
      <c r="B17">
        <v>4</v>
      </c>
    </row>
    <row r="18" spans="1:2">
      <c r="A18" t="s">
        <v>114</v>
      </c>
      <c r="B18">
        <v>5</v>
      </c>
    </row>
    <row r="19" spans="1:2">
      <c r="A19" t="s">
        <v>95</v>
      </c>
      <c r="B19">
        <v>4</v>
      </c>
    </row>
    <row r="20" spans="1:2">
      <c r="A20" t="s">
        <v>99</v>
      </c>
      <c r="B20">
        <v>5</v>
      </c>
    </row>
    <row r="21" spans="1:2">
      <c r="A21" t="s">
        <v>96</v>
      </c>
      <c r="B21">
        <v>4</v>
      </c>
    </row>
    <row r="22" spans="1:2">
      <c r="A22" t="s">
        <v>98</v>
      </c>
      <c r="B22">
        <v>4</v>
      </c>
    </row>
    <row r="23" spans="1:2">
      <c r="A23" t="s">
        <v>100</v>
      </c>
      <c r="B23">
        <v>4</v>
      </c>
    </row>
    <row r="24" spans="1:2">
      <c r="A24" t="s">
        <v>101</v>
      </c>
      <c r="B24">
        <v>4</v>
      </c>
    </row>
    <row r="25" spans="1:2">
      <c r="A25" t="s">
        <v>102</v>
      </c>
      <c r="B25">
        <v>4</v>
      </c>
    </row>
    <row r="26" spans="1:2">
      <c r="A26" t="s">
        <v>115</v>
      </c>
      <c r="B26">
        <v>5</v>
      </c>
    </row>
    <row r="27" spans="1:2">
      <c r="A27" t="s">
        <v>116</v>
      </c>
      <c r="B27">
        <v>4</v>
      </c>
    </row>
  </sheetData>
  <phoneticPr fontId="3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M182"/>
  <sheetViews>
    <sheetView topLeftCell="A166" workbookViewId="0"/>
  </sheetViews>
  <sheetFormatPr defaultRowHeight="12.75"/>
  <cols>
    <col min="1" max="1" width="13.7109375" style="7" customWidth="1"/>
    <col min="2" max="2" width="19.140625" style="27" bestFit="1" customWidth="1"/>
    <col min="3" max="3" width="8.42578125" style="7" hidden="1" customWidth="1"/>
    <col min="4" max="4" width="6.28515625" style="7" hidden="1" customWidth="1"/>
    <col min="5" max="5" width="7.42578125" style="7" hidden="1" customWidth="1"/>
    <col min="6" max="6" width="10.7109375" style="7" hidden="1" customWidth="1"/>
    <col min="7" max="7" width="6.7109375" style="7" hidden="1" customWidth="1"/>
    <col min="8" max="8" width="8.28515625" style="7" hidden="1" customWidth="1"/>
    <col min="9" max="27" width="7.85546875" style="7" hidden="1" customWidth="1"/>
    <col min="28" max="28" width="8" style="7" hidden="1" customWidth="1"/>
    <col min="29" max="29" width="8" style="8" hidden="1" customWidth="1"/>
    <col min="30" max="30" width="0" style="8" hidden="1" customWidth="1"/>
    <col min="31" max="31" width="9.5703125" style="56" hidden="1" customWidth="1"/>
    <col min="32" max="33" width="0" style="56" hidden="1" customWidth="1"/>
    <col min="34" max="34" width="9.5703125" style="56" hidden="1" customWidth="1"/>
    <col min="35" max="36" width="0" style="56" hidden="1" customWidth="1"/>
    <col min="37" max="37" width="9.5703125" style="56" bestFit="1" customWidth="1"/>
    <col min="38" max="38" width="9.140625" style="56"/>
    <col min="39" max="39" width="9.5703125" style="56" bestFit="1" customWidth="1"/>
    <col min="40" max="40" width="9.140625" style="56"/>
    <col min="41" max="41" width="9.5703125" style="56" bestFit="1" customWidth="1"/>
    <col min="42" max="42" width="17.28515625" style="8" hidden="1" customWidth="1"/>
    <col min="43" max="43" width="9.5703125" style="56" hidden="1" customWidth="1"/>
    <col min="44" max="45" width="0" style="56" hidden="1" customWidth="1"/>
    <col min="46" max="46" width="9.5703125" style="56" hidden="1" customWidth="1"/>
    <col min="47" max="48" width="0" style="56" hidden="1" customWidth="1"/>
    <col min="49" max="49" width="9.5703125" style="56" hidden="1" customWidth="1"/>
    <col min="50" max="52" width="0" style="56" hidden="1" customWidth="1"/>
    <col min="53" max="53" width="9.5703125" style="56" hidden="1" customWidth="1"/>
    <col min="54" max="58" width="0" style="56" hidden="1" customWidth="1"/>
    <col min="59" max="59" width="9.5703125" style="56" hidden="1" customWidth="1"/>
    <col min="60" max="16384" width="9.140625" style="8"/>
  </cols>
  <sheetData>
    <row r="1" spans="1:65" ht="17.25" customHeight="1">
      <c r="A1" s="4"/>
      <c r="B1" s="49"/>
      <c r="C1" s="5"/>
      <c r="D1" s="6"/>
      <c r="E1" s="6"/>
      <c r="F1" s="5"/>
      <c r="G1" s="5"/>
      <c r="I1" s="24"/>
      <c r="J1" s="303" t="s">
        <v>6</v>
      </c>
      <c r="K1" s="303"/>
      <c r="L1" s="303"/>
      <c r="M1" s="303"/>
      <c r="N1" s="303"/>
      <c r="O1" s="303"/>
      <c r="P1" s="303"/>
      <c r="Q1" s="303"/>
      <c r="R1" s="24"/>
      <c r="S1" s="24"/>
      <c r="V1" s="50"/>
      <c r="Y1" s="377" t="s">
        <v>20</v>
      </c>
      <c r="Z1" s="381"/>
      <c r="AA1" s="377" t="s">
        <v>21</v>
      </c>
      <c r="AB1" s="378"/>
      <c r="AC1" s="29"/>
    </row>
    <row r="2" spans="1:65" ht="18" customHeight="1">
      <c r="A2" s="1" t="str">
        <f>'QTY '!A2</f>
        <v>S/R NO   :</v>
      </c>
      <c r="B2" s="49"/>
      <c r="D2" s="9"/>
      <c r="E2" s="9"/>
      <c r="G2" s="58"/>
      <c r="H2" s="58"/>
      <c r="I2" s="58"/>
      <c r="J2" s="304" t="s">
        <v>16</v>
      </c>
      <c r="K2" s="304"/>
      <c r="L2" s="304"/>
      <c r="M2" s="304"/>
      <c r="N2" s="304"/>
      <c r="O2" s="304"/>
      <c r="P2" s="304"/>
      <c r="Q2" s="304"/>
      <c r="R2" s="58"/>
      <c r="S2" s="59"/>
      <c r="T2" s="59"/>
      <c r="U2" s="10"/>
      <c r="V2" s="60"/>
      <c r="Y2" s="384"/>
      <c r="Z2" s="385"/>
      <c r="AA2" s="384"/>
      <c r="AB2" s="385"/>
      <c r="AC2" s="16"/>
    </row>
    <row r="3" spans="1:65" ht="14.25" customHeight="1">
      <c r="A3" s="9" t="str">
        <f>'QTY '!A3</f>
        <v>FAX NO   : EMAIL</v>
      </c>
      <c r="B3" s="49"/>
      <c r="C3" s="9"/>
      <c r="D3" s="9"/>
      <c r="E3" s="9"/>
      <c r="G3" s="58"/>
      <c r="H3" s="58"/>
      <c r="I3" s="58"/>
      <c r="J3" s="376" t="s">
        <v>25</v>
      </c>
      <c r="K3" s="376"/>
      <c r="L3" s="376"/>
      <c r="M3" s="376"/>
      <c r="N3" s="376"/>
      <c r="O3" s="376"/>
      <c r="P3" s="376"/>
      <c r="Q3" s="376"/>
      <c r="R3" s="58"/>
      <c r="S3" s="57" t="s">
        <v>26</v>
      </c>
      <c r="T3" s="59"/>
      <c r="V3" s="61"/>
      <c r="W3" s="62"/>
      <c r="Y3" s="386"/>
      <c r="Z3" s="387"/>
      <c r="AA3" s="386"/>
      <c r="AB3" s="387"/>
      <c r="AC3" s="16"/>
    </row>
    <row r="4" spans="1:65" ht="16.5" customHeight="1">
      <c r="A4" s="9" t="str">
        <f>'QTY '!A4</f>
        <v xml:space="preserve">DATE       : </v>
      </c>
      <c r="B4" s="25"/>
      <c r="C4" s="9"/>
      <c r="D4" s="9"/>
      <c r="E4" s="9"/>
      <c r="G4" s="58"/>
      <c r="H4" s="28"/>
      <c r="I4" s="63"/>
      <c r="J4" s="58"/>
      <c r="K4" s="28"/>
      <c r="L4" s="10"/>
      <c r="M4" s="58"/>
      <c r="N4" s="28"/>
      <c r="O4" s="58"/>
      <c r="P4" s="58"/>
      <c r="Q4" s="55"/>
      <c r="R4" s="58"/>
      <c r="S4" s="62"/>
      <c r="T4" s="28"/>
      <c r="V4" s="61"/>
      <c r="W4" s="28"/>
      <c r="Y4" s="382" t="s">
        <v>22</v>
      </c>
      <c r="Z4" s="383"/>
      <c r="AA4" s="379" t="s">
        <v>23</v>
      </c>
      <c r="AB4" s="380"/>
      <c r="AC4" s="64"/>
      <c r="AO4" s="372"/>
    </row>
    <row r="5" spans="1:65" ht="11.25" customHeight="1" thickBot="1">
      <c r="A5" s="143"/>
      <c r="B5" s="11"/>
      <c r="C5" s="11"/>
      <c r="D5" s="12"/>
      <c r="E5" s="12"/>
      <c r="F5" s="371"/>
      <c r="G5" s="371"/>
      <c r="H5" s="13"/>
      <c r="I5" s="58"/>
      <c r="J5" s="58"/>
      <c r="K5" s="65"/>
      <c r="N5" s="14"/>
      <c r="O5" s="15" t="s">
        <v>24</v>
      </c>
      <c r="P5" s="58"/>
      <c r="Q5" s="14"/>
      <c r="S5" s="58"/>
      <c r="T5" s="28"/>
      <c r="U5" s="58"/>
      <c r="V5" s="58"/>
      <c r="W5" s="65"/>
      <c r="X5" s="58"/>
      <c r="Y5" s="58"/>
      <c r="Z5" s="65"/>
      <c r="AA5" s="58"/>
      <c r="AB5" s="58"/>
      <c r="AC5" s="16"/>
      <c r="AO5" s="372"/>
    </row>
    <row r="6" spans="1:65" ht="12.75" customHeight="1">
      <c r="A6" s="310" t="s">
        <v>3</v>
      </c>
      <c r="B6" s="305" t="s">
        <v>7</v>
      </c>
      <c r="C6" s="329" t="s">
        <v>9</v>
      </c>
      <c r="D6" s="322" t="s">
        <v>10</v>
      </c>
      <c r="E6" s="335" t="s">
        <v>19</v>
      </c>
      <c r="F6" s="332" t="s">
        <v>27</v>
      </c>
      <c r="G6" s="373" t="e">
        <f>#REF!</f>
        <v>#REF!</v>
      </c>
      <c r="H6" s="374"/>
      <c r="I6" s="375"/>
      <c r="J6" s="373" t="e">
        <f>#REF!</f>
        <v>#REF!</v>
      </c>
      <c r="K6" s="374"/>
      <c r="L6" s="375"/>
      <c r="M6" s="373" t="e">
        <f>#REF!</f>
        <v>#REF!</v>
      </c>
      <c r="N6" s="374"/>
      <c r="O6" s="375"/>
      <c r="P6" s="373" t="e">
        <f>#REF!</f>
        <v>#REF!</v>
      </c>
      <c r="Q6" s="374"/>
      <c r="R6" s="375"/>
      <c r="S6" s="373" t="e">
        <f>#REF!</f>
        <v>#REF!</v>
      </c>
      <c r="T6" s="374"/>
      <c r="U6" s="375"/>
      <c r="V6" s="373" t="e">
        <f>#REF!</f>
        <v>#REF!</v>
      </c>
      <c r="W6" s="374"/>
      <c r="X6" s="375"/>
      <c r="Y6" s="373" t="e">
        <f>#REF!</f>
        <v>#REF!</v>
      </c>
      <c r="Z6" s="374"/>
      <c r="AA6" s="375"/>
      <c r="AB6" s="325" t="s">
        <v>0</v>
      </c>
      <c r="AC6" s="23"/>
    </row>
    <row r="7" spans="1:65" s="16" customFormat="1" ht="13.5" thickBot="1">
      <c r="A7" s="312"/>
      <c r="B7" s="306"/>
      <c r="C7" s="330"/>
      <c r="D7" s="323"/>
      <c r="E7" s="336"/>
      <c r="F7" s="333"/>
      <c r="G7" s="281" t="e">
        <f>#REF!</f>
        <v>#REF!</v>
      </c>
      <c r="H7" s="282"/>
      <c r="I7" s="283"/>
      <c r="J7" s="281" t="e">
        <f>#REF!</f>
        <v>#REF!</v>
      </c>
      <c r="K7" s="282"/>
      <c r="L7" s="283"/>
      <c r="M7" s="281" t="e">
        <f>#REF!</f>
        <v>#REF!</v>
      </c>
      <c r="N7" s="282"/>
      <c r="O7" s="283"/>
      <c r="P7" s="281" t="e">
        <f>#REF!</f>
        <v>#REF!</v>
      </c>
      <c r="Q7" s="282"/>
      <c r="R7" s="283"/>
      <c r="S7" s="281" t="e">
        <f>#REF!</f>
        <v>#REF!</v>
      </c>
      <c r="T7" s="282"/>
      <c r="U7" s="283"/>
      <c r="V7" s="281" t="e">
        <f>#REF!</f>
        <v>#REF!</v>
      </c>
      <c r="W7" s="282"/>
      <c r="X7" s="283"/>
      <c r="Y7" s="281" t="e">
        <f>#REF!</f>
        <v>#REF!</v>
      </c>
      <c r="Z7" s="282"/>
      <c r="AA7" s="283"/>
      <c r="AB7" s="326"/>
      <c r="AC7" s="23" t="s">
        <v>12</v>
      </c>
      <c r="AD7" s="16" t="s">
        <v>11</v>
      </c>
      <c r="AE7" s="56">
        <v>5</v>
      </c>
      <c r="AF7" s="56"/>
      <c r="AG7" s="56"/>
      <c r="AH7" s="56">
        <v>4</v>
      </c>
      <c r="AI7" s="56"/>
      <c r="AJ7" s="56"/>
      <c r="AK7" s="56">
        <f>+'QTY '!AG7</f>
        <v>5</v>
      </c>
      <c r="AL7" s="56">
        <f>+'QTY '!AH7</f>
        <v>4</v>
      </c>
      <c r="AM7" s="56">
        <f>+'QTY '!AI7</f>
        <v>4</v>
      </c>
      <c r="AN7" s="56">
        <f>+'QTY '!AJ7</f>
        <v>5</v>
      </c>
      <c r="AO7" s="56">
        <v>5</v>
      </c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</row>
    <row r="8" spans="1:65" ht="13.5" thickBot="1">
      <c r="A8" s="314"/>
      <c r="B8" s="307"/>
      <c r="C8" s="331"/>
      <c r="D8" s="324"/>
      <c r="E8" s="337"/>
      <c r="F8" s="334"/>
      <c r="G8" s="36" t="s">
        <v>0</v>
      </c>
      <c r="H8" s="37" t="s">
        <v>1</v>
      </c>
      <c r="I8" s="39" t="s">
        <v>2</v>
      </c>
      <c r="J8" s="40" t="s">
        <v>0</v>
      </c>
      <c r="K8" s="37" t="s">
        <v>1</v>
      </c>
      <c r="L8" s="38" t="s">
        <v>2</v>
      </c>
      <c r="M8" s="36" t="s">
        <v>0</v>
      </c>
      <c r="N8" s="37" t="s">
        <v>1</v>
      </c>
      <c r="O8" s="39" t="s">
        <v>2</v>
      </c>
      <c r="P8" s="40" t="s">
        <v>0</v>
      </c>
      <c r="Q8" s="37" t="s">
        <v>1</v>
      </c>
      <c r="R8" s="38" t="s">
        <v>2</v>
      </c>
      <c r="S8" s="36" t="s">
        <v>0</v>
      </c>
      <c r="T8" s="37" t="s">
        <v>1</v>
      </c>
      <c r="U8" s="39" t="s">
        <v>2</v>
      </c>
      <c r="V8" s="40" t="s">
        <v>0</v>
      </c>
      <c r="W8" s="37" t="s">
        <v>1</v>
      </c>
      <c r="X8" s="38" t="s">
        <v>2</v>
      </c>
      <c r="Y8" s="36" t="s">
        <v>0</v>
      </c>
      <c r="Z8" s="37" t="s">
        <v>1</v>
      </c>
      <c r="AA8" s="39" t="s">
        <v>2</v>
      </c>
      <c r="AB8" s="327"/>
      <c r="AC8" s="23" t="s">
        <v>13</v>
      </c>
      <c r="AE8" s="75" t="e">
        <f>G6</f>
        <v>#REF!</v>
      </c>
      <c r="AF8" s="78"/>
      <c r="AG8" s="78"/>
      <c r="AH8" s="75" t="e">
        <f>J6</f>
        <v>#REF!</v>
      </c>
      <c r="AI8" s="76"/>
      <c r="AJ8" s="76"/>
      <c r="AK8" s="75" t="str">
        <f>'QTY '!AG8</f>
        <v>APR</v>
      </c>
      <c r="AL8" s="75" t="str">
        <f>'QTY '!AH8</f>
        <v>MAY</v>
      </c>
      <c r="AM8" s="75" t="str">
        <f>'QTY '!AI8</f>
        <v>JUN</v>
      </c>
      <c r="AN8" s="75" t="str">
        <f>'QTY '!AJ8</f>
        <v>JUL</v>
      </c>
      <c r="AO8" s="77" t="str">
        <f>'QTY '!AK8</f>
        <v>AUG</v>
      </c>
      <c r="AQ8" s="72" t="e">
        <f>AE8</f>
        <v>#REF!</v>
      </c>
      <c r="AT8" s="72" t="e">
        <f>AH8</f>
        <v>#REF!</v>
      </c>
      <c r="AU8" s="73">
        <f>AI8</f>
        <v>0</v>
      </c>
      <c r="AV8" s="73">
        <f>AJ8</f>
        <v>0</v>
      </c>
      <c r="AW8" s="72" t="str">
        <f>AK8</f>
        <v>APR</v>
      </c>
      <c r="AX8" s="72" t="str">
        <f>AL8</f>
        <v>MAY</v>
      </c>
      <c r="AY8" s="73" t="e">
        <f>#REF!</f>
        <v>#REF!</v>
      </c>
      <c r="AZ8" s="73" t="e">
        <f>#REF!</f>
        <v>#REF!</v>
      </c>
      <c r="BA8" s="72" t="str">
        <f>AM8</f>
        <v>JUN</v>
      </c>
      <c r="BB8" s="73" t="e">
        <f>#REF!</f>
        <v>#REF!</v>
      </c>
      <c r="BC8" s="73" t="e">
        <f>#REF!</f>
        <v>#REF!</v>
      </c>
      <c r="BD8" s="72" t="str">
        <f>AN8</f>
        <v>JUL</v>
      </c>
      <c r="BE8" s="73" t="e">
        <f>#REF!</f>
        <v>#REF!</v>
      </c>
      <c r="BF8" s="73" t="e">
        <f>#REF!</f>
        <v>#REF!</v>
      </c>
      <c r="BG8" s="74" t="str">
        <f>AO8</f>
        <v>AUG</v>
      </c>
    </row>
    <row r="9" spans="1:65" s="43" customFormat="1" ht="15.75" hidden="1" customHeight="1" thickBot="1">
      <c r="A9" s="83" t="s">
        <v>29</v>
      </c>
      <c r="B9" s="82" t="s">
        <v>17</v>
      </c>
      <c r="C9" s="32">
        <v>3013</v>
      </c>
      <c r="D9" s="32">
        <v>188</v>
      </c>
      <c r="E9" s="52"/>
      <c r="F9" s="33">
        <v>1.5142</v>
      </c>
      <c r="G9" s="34">
        <v>0</v>
      </c>
      <c r="H9" s="41">
        <v>0</v>
      </c>
      <c r="I9" s="66">
        <f>+H9-G9</f>
        <v>0</v>
      </c>
      <c r="J9" s="34">
        <f>G9+I9-H9</f>
        <v>0</v>
      </c>
      <c r="K9" s="41">
        <v>0</v>
      </c>
      <c r="L9" s="66">
        <f>+K9-J9</f>
        <v>0</v>
      </c>
      <c r="M9" s="34">
        <f>J9+L9-K9</f>
        <v>0</v>
      </c>
      <c r="N9" s="41">
        <v>0</v>
      </c>
      <c r="O9" s="66">
        <f>+N9-M9</f>
        <v>0</v>
      </c>
      <c r="P9" s="34">
        <f>M9+O9-N9</f>
        <v>0</v>
      </c>
      <c r="Q9" s="41">
        <v>0</v>
      </c>
      <c r="R9" s="66">
        <f>+Q9-P9</f>
        <v>0</v>
      </c>
      <c r="S9" s="34">
        <f>P9+R9-Q9</f>
        <v>0</v>
      </c>
      <c r="T9" s="41">
        <v>0</v>
      </c>
      <c r="U9" s="66">
        <f>+T9-S9</f>
        <v>0</v>
      </c>
      <c r="V9" s="34">
        <f>S9+U9-T9</f>
        <v>0</v>
      </c>
      <c r="W9" s="41">
        <v>0</v>
      </c>
      <c r="X9" s="66">
        <f>+W9-V9</f>
        <v>0</v>
      </c>
      <c r="Y9" s="34">
        <f>V9+X9-W9</f>
        <v>0</v>
      </c>
      <c r="Z9" s="41">
        <v>0</v>
      </c>
      <c r="AA9" s="66">
        <f>+Z9-Y9</f>
        <v>0</v>
      </c>
      <c r="AB9" s="35">
        <f>Y9+AA9-Z9</f>
        <v>0</v>
      </c>
      <c r="AC9" s="42">
        <v>24</v>
      </c>
      <c r="AD9" s="43">
        <f>+Q9/4</f>
        <v>0</v>
      </c>
      <c r="AE9" s="78">
        <f>I9*C9</f>
        <v>0</v>
      </c>
      <c r="AF9" s="78"/>
      <c r="AG9" s="78"/>
      <c r="AH9" s="78">
        <f>L9*C9</f>
        <v>0</v>
      </c>
      <c r="AI9" s="78">
        <f>M9*G9</f>
        <v>0</v>
      </c>
      <c r="AJ9" s="78">
        <f>N9*H9</f>
        <v>0</v>
      </c>
      <c r="AK9" s="78">
        <f>O9*C9</f>
        <v>0</v>
      </c>
      <c r="AL9" s="78">
        <f>R9*C9</f>
        <v>0</v>
      </c>
      <c r="AM9" s="78">
        <f>U9*C9</f>
        <v>0</v>
      </c>
      <c r="AN9" s="78">
        <f>X9*C9</f>
        <v>0</v>
      </c>
      <c r="AO9" s="78">
        <f>AA9*C9</f>
        <v>0</v>
      </c>
      <c r="AQ9" s="56">
        <f>AC9*W9</f>
        <v>0</v>
      </c>
      <c r="AR9" s="56"/>
      <c r="AS9" s="56"/>
      <c r="AT9" s="56">
        <f>AF9*W9</f>
        <v>0</v>
      </c>
      <c r="AU9" s="56">
        <f>AG9*AA9</f>
        <v>0</v>
      </c>
      <c r="AV9" s="56">
        <f>AH9*AB9</f>
        <v>0</v>
      </c>
      <c r="AW9" s="56">
        <f>AI9*W9</f>
        <v>0</v>
      </c>
      <c r="AX9" s="56" t="e">
        <f>#REF!*W9</f>
        <v>#REF!</v>
      </c>
      <c r="AY9" s="56" t="e">
        <f>#REF!*AG9</f>
        <v>#REF!</v>
      </c>
      <c r="AZ9" s="56">
        <f>AL9*AH9</f>
        <v>0</v>
      </c>
      <c r="BA9" s="56" t="e">
        <f>#REF!*W9</f>
        <v>#REF!</v>
      </c>
      <c r="BB9" s="56" t="e">
        <f>#REF!*AJ9</f>
        <v>#REF!</v>
      </c>
      <c r="BC9" s="56">
        <f>AM9*AK9</f>
        <v>0</v>
      </c>
      <c r="BD9" s="56" t="e">
        <f>#REF!*W9</f>
        <v>#REF!</v>
      </c>
      <c r="BE9" s="56" t="e">
        <f>#REF!*#REF!</f>
        <v>#REF!</v>
      </c>
      <c r="BF9" s="56">
        <f>AN9*AL9</f>
        <v>0</v>
      </c>
      <c r="BG9" s="56" t="e">
        <f>#REF!*W9</f>
        <v>#REF!</v>
      </c>
    </row>
    <row r="10" spans="1:65" ht="15.75" customHeight="1" thickBot="1">
      <c r="A10" s="363" t="s">
        <v>92</v>
      </c>
      <c r="B10" s="118" t="e">
        <f>'QTY '!#REF!</f>
        <v>#REF!</v>
      </c>
      <c r="C10" s="18" t="e">
        <f>#REF!</f>
        <v>#REF!</v>
      </c>
      <c r="D10" s="18" t="e">
        <f>#REF!</f>
        <v>#REF!</v>
      </c>
      <c r="E10" s="53" t="e">
        <f>#REF!</f>
        <v>#REF!</v>
      </c>
      <c r="F10" s="17" t="e">
        <f>#REF!</f>
        <v>#REF!</v>
      </c>
      <c r="G10" s="30" t="e">
        <f>#REF!</f>
        <v>#REF!</v>
      </c>
      <c r="H10" s="51" t="e">
        <f>#REF!</f>
        <v>#REF!</v>
      </c>
      <c r="I10" s="67" t="e">
        <f>#REF!</f>
        <v>#REF!</v>
      </c>
      <c r="J10" s="30" t="e">
        <f>#REF!</f>
        <v>#REF!</v>
      </c>
      <c r="K10" s="51" t="e">
        <f>#REF!</f>
        <v>#REF!</v>
      </c>
      <c r="L10" s="67" t="e">
        <f>#REF!</f>
        <v>#REF!</v>
      </c>
      <c r="M10" s="30" t="e">
        <f>#REF!</f>
        <v>#REF!</v>
      </c>
      <c r="N10" s="51" t="e">
        <f>#REF!</f>
        <v>#REF!</v>
      </c>
      <c r="O10" s="67" t="e">
        <f>#REF!</f>
        <v>#REF!</v>
      </c>
      <c r="P10" s="30" t="e">
        <f>#REF!</f>
        <v>#REF!</v>
      </c>
      <c r="Q10" s="51" t="e">
        <f>#REF!</f>
        <v>#REF!</v>
      </c>
      <c r="R10" s="67" t="e">
        <f>#REF!</f>
        <v>#REF!</v>
      </c>
      <c r="S10" s="30" t="e">
        <f>#REF!</f>
        <v>#REF!</v>
      </c>
      <c r="T10" s="51" t="e">
        <f>#REF!</f>
        <v>#REF!</v>
      </c>
      <c r="U10" s="67" t="e">
        <f>#REF!</f>
        <v>#REF!</v>
      </c>
      <c r="V10" s="30" t="e">
        <f>#REF!</f>
        <v>#REF!</v>
      </c>
      <c r="W10" s="51" t="e">
        <f>#REF!</f>
        <v>#REF!</v>
      </c>
      <c r="X10" s="67" t="e">
        <f>#REF!</f>
        <v>#REF!</v>
      </c>
      <c r="Y10" s="30" t="e">
        <f>#REF!</f>
        <v>#REF!</v>
      </c>
      <c r="Z10" s="51" t="e">
        <f>#REF!</f>
        <v>#REF!</v>
      </c>
      <c r="AA10" s="67" t="e">
        <f>#REF!</f>
        <v>#REF!</v>
      </c>
      <c r="AB10" s="31" t="e">
        <f>#REF!</f>
        <v>#REF!</v>
      </c>
      <c r="AC10" s="24">
        <v>24</v>
      </c>
      <c r="AE10" s="79" t="e">
        <f>#REF!/AE7</f>
        <v>#REF!</v>
      </c>
      <c r="AF10" s="79"/>
      <c r="AG10" s="79"/>
      <c r="AH10" s="105" t="e">
        <f>#REF!/AH7</f>
        <v>#REF!</v>
      </c>
      <c r="AI10" s="79"/>
      <c r="AJ10" s="79"/>
      <c r="AK10" s="105" t="e">
        <f>+'QTY '!#REF!</f>
        <v>#REF!</v>
      </c>
      <c r="AL10" s="105" t="e">
        <f>+'QTY '!#REF!</f>
        <v>#REF!</v>
      </c>
      <c r="AM10" s="105" t="e">
        <f>+'QTY '!#REF!</f>
        <v>#REF!</v>
      </c>
      <c r="AN10" s="105" t="e">
        <f>+'QTY '!#REF!</f>
        <v>#REF!</v>
      </c>
      <c r="AO10" s="105" t="e">
        <f>+'QTY '!#REF!</f>
        <v>#REF!</v>
      </c>
      <c r="AP10" s="8" t="s">
        <v>35</v>
      </c>
      <c r="AQ10" s="71">
        <v>0</v>
      </c>
      <c r="AR10" s="71">
        <v>0</v>
      </c>
      <c r="AS10" s="71">
        <v>0</v>
      </c>
      <c r="AT10" s="71">
        <v>1.25</v>
      </c>
      <c r="AU10" s="71"/>
      <c r="AV10" s="71"/>
      <c r="AW10" s="71">
        <v>19</v>
      </c>
      <c r="AX10" s="71">
        <v>32</v>
      </c>
      <c r="AY10" s="71"/>
      <c r="AZ10" s="71"/>
      <c r="BA10" s="71">
        <v>108</v>
      </c>
      <c r="BB10" s="71"/>
      <c r="BC10" s="71"/>
      <c r="BD10" s="71">
        <v>160.5</v>
      </c>
      <c r="BE10" s="71"/>
      <c r="BF10" s="71"/>
      <c r="BG10" s="71">
        <v>176.5</v>
      </c>
      <c r="BH10" s="8" t="e">
        <f>AK10*$AK$7</f>
        <v>#REF!</v>
      </c>
      <c r="BI10" s="8" t="e">
        <f>AL10*$AL$7</f>
        <v>#REF!</v>
      </c>
      <c r="BJ10" s="8" t="e">
        <f>AM10*$AM$7</f>
        <v>#REF!</v>
      </c>
      <c r="BK10" s="8" t="e">
        <f>AN10*$AN$7</f>
        <v>#REF!</v>
      </c>
      <c r="BL10" s="8" t="e">
        <f>AO10*$AO$7</f>
        <v>#REF!</v>
      </c>
      <c r="BM10" s="8">
        <v>1</v>
      </c>
    </row>
    <row r="11" spans="1:65" ht="15.75" customHeight="1" thickBot="1">
      <c r="A11" s="360"/>
      <c r="B11" s="118" t="e">
        <f>'QTY '!#REF!</f>
        <v>#REF!</v>
      </c>
      <c r="C11" s="44" t="e">
        <f>#REF!</f>
        <v>#REF!</v>
      </c>
      <c r="D11" s="44" t="e">
        <f>#REF!</f>
        <v>#REF!</v>
      </c>
      <c r="E11" s="54" t="e">
        <f>#REF!</f>
        <v>#REF!</v>
      </c>
      <c r="F11" s="45" t="e">
        <f>#REF!</f>
        <v>#REF!</v>
      </c>
      <c r="G11" s="47" t="e">
        <f>#REF!</f>
        <v>#REF!</v>
      </c>
      <c r="H11" s="46" t="e">
        <f>#REF!</f>
        <v>#REF!</v>
      </c>
      <c r="I11" s="68" t="e">
        <f>#REF!</f>
        <v>#REF!</v>
      </c>
      <c r="J11" s="47" t="e">
        <f>#REF!</f>
        <v>#REF!</v>
      </c>
      <c r="K11" s="46" t="e">
        <f>#REF!</f>
        <v>#REF!</v>
      </c>
      <c r="L11" s="68" t="e">
        <f>#REF!</f>
        <v>#REF!</v>
      </c>
      <c r="M11" s="47" t="e">
        <f>#REF!</f>
        <v>#REF!</v>
      </c>
      <c r="N11" s="46" t="e">
        <f>#REF!</f>
        <v>#REF!</v>
      </c>
      <c r="O11" s="68" t="e">
        <f>#REF!</f>
        <v>#REF!</v>
      </c>
      <c r="P11" s="47" t="e">
        <f>#REF!</f>
        <v>#REF!</v>
      </c>
      <c r="Q11" s="46" t="e">
        <f>#REF!</f>
        <v>#REF!</v>
      </c>
      <c r="R11" s="68" t="e">
        <f>#REF!</f>
        <v>#REF!</v>
      </c>
      <c r="S11" s="47" t="e">
        <f>#REF!</f>
        <v>#REF!</v>
      </c>
      <c r="T11" s="46" t="e">
        <f>#REF!</f>
        <v>#REF!</v>
      </c>
      <c r="U11" s="68" t="e">
        <f>#REF!</f>
        <v>#REF!</v>
      </c>
      <c r="V11" s="47" t="e">
        <f>#REF!</f>
        <v>#REF!</v>
      </c>
      <c r="W11" s="46" t="e">
        <f>#REF!</f>
        <v>#REF!</v>
      </c>
      <c r="X11" s="68" t="e">
        <f>#REF!</f>
        <v>#REF!</v>
      </c>
      <c r="Y11" s="47" t="e">
        <f>#REF!</f>
        <v>#REF!</v>
      </c>
      <c r="Z11" s="46" t="e">
        <f>#REF!</f>
        <v>#REF!</v>
      </c>
      <c r="AA11" s="68" t="e">
        <f>#REF!</f>
        <v>#REF!</v>
      </c>
      <c r="AB11" s="48" t="e">
        <f>#REF!</f>
        <v>#REF!</v>
      </c>
      <c r="AC11" s="24"/>
      <c r="AE11" s="79" t="e">
        <f>#REF!/AE7</f>
        <v>#REF!</v>
      </c>
      <c r="AF11" s="79"/>
      <c r="AG11" s="79"/>
      <c r="AH11" s="105" t="e">
        <f>#REF!/AH7</f>
        <v>#REF!</v>
      </c>
      <c r="AI11" s="79"/>
      <c r="AJ11" s="79"/>
      <c r="AK11" s="105" t="e">
        <f>+'QTY '!#REF!</f>
        <v>#REF!</v>
      </c>
      <c r="AL11" s="105" t="e">
        <f>+'QTY '!#REF!</f>
        <v>#REF!</v>
      </c>
      <c r="AM11" s="105" t="e">
        <f>+'QTY '!#REF!</f>
        <v>#REF!</v>
      </c>
      <c r="AN11" s="105" t="e">
        <f>+'QTY '!#REF!</f>
        <v>#REF!</v>
      </c>
      <c r="AO11" s="105" t="e">
        <f>+'QTY '!#REF!</f>
        <v>#REF!</v>
      </c>
      <c r="AP11" s="8" t="s">
        <v>36</v>
      </c>
      <c r="AQ11" s="71">
        <v>0</v>
      </c>
      <c r="AR11" s="71">
        <v>0</v>
      </c>
      <c r="AS11" s="71">
        <v>0</v>
      </c>
      <c r="AT11" s="71">
        <v>0.25</v>
      </c>
      <c r="AU11" s="71"/>
      <c r="AV11" s="71"/>
      <c r="AW11" s="71">
        <v>203</v>
      </c>
      <c r="AX11" s="71">
        <v>749.2</v>
      </c>
      <c r="AY11" s="71"/>
      <c r="AZ11" s="71"/>
      <c r="BA11" s="71">
        <v>725.5</v>
      </c>
      <c r="BB11" s="71"/>
      <c r="BC11" s="71"/>
      <c r="BD11" s="71">
        <v>886.5</v>
      </c>
      <c r="BE11" s="71"/>
      <c r="BF11" s="71"/>
      <c r="BG11" s="71">
        <v>974.5</v>
      </c>
      <c r="BH11" s="8" t="e">
        <f t="shared" ref="BH11:BH74" si="0">AK11*$AK$7</f>
        <v>#REF!</v>
      </c>
      <c r="BI11" s="8" t="e">
        <f t="shared" ref="BI11:BI74" si="1">AL11*$AL$7</f>
        <v>#REF!</v>
      </c>
      <c r="BJ11" s="8" t="e">
        <f t="shared" ref="BJ11:BJ74" si="2">AM11*$AM$7</f>
        <v>#REF!</v>
      </c>
      <c r="BK11" s="8" t="e">
        <f t="shared" ref="BK11:BK74" si="3">AN11*$AN$7</f>
        <v>#REF!</v>
      </c>
      <c r="BL11" s="8" t="e">
        <f t="shared" ref="BL11:BL74" si="4">AO11*$AO$7</f>
        <v>#REF!</v>
      </c>
      <c r="BM11" s="8">
        <f>+BM10+1</f>
        <v>2</v>
      </c>
    </row>
    <row r="12" spans="1:65" ht="15.75" customHeight="1" thickBot="1">
      <c r="A12" s="360"/>
      <c r="B12" s="118" t="e">
        <f>'QTY '!#REF!</f>
        <v>#REF!</v>
      </c>
      <c r="C12" s="18" t="e">
        <f>#REF!</f>
        <v>#REF!</v>
      </c>
      <c r="D12" s="18" t="e">
        <f>#REF!</f>
        <v>#REF!</v>
      </c>
      <c r="E12" s="53" t="e">
        <f>#REF!</f>
        <v>#REF!</v>
      </c>
      <c r="F12" s="17" t="e">
        <f>#REF!</f>
        <v>#REF!</v>
      </c>
      <c r="G12" s="30" t="e">
        <f>#REF!</f>
        <v>#REF!</v>
      </c>
      <c r="H12" s="51" t="e">
        <f>#REF!</f>
        <v>#REF!</v>
      </c>
      <c r="I12" s="67" t="e">
        <f>#REF!</f>
        <v>#REF!</v>
      </c>
      <c r="J12" s="30" t="e">
        <f>#REF!</f>
        <v>#REF!</v>
      </c>
      <c r="K12" s="51" t="e">
        <f>#REF!</f>
        <v>#REF!</v>
      </c>
      <c r="L12" s="67" t="e">
        <f>#REF!</f>
        <v>#REF!</v>
      </c>
      <c r="M12" s="30" t="e">
        <f>#REF!</f>
        <v>#REF!</v>
      </c>
      <c r="N12" s="51" t="e">
        <f>#REF!</f>
        <v>#REF!</v>
      </c>
      <c r="O12" s="67" t="e">
        <f>#REF!</f>
        <v>#REF!</v>
      </c>
      <c r="P12" s="30" t="e">
        <f>#REF!</f>
        <v>#REF!</v>
      </c>
      <c r="Q12" s="51" t="e">
        <f>#REF!</f>
        <v>#REF!</v>
      </c>
      <c r="R12" s="67" t="e">
        <f>#REF!</f>
        <v>#REF!</v>
      </c>
      <c r="S12" s="30" t="e">
        <f>#REF!</f>
        <v>#REF!</v>
      </c>
      <c r="T12" s="51" t="e">
        <f>#REF!</f>
        <v>#REF!</v>
      </c>
      <c r="U12" s="67" t="e">
        <f>#REF!</f>
        <v>#REF!</v>
      </c>
      <c r="V12" s="30" t="e">
        <f>#REF!</f>
        <v>#REF!</v>
      </c>
      <c r="W12" s="51" t="e">
        <f>#REF!</f>
        <v>#REF!</v>
      </c>
      <c r="X12" s="67" t="e">
        <f>#REF!</f>
        <v>#REF!</v>
      </c>
      <c r="Y12" s="30" t="e">
        <f>#REF!</f>
        <v>#REF!</v>
      </c>
      <c r="Z12" s="51" t="e">
        <f>#REF!</f>
        <v>#REF!</v>
      </c>
      <c r="AA12" s="67" t="e">
        <f>#REF!</f>
        <v>#REF!</v>
      </c>
      <c r="AB12" s="31" t="e">
        <f>#REF!</f>
        <v>#REF!</v>
      </c>
      <c r="AC12" s="24">
        <v>24</v>
      </c>
      <c r="AE12" s="79" t="e">
        <f>#REF!/AE7</f>
        <v>#REF!</v>
      </c>
      <c r="AF12" s="79"/>
      <c r="AG12" s="79"/>
      <c r="AH12" s="105" t="e">
        <f>#REF!/AH7</f>
        <v>#REF!</v>
      </c>
      <c r="AI12" s="79"/>
      <c r="AJ12" s="79"/>
      <c r="AK12" s="105" t="e">
        <f>+'QTY '!#REF!</f>
        <v>#REF!</v>
      </c>
      <c r="AL12" s="105" t="e">
        <f>+'QTY '!#REF!</f>
        <v>#REF!</v>
      </c>
      <c r="AM12" s="105" t="e">
        <f>+'QTY '!#REF!</f>
        <v>#REF!</v>
      </c>
      <c r="AN12" s="105" t="e">
        <f>+'QTY '!#REF!</f>
        <v>#REF!</v>
      </c>
      <c r="AO12" s="105" t="e">
        <f>+'QTY '!#REF!</f>
        <v>#REF!</v>
      </c>
      <c r="AP12" s="8" t="s">
        <v>37</v>
      </c>
      <c r="AQ12" s="71">
        <v>0</v>
      </c>
      <c r="AR12" s="71">
        <v>0</v>
      </c>
      <c r="AS12" s="71">
        <v>0</v>
      </c>
      <c r="AT12" s="71">
        <v>0</v>
      </c>
      <c r="AU12" s="71"/>
      <c r="AV12" s="71"/>
      <c r="AW12" s="71">
        <v>0</v>
      </c>
      <c r="AX12" s="71">
        <v>0</v>
      </c>
      <c r="AY12" s="71"/>
      <c r="AZ12" s="71"/>
      <c r="BA12" s="71">
        <v>0</v>
      </c>
      <c r="BB12" s="71"/>
      <c r="BC12" s="71"/>
      <c r="BD12" s="71">
        <v>0</v>
      </c>
      <c r="BE12" s="71"/>
      <c r="BF12" s="71"/>
      <c r="BG12" s="71">
        <v>0</v>
      </c>
      <c r="BH12" s="8" t="e">
        <f t="shared" si="0"/>
        <v>#REF!</v>
      </c>
      <c r="BI12" s="8" t="e">
        <f t="shared" si="1"/>
        <v>#REF!</v>
      </c>
      <c r="BJ12" s="8" t="e">
        <f t="shared" si="2"/>
        <v>#REF!</v>
      </c>
      <c r="BK12" s="8" t="e">
        <f t="shared" si="3"/>
        <v>#REF!</v>
      </c>
      <c r="BL12" s="8" t="e">
        <f t="shared" si="4"/>
        <v>#REF!</v>
      </c>
      <c r="BM12" s="8">
        <f t="shared" ref="BM12:BM75" si="5">+BM11+1</f>
        <v>3</v>
      </c>
    </row>
    <row r="13" spans="1:65" ht="15.75" customHeight="1" thickBot="1">
      <c r="A13" s="360"/>
      <c r="B13" s="118" t="e">
        <f>'QTY '!#REF!</f>
        <v>#REF!</v>
      </c>
      <c r="C13" s="44" t="e">
        <f>#REF!</f>
        <v>#REF!</v>
      </c>
      <c r="D13" s="44" t="e">
        <f>#REF!</f>
        <v>#REF!</v>
      </c>
      <c r="E13" s="54" t="e">
        <f>#REF!</f>
        <v>#REF!</v>
      </c>
      <c r="F13" s="45" t="e">
        <f>#REF!</f>
        <v>#REF!</v>
      </c>
      <c r="G13" s="47" t="e">
        <f>#REF!</f>
        <v>#REF!</v>
      </c>
      <c r="H13" s="46" t="e">
        <f>#REF!</f>
        <v>#REF!</v>
      </c>
      <c r="I13" s="68" t="e">
        <f>#REF!</f>
        <v>#REF!</v>
      </c>
      <c r="J13" s="47" t="e">
        <f>#REF!</f>
        <v>#REF!</v>
      </c>
      <c r="K13" s="46" t="e">
        <f>#REF!</f>
        <v>#REF!</v>
      </c>
      <c r="L13" s="68" t="e">
        <f>#REF!</f>
        <v>#REF!</v>
      </c>
      <c r="M13" s="47" t="e">
        <f>#REF!</f>
        <v>#REF!</v>
      </c>
      <c r="N13" s="46" t="e">
        <f>#REF!</f>
        <v>#REF!</v>
      </c>
      <c r="O13" s="68" t="e">
        <f>#REF!</f>
        <v>#REF!</v>
      </c>
      <c r="P13" s="47" t="e">
        <f>#REF!</f>
        <v>#REF!</v>
      </c>
      <c r="Q13" s="46" t="e">
        <f>#REF!</f>
        <v>#REF!</v>
      </c>
      <c r="R13" s="68" t="e">
        <f>#REF!</f>
        <v>#REF!</v>
      </c>
      <c r="S13" s="47" t="e">
        <f>#REF!</f>
        <v>#REF!</v>
      </c>
      <c r="T13" s="46" t="e">
        <f>#REF!</f>
        <v>#REF!</v>
      </c>
      <c r="U13" s="68" t="e">
        <f>#REF!</f>
        <v>#REF!</v>
      </c>
      <c r="V13" s="47" t="e">
        <f>#REF!</f>
        <v>#REF!</v>
      </c>
      <c r="W13" s="46" t="e">
        <f>#REF!</f>
        <v>#REF!</v>
      </c>
      <c r="X13" s="68" t="e">
        <f>#REF!</f>
        <v>#REF!</v>
      </c>
      <c r="Y13" s="47" t="e">
        <f>#REF!</f>
        <v>#REF!</v>
      </c>
      <c r="Z13" s="46" t="e">
        <f>#REF!</f>
        <v>#REF!</v>
      </c>
      <c r="AA13" s="68" t="e">
        <f>#REF!</f>
        <v>#REF!</v>
      </c>
      <c r="AB13" s="48" t="e">
        <f>#REF!</f>
        <v>#REF!</v>
      </c>
      <c r="AC13" s="24"/>
      <c r="AE13" s="79" t="e">
        <f>#REF!/AE7</f>
        <v>#REF!</v>
      </c>
      <c r="AF13" s="79"/>
      <c r="AG13" s="79"/>
      <c r="AH13" s="105" t="e">
        <f>#REF!/AH7</f>
        <v>#REF!</v>
      </c>
      <c r="AI13" s="79"/>
      <c r="AJ13" s="79"/>
      <c r="AK13" s="105" t="e">
        <f>+'QTY '!#REF!</f>
        <v>#REF!</v>
      </c>
      <c r="AL13" s="105" t="e">
        <f>+'QTY '!#REF!</f>
        <v>#REF!</v>
      </c>
      <c r="AM13" s="105" t="e">
        <f>+'QTY '!#REF!</f>
        <v>#REF!</v>
      </c>
      <c r="AN13" s="105" t="e">
        <f>+'QTY '!#REF!</f>
        <v>#REF!</v>
      </c>
      <c r="AO13" s="105" t="e">
        <f>+'QTY '!#REF!</f>
        <v>#REF!</v>
      </c>
      <c r="AP13" s="8" t="s">
        <v>38</v>
      </c>
      <c r="AQ13" s="71">
        <v>0</v>
      </c>
      <c r="AR13" s="71">
        <v>0</v>
      </c>
      <c r="AS13" s="71">
        <v>0</v>
      </c>
      <c r="AT13" s="71">
        <v>0</v>
      </c>
      <c r="AU13" s="71"/>
      <c r="AV13" s="71"/>
      <c r="AW13" s="71">
        <v>2.75</v>
      </c>
      <c r="AX13" s="71">
        <v>9.6</v>
      </c>
      <c r="AY13" s="71"/>
      <c r="AZ13" s="71"/>
      <c r="BA13" s="71">
        <v>59</v>
      </c>
      <c r="BB13" s="71"/>
      <c r="BC13" s="71"/>
      <c r="BD13" s="71">
        <v>54.5</v>
      </c>
      <c r="BE13" s="71"/>
      <c r="BF13" s="71"/>
      <c r="BG13" s="71">
        <v>54.5</v>
      </c>
      <c r="BH13" s="8" t="e">
        <f t="shared" si="0"/>
        <v>#REF!</v>
      </c>
      <c r="BI13" s="8" t="e">
        <f t="shared" si="1"/>
        <v>#REF!</v>
      </c>
      <c r="BJ13" s="8" t="e">
        <f t="shared" si="2"/>
        <v>#REF!</v>
      </c>
      <c r="BK13" s="8" t="e">
        <f t="shared" si="3"/>
        <v>#REF!</v>
      </c>
      <c r="BL13" s="8" t="e">
        <f t="shared" si="4"/>
        <v>#REF!</v>
      </c>
      <c r="BM13" s="8">
        <f t="shared" si="5"/>
        <v>4</v>
      </c>
    </row>
    <row r="14" spans="1:65" ht="15.75" customHeight="1" thickBot="1">
      <c r="A14" s="388"/>
      <c r="B14" s="118" t="e">
        <f>'QTY '!#REF!</f>
        <v>#REF!</v>
      </c>
      <c r="C14" s="18" t="e">
        <f>#REF!</f>
        <v>#REF!</v>
      </c>
      <c r="D14" s="18" t="e">
        <f>#REF!</f>
        <v>#REF!</v>
      </c>
      <c r="E14" s="53" t="e">
        <f>#REF!</f>
        <v>#REF!</v>
      </c>
      <c r="F14" s="17" t="e">
        <f>#REF!</f>
        <v>#REF!</v>
      </c>
      <c r="G14" s="30" t="e">
        <f>#REF!</f>
        <v>#REF!</v>
      </c>
      <c r="H14" s="51" t="e">
        <f>#REF!</f>
        <v>#REF!</v>
      </c>
      <c r="I14" s="67" t="e">
        <f>#REF!</f>
        <v>#REF!</v>
      </c>
      <c r="J14" s="30" t="e">
        <f>#REF!</f>
        <v>#REF!</v>
      </c>
      <c r="K14" s="51" t="e">
        <f>#REF!</f>
        <v>#REF!</v>
      </c>
      <c r="L14" s="67" t="e">
        <f>#REF!</f>
        <v>#REF!</v>
      </c>
      <c r="M14" s="30" t="e">
        <f>#REF!</f>
        <v>#REF!</v>
      </c>
      <c r="N14" s="51" t="e">
        <f>#REF!</f>
        <v>#REF!</v>
      </c>
      <c r="O14" s="67" t="e">
        <f>#REF!</f>
        <v>#REF!</v>
      </c>
      <c r="P14" s="30" t="e">
        <f>#REF!</f>
        <v>#REF!</v>
      </c>
      <c r="Q14" s="51" t="e">
        <f>#REF!</f>
        <v>#REF!</v>
      </c>
      <c r="R14" s="67" t="e">
        <f>#REF!</f>
        <v>#REF!</v>
      </c>
      <c r="S14" s="30" t="e">
        <f>#REF!</f>
        <v>#REF!</v>
      </c>
      <c r="T14" s="51" t="e">
        <f>#REF!</f>
        <v>#REF!</v>
      </c>
      <c r="U14" s="67" t="e">
        <f>#REF!</f>
        <v>#REF!</v>
      </c>
      <c r="V14" s="30" t="e">
        <f>#REF!</f>
        <v>#REF!</v>
      </c>
      <c r="W14" s="51" t="e">
        <f>#REF!</f>
        <v>#REF!</v>
      </c>
      <c r="X14" s="67" t="e">
        <f>#REF!</f>
        <v>#REF!</v>
      </c>
      <c r="Y14" s="30" t="e">
        <f>#REF!</f>
        <v>#REF!</v>
      </c>
      <c r="Z14" s="51" t="e">
        <f>#REF!</f>
        <v>#REF!</v>
      </c>
      <c r="AA14" s="67" t="e">
        <f>#REF!</f>
        <v>#REF!</v>
      </c>
      <c r="AB14" s="31" t="e">
        <f>#REF!</f>
        <v>#REF!</v>
      </c>
      <c r="AC14" s="24">
        <v>24</v>
      </c>
      <c r="AE14" s="79" t="e">
        <f>#REF!/AE7</f>
        <v>#REF!</v>
      </c>
      <c r="AF14" s="79"/>
      <c r="AG14" s="79"/>
      <c r="AH14" s="105" t="e">
        <f>#REF!/AH7</f>
        <v>#REF!</v>
      </c>
      <c r="AI14" s="79"/>
      <c r="AJ14" s="79"/>
      <c r="AK14" s="105" t="e">
        <f>+'QTY '!#REF!</f>
        <v>#REF!</v>
      </c>
      <c r="AL14" s="105" t="e">
        <f>+'QTY '!#REF!</f>
        <v>#REF!</v>
      </c>
      <c r="AM14" s="105" t="e">
        <f>+'QTY '!#REF!</f>
        <v>#REF!</v>
      </c>
      <c r="AN14" s="105" t="e">
        <f>+'QTY '!#REF!</f>
        <v>#REF!</v>
      </c>
      <c r="AO14" s="105" t="e">
        <f>+'QTY '!#REF!</f>
        <v>#REF!</v>
      </c>
      <c r="AP14" s="8" t="s">
        <v>39</v>
      </c>
      <c r="AQ14" s="71">
        <v>0</v>
      </c>
      <c r="AR14" s="71">
        <v>0</v>
      </c>
      <c r="AS14" s="71">
        <v>0</v>
      </c>
      <c r="AT14" s="71">
        <v>0</v>
      </c>
      <c r="AU14" s="71"/>
      <c r="AV14" s="71"/>
      <c r="AW14" s="71">
        <v>6.5</v>
      </c>
      <c r="AX14" s="71">
        <v>172.4</v>
      </c>
      <c r="AY14" s="71"/>
      <c r="AZ14" s="71"/>
      <c r="BA14" s="71">
        <v>20</v>
      </c>
      <c r="BB14" s="71"/>
      <c r="BC14" s="71"/>
      <c r="BD14" s="71">
        <v>149</v>
      </c>
      <c r="BE14" s="71"/>
      <c r="BF14" s="71"/>
      <c r="BG14" s="71">
        <v>149</v>
      </c>
      <c r="BH14" s="8" t="e">
        <f t="shared" si="0"/>
        <v>#REF!</v>
      </c>
      <c r="BI14" s="8" t="e">
        <f t="shared" si="1"/>
        <v>#REF!</v>
      </c>
      <c r="BJ14" s="8" t="e">
        <f t="shared" si="2"/>
        <v>#REF!</v>
      </c>
      <c r="BK14" s="8" t="e">
        <f t="shared" si="3"/>
        <v>#REF!</v>
      </c>
      <c r="BL14" s="8" t="e">
        <f t="shared" si="4"/>
        <v>#REF!</v>
      </c>
      <c r="BM14" s="8">
        <f t="shared" si="5"/>
        <v>5</v>
      </c>
    </row>
    <row r="15" spans="1:65" ht="15.75" customHeight="1" thickBot="1">
      <c r="A15" s="388"/>
      <c r="B15" s="118" t="e">
        <f>'QTY '!#REF!</f>
        <v>#REF!</v>
      </c>
      <c r="C15" s="84" t="e">
        <f>#REF!</f>
        <v>#REF!</v>
      </c>
      <c r="D15" s="84" t="e">
        <f>#REF!</f>
        <v>#REF!</v>
      </c>
      <c r="E15" s="85" t="e">
        <f>#REF!</f>
        <v>#REF!</v>
      </c>
      <c r="F15" s="86" t="e">
        <f>#REF!</f>
        <v>#REF!</v>
      </c>
      <c r="G15" s="30" t="e">
        <f>#REF!</f>
        <v>#REF!</v>
      </c>
      <c r="H15" s="51" t="e">
        <f>#REF!</f>
        <v>#REF!</v>
      </c>
      <c r="I15" s="67" t="e">
        <f>#REF!</f>
        <v>#REF!</v>
      </c>
      <c r="J15" s="30" t="e">
        <f>#REF!</f>
        <v>#REF!</v>
      </c>
      <c r="K15" s="51" t="e">
        <f>#REF!</f>
        <v>#REF!</v>
      </c>
      <c r="L15" s="67" t="e">
        <f>#REF!</f>
        <v>#REF!</v>
      </c>
      <c r="M15" s="30" t="e">
        <f>#REF!</f>
        <v>#REF!</v>
      </c>
      <c r="N15" s="51" t="e">
        <f>#REF!</f>
        <v>#REF!</v>
      </c>
      <c r="O15" s="69" t="e">
        <f>#REF!</f>
        <v>#REF!</v>
      </c>
      <c r="P15" s="30" t="e">
        <f>#REF!</f>
        <v>#REF!</v>
      </c>
      <c r="Q15" s="51" t="e">
        <f>#REF!</f>
        <v>#REF!</v>
      </c>
      <c r="R15" s="69" t="e">
        <f>#REF!</f>
        <v>#REF!</v>
      </c>
      <c r="S15" s="30" t="e">
        <f>#REF!</f>
        <v>#REF!</v>
      </c>
      <c r="T15" s="51" t="e">
        <f>#REF!</f>
        <v>#REF!</v>
      </c>
      <c r="U15" s="69" t="e">
        <f>#REF!</f>
        <v>#REF!</v>
      </c>
      <c r="V15" s="30" t="e">
        <f>#REF!</f>
        <v>#REF!</v>
      </c>
      <c r="W15" s="51" t="e">
        <f>#REF!</f>
        <v>#REF!</v>
      </c>
      <c r="X15" s="69" t="e">
        <f>#REF!</f>
        <v>#REF!</v>
      </c>
      <c r="Y15" s="30" t="e">
        <f>#REF!</f>
        <v>#REF!</v>
      </c>
      <c r="Z15" s="51" t="e">
        <f>#REF!</f>
        <v>#REF!</v>
      </c>
      <c r="AA15" s="69" t="e">
        <f>#REF!</f>
        <v>#REF!</v>
      </c>
      <c r="AB15" s="31" t="e">
        <f>#REF!</f>
        <v>#REF!</v>
      </c>
      <c r="AC15" s="24">
        <v>24</v>
      </c>
      <c r="AE15" s="79" t="e">
        <f>#REF!/AE7</f>
        <v>#REF!</v>
      </c>
      <c r="AF15" s="79"/>
      <c r="AG15" s="79"/>
      <c r="AH15" s="105" t="e">
        <f>#REF!/AH7</f>
        <v>#REF!</v>
      </c>
      <c r="AI15" s="79"/>
      <c r="AJ15" s="79"/>
      <c r="AK15" s="105" t="e">
        <f>+'QTY '!#REF!</f>
        <v>#REF!</v>
      </c>
      <c r="AL15" s="105" t="e">
        <f>+'QTY '!#REF!</f>
        <v>#REF!</v>
      </c>
      <c r="AM15" s="105" t="e">
        <f>+'QTY '!#REF!</f>
        <v>#REF!</v>
      </c>
      <c r="AN15" s="105" t="e">
        <f>+'QTY '!#REF!</f>
        <v>#REF!</v>
      </c>
      <c r="AO15" s="105" t="e">
        <f>+'QTY '!#REF!</f>
        <v>#REF!</v>
      </c>
      <c r="AP15" s="8" t="s">
        <v>40</v>
      </c>
      <c r="AQ15" s="71">
        <v>0</v>
      </c>
      <c r="AR15" s="71">
        <v>0</v>
      </c>
      <c r="AS15" s="71">
        <v>0</v>
      </c>
      <c r="AT15" s="71">
        <v>0</v>
      </c>
      <c r="AU15" s="71"/>
      <c r="AV15" s="71"/>
      <c r="AW15" s="71">
        <v>0.75</v>
      </c>
      <c r="AX15" s="71">
        <v>2.4</v>
      </c>
      <c r="AY15" s="71"/>
      <c r="AZ15" s="71"/>
      <c r="BA15" s="71">
        <v>4</v>
      </c>
      <c r="BB15" s="71"/>
      <c r="BC15" s="71"/>
      <c r="BD15" s="71">
        <v>12</v>
      </c>
      <c r="BE15" s="71"/>
      <c r="BF15" s="71"/>
      <c r="BG15" s="71">
        <v>12</v>
      </c>
      <c r="BH15" s="8" t="e">
        <f t="shared" si="0"/>
        <v>#REF!</v>
      </c>
      <c r="BI15" s="8" t="e">
        <f t="shared" si="1"/>
        <v>#REF!</v>
      </c>
      <c r="BJ15" s="8" t="e">
        <f t="shared" si="2"/>
        <v>#REF!</v>
      </c>
      <c r="BK15" s="8" t="e">
        <f t="shared" si="3"/>
        <v>#REF!</v>
      </c>
      <c r="BL15" s="8" t="e">
        <f t="shared" si="4"/>
        <v>#REF!</v>
      </c>
      <c r="BM15" s="8">
        <f t="shared" si="5"/>
        <v>6</v>
      </c>
    </row>
    <row r="16" spans="1:65" ht="15.75" customHeight="1" thickBot="1">
      <c r="A16" s="388"/>
      <c r="B16" s="118" t="e">
        <f>'QTY '!#REF!</f>
        <v>#REF!</v>
      </c>
      <c r="C16" s="84" t="e">
        <f>#REF!</f>
        <v>#REF!</v>
      </c>
      <c r="D16" s="84" t="e">
        <f>#REF!</f>
        <v>#REF!</v>
      </c>
      <c r="E16" s="85" t="e">
        <f>#REF!</f>
        <v>#REF!</v>
      </c>
      <c r="F16" s="86" t="e">
        <f>#REF!</f>
        <v>#REF!</v>
      </c>
      <c r="G16" s="30" t="e">
        <f>#REF!</f>
        <v>#REF!</v>
      </c>
      <c r="H16" s="51" t="e">
        <f>#REF!</f>
        <v>#REF!</v>
      </c>
      <c r="I16" s="67" t="e">
        <f>#REF!</f>
        <v>#REF!</v>
      </c>
      <c r="J16" s="30" t="e">
        <f>#REF!</f>
        <v>#REF!</v>
      </c>
      <c r="K16" s="51" t="e">
        <f>#REF!</f>
        <v>#REF!</v>
      </c>
      <c r="L16" s="67" t="e">
        <f>#REF!</f>
        <v>#REF!</v>
      </c>
      <c r="M16" s="30" t="e">
        <f>#REF!</f>
        <v>#REF!</v>
      </c>
      <c r="N16" s="51" t="e">
        <f>#REF!</f>
        <v>#REF!</v>
      </c>
      <c r="O16" s="69" t="e">
        <f>#REF!</f>
        <v>#REF!</v>
      </c>
      <c r="P16" s="30" t="e">
        <f>#REF!</f>
        <v>#REF!</v>
      </c>
      <c r="Q16" s="51" t="e">
        <f>#REF!</f>
        <v>#REF!</v>
      </c>
      <c r="R16" s="69" t="e">
        <f>#REF!</f>
        <v>#REF!</v>
      </c>
      <c r="S16" s="30" t="e">
        <f>#REF!</f>
        <v>#REF!</v>
      </c>
      <c r="T16" s="51" t="e">
        <f>#REF!</f>
        <v>#REF!</v>
      </c>
      <c r="U16" s="69" t="e">
        <f>#REF!</f>
        <v>#REF!</v>
      </c>
      <c r="V16" s="30" t="e">
        <f>#REF!</f>
        <v>#REF!</v>
      </c>
      <c r="W16" s="51" t="e">
        <f>#REF!</f>
        <v>#REF!</v>
      </c>
      <c r="X16" s="69" t="e">
        <f>#REF!</f>
        <v>#REF!</v>
      </c>
      <c r="Y16" s="30" t="e">
        <f>#REF!</f>
        <v>#REF!</v>
      </c>
      <c r="Z16" s="51" t="e">
        <f>#REF!</f>
        <v>#REF!</v>
      </c>
      <c r="AA16" s="69" t="e">
        <f>#REF!</f>
        <v>#REF!</v>
      </c>
      <c r="AB16" s="31" t="e">
        <f>#REF!</f>
        <v>#REF!</v>
      </c>
      <c r="AC16" s="24">
        <v>24</v>
      </c>
      <c r="AE16" s="79" t="e">
        <f>#REF!/AE8</f>
        <v>#REF!</v>
      </c>
      <c r="AF16" s="79"/>
      <c r="AG16" s="79"/>
      <c r="AH16" s="105" t="e">
        <f>#REF!/AH8</f>
        <v>#REF!</v>
      </c>
      <c r="AI16" s="79"/>
      <c r="AJ16" s="79"/>
      <c r="AK16" s="105" t="e">
        <f>+'QTY '!#REF!</f>
        <v>#REF!</v>
      </c>
      <c r="AL16" s="105" t="e">
        <f>+'QTY '!#REF!</f>
        <v>#REF!</v>
      </c>
      <c r="AM16" s="105" t="e">
        <f>+'QTY '!#REF!</f>
        <v>#REF!</v>
      </c>
      <c r="AN16" s="105" t="e">
        <f>+'QTY '!#REF!</f>
        <v>#REF!</v>
      </c>
      <c r="AO16" s="105" t="e">
        <f>+'QTY '!#REF!</f>
        <v>#REF!</v>
      </c>
      <c r="AP16" s="8" t="s">
        <v>41</v>
      </c>
      <c r="AQ16" s="71">
        <v>0</v>
      </c>
      <c r="AR16" s="71">
        <v>0</v>
      </c>
      <c r="AS16" s="71">
        <v>0</v>
      </c>
      <c r="AT16" s="71">
        <v>0</v>
      </c>
      <c r="AU16" s="71"/>
      <c r="AV16" s="71"/>
      <c r="AW16" s="71">
        <v>0.75</v>
      </c>
      <c r="AX16" s="71">
        <v>2.4</v>
      </c>
      <c r="AY16" s="71"/>
      <c r="AZ16" s="71"/>
      <c r="BA16" s="71">
        <v>4</v>
      </c>
      <c r="BB16" s="71"/>
      <c r="BC16" s="71"/>
      <c r="BD16" s="71">
        <v>12</v>
      </c>
      <c r="BE16" s="71"/>
      <c r="BF16" s="71"/>
      <c r="BG16" s="71">
        <v>12</v>
      </c>
      <c r="BH16" s="8" t="e">
        <f t="shared" si="0"/>
        <v>#REF!</v>
      </c>
      <c r="BI16" s="8" t="e">
        <f t="shared" si="1"/>
        <v>#REF!</v>
      </c>
      <c r="BJ16" s="8" t="e">
        <f t="shared" si="2"/>
        <v>#REF!</v>
      </c>
      <c r="BK16" s="8" t="e">
        <f t="shared" si="3"/>
        <v>#REF!</v>
      </c>
      <c r="BL16" s="8" t="e">
        <f t="shared" si="4"/>
        <v>#REF!</v>
      </c>
      <c r="BM16" s="8">
        <f t="shared" si="5"/>
        <v>7</v>
      </c>
    </row>
    <row r="17" spans="1:65" ht="15.75" customHeight="1" thickBot="1">
      <c r="A17" s="361" t="s">
        <v>28</v>
      </c>
      <c r="B17" s="118" t="e">
        <f>'QTY '!#REF!</f>
        <v>#REF!</v>
      </c>
      <c r="C17" s="282" t="e">
        <f>#REF!</f>
        <v>#REF!</v>
      </c>
      <c r="D17" s="282" t="e">
        <f>'QTY '!#REF!</f>
        <v>#REF!</v>
      </c>
      <c r="E17" s="282" t="e">
        <f>'QTY '!#REF!</f>
        <v>#REF!</v>
      </c>
      <c r="F17" s="283" t="e">
        <f>'QTY '!#REF!</f>
        <v>#REF!</v>
      </c>
      <c r="G17" s="88" t="e">
        <f>#REF!</f>
        <v>#REF!</v>
      </c>
      <c r="H17" s="89" t="e">
        <f>#REF!</f>
        <v>#REF!</v>
      </c>
      <c r="I17" s="90" t="e">
        <f>#REF!</f>
        <v>#REF!</v>
      </c>
      <c r="J17" s="88" t="e">
        <f>#REF!</f>
        <v>#REF!</v>
      </c>
      <c r="K17" s="89" t="e">
        <f>#REF!</f>
        <v>#REF!</v>
      </c>
      <c r="L17" s="90" t="e">
        <f>#REF!</f>
        <v>#REF!</v>
      </c>
      <c r="M17" s="88" t="e">
        <f>#REF!</f>
        <v>#REF!</v>
      </c>
      <c r="N17" s="89" t="e">
        <f>#REF!</f>
        <v>#REF!</v>
      </c>
      <c r="O17" s="90" t="e">
        <f>#REF!</f>
        <v>#REF!</v>
      </c>
      <c r="P17" s="88" t="e">
        <f>#REF!</f>
        <v>#REF!</v>
      </c>
      <c r="Q17" s="89" t="e">
        <f>#REF!</f>
        <v>#REF!</v>
      </c>
      <c r="R17" s="90" t="e">
        <f>#REF!</f>
        <v>#REF!</v>
      </c>
      <c r="S17" s="88" t="e">
        <f>#REF!</f>
        <v>#REF!</v>
      </c>
      <c r="T17" s="89" t="e">
        <f>#REF!</f>
        <v>#REF!</v>
      </c>
      <c r="U17" s="90" t="e">
        <f>#REF!</f>
        <v>#REF!</v>
      </c>
      <c r="V17" s="88" t="e">
        <f>#REF!</f>
        <v>#REF!</v>
      </c>
      <c r="W17" s="89" t="e">
        <f>#REF!</f>
        <v>#REF!</v>
      </c>
      <c r="X17" s="90" t="e">
        <f>#REF!</f>
        <v>#REF!</v>
      </c>
      <c r="Y17" s="88" t="e">
        <f>#REF!</f>
        <v>#REF!</v>
      </c>
      <c r="Z17" s="89" t="e">
        <f>#REF!</f>
        <v>#REF!</v>
      </c>
      <c r="AA17" s="90" t="e">
        <f>#REF!</f>
        <v>#REF!</v>
      </c>
      <c r="AB17" s="91" t="e">
        <f>#REF!</f>
        <v>#REF!</v>
      </c>
      <c r="AC17" s="70"/>
      <c r="AE17" s="79" t="e">
        <f>#REF!/AE7</f>
        <v>#REF!</v>
      </c>
      <c r="AF17" s="79"/>
      <c r="AG17" s="79"/>
      <c r="AH17" s="105" t="e">
        <f>#REF!/AH7</f>
        <v>#REF!</v>
      </c>
      <c r="AI17" s="79"/>
      <c r="AJ17" s="79"/>
      <c r="AK17" s="105" t="e">
        <f>+'QTY '!#REF!</f>
        <v>#REF!</v>
      </c>
      <c r="AL17" s="105" t="e">
        <f>+'QTY '!#REF!</f>
        <v>#REF!</v>
      </c>
      <c r="AM17" s="105" t="e">
        <f>+'QTY '!#REF!</f>
        <v>#REF!</v>
      </c>
      <c r="AN17" s="105" t="e">
        <f>+'QTY '!#REF!</f>
        <v>#REF!</v>
      </c>
      <c r="AO17" s="105" t="e">
        <f>+'QTY '!#REF!</f>
        <v>#REF!</v>
      </c>
      <c r="AP17" s="8" t="s">
        <v>41</v>
      </c>
      <c r="AQ17" s="71">
        <v>0</v>
      </c>
      <c r="AR17" s="71">
        <v>0</v>
      </c>
      <c r="AS17" s="71">
        <v>0</v>
      </c>
      <c r="AT17" s="71">
        <v>0</v>
      </c>
      <c r="AU17" s="71"/>
      <c r="AV17" s="71"/>
      <c r="AW17" s="71">
        <v>0.75</v>
      </c>
      <c r="AX17" s="71">
        <v>7.2</v>
      </c>
      <c r="AY17" s="71"/>
      <c r="AZ17" s="71"/>
      <c r="BA17" s="71">
        <v>8.5</v>
      </c>
      <c r="BB17" s="71"/>
      <c r="BC17" s="71"/>
      <c r="BD17" s="71">
        <v>7</v>
      </c>
      <c r="BE17" s="71"/>
      <c r="BF17" s="71"/>
      <c r="BG17" s="71">
        <v>7</v>
      </c>
      <c r="BH17" s="8" t="e">
        <f t="shared" si="0"/>
        <v>#REF!</v>
      </c>
      <c r="BI17" s="8" t="e">
        <f t="shared" si="1"/>
        <v>#REF!</v>
      </c>
      <c r="BJ17" s="8" t="e">
        <f t="shared" si="2"/>
        <v>#REF!</v>
      </c>
      <c r="BK17" s="8" t="e">
        <f t="shared" si="3"/>
        <v>#REF!</v>
      </c>
      <c r="BL17" s="8" t="e">
        <f t="shared" si="4"/>
        <v>#REF!</v>
      </c>
      <c r="BM17" s="8">
        <f t="shared" si="5"/>
        <v>8</v>
      </c>
    </row>
    <row r="18" spans="1:65" ht="15.75" customHeight="1" thickBot="1">
      <c r="A18" s="389"/>
      <c r="B18" s="118" t="e">
        <f>'QTY '!#REF!</f>
        <v>#REF!</v>
      </c>
      <c r="C18" s="282" t="e">
        <f>#REF!</f>
        <v>#REF!</v>
      </c>
      <c r="D18" s="282" t="e">
        <f>'QTY '!#REF!</f>
        <v>#REF!</v>
      </c>
      <c r="E18" s="282" t="e">
        <f>'QTY '!#REF!</f>
        <v>#REF!</v>
      </c>
      <c r="F18" s="283" t="e">
        <f>'QTY '!#REF!</f>
        <v>#REF!</v>
      </c>
      <c r="G18" s="88" t="e">
        <f>#REF!</f>
        <v>#REF!</v>
      </c>
      <c r="H18" s="89" t="e">
        <f>#REF!</f>
        <v>#REF!</v>
      </c>
      <c r="I18" s="90" t="e">
        <f>#REF!</f>
        <v>#REF!</v>
      </c>
      <c r="J18" s="88" t="e">
        <f>#REF!</f>
        <v>#REF!</v>
      </c>
      <c r="K18" s="89" t="e">
        <f>#REF!</f>
        <v>#REF!</v>
      </c>
      <c r="L18" s="90" t="e">
        <f>#REF!</f>
        <v>#REF!</v>
      </c>
      <c r="M18" s="88" t="e">
        <f>#REF!</f>
        <v>#REF!</v>
      </c>
      <c r="N18" s="89" t="e">
        <f>#REF!</f>
        <v>#REF!</v>
      </c>
      <c r="O18" s="90" t="e">
        <f>#REF!</f>
        <v>#REF!</v>
      </c>
      <c r="P18" s="88" t="e">
        <f>#REF!</f>
        <v>#REF!</v>
      </c>
      <c r="Q18" s="89" t="e">
        <f>#REF!</f>
        <v>#REF!</v>
      </c>
      <c r="R18" s="90" t="e">
        <f>#REF!</f>
        <v>#REF!</v>
      </c>
      <c r="S18" s="88" t="e">
        <f>#REF!</f>
        <v>#REF!</v>
      </c>
      <c r="T18" s="89" t="e">
        <f>#REF!</f>
        <v>#REF!</v>
      </c>
      <c r="U18" s="90" t="e">
        <f>#REF!</f>
        <v>#REF!</v>
      </c>
      <c r="V18" s="88" t="e">
        <f>#REF!</f>
        <v>#REF!</v>
      </c>
      <c r="W18" s="89" t="e">
        <f>#REF!</f>
        <v>#REF!</v>
      </c>
      <c r="X18" s="90" t="e">
        <f>#REF!</f>
        <v>#REF!</v>
      </c>
      <c r="Y18" s="88" t="e">
        <f>#REF!</f>
        <v>#REF!</v>
      </c>
      <c r="Z18" s="89" t="e">
        <f>#REF!</f>
        <v>#REF!</v>
      </c>
      <c r="AA18" s="90" t="e">
        <f>#REF!</f>
        <v>#REF!</v>
      </c>
      <c r="AB18" s="91" t="e">
        <f>#REF!</f>
        <v>#REF!</v>
      </c>
      <c r="AC18" s="70"/>
      <c r="AE18" s="79" t="e">
        <f>#REF!/AE8</f>
        <v>#REF!</v>
      </c>
      <c r="AF18" s="79"/>
      <c r="AG18" s="79"/>
      <c r="AH18" s="105" t="e">
        <f>#REF!/AH8</f>
        <v>#REF!</v>
      </c>
      <c r="AI18" s="79"/>
      <c r="AJ18" s="79"/>
      <c r="AK18" s="105" t="e">
        <f>+'QTY '!#REF!</f>
        <v>#REF!</v>
      </c>
      <c r="AL18" s="105" t="e">
        <f>+'QTY '!#REF!</f>
        <v>#REF!</v>
      </c>
      <c r="AM18" s="105" t="e">
        <f>+'QTY '!#REF!</f>
        <v>#REF!</v>
      </c>
      <c r="AN18" s="105" t="e">
        <f>+'QTY '!#REF!</f>
        <v>#REF!</v>
      </c>
      <c r="AO18" s="105" t="e">
        <f>+'QTY '!#REF!</f>
        <v>#REF!</v>
      </c>
      <c r="AP18" s="8" t="s">
        <v>42</v>
      </c>
      <c r="AQ18" s="71">
        <v>0</v>
      </c>
      <c r="AR18" s="71">
        <v>0</v>
      </c>
      <c r="AS18" s="71">
        <v>0</v>
      </c>
      <c r="AT18" s="71">
        <v>0</v>
      </c>
      <c r="AU18" s="71"/>
      <c r="AV18" s="71"/>
      <c r="AW18" s="71">
        <v>0.75</v>
      </c>
      <c r="AX18" s="71">
        <v>7.2</v>
      </c>
      <c r="AY18" s="71"/>
      <c r="AZ18" s="71"/>
      <c r="BA18" s="71">
        <v>8.5</v>
      </c>
      <c r="BB18" s="71"/>
      <c r="BC18" s="71"/>
      <c r="BD18" s="71">
        <v>7</v>
      </c>
      <c r="BE18" s="71"/>
      <c r="BF18" s="71"/>
      <c r="BG18" s="71">
        <v>7</v>
      </c>
      <c r="BH18" s="8" t="e">
        <f t="shared" si="0"/>
        <v>#REF!</v>
      </c>
      <c r="BI18" s="8" t="e">
        <f t="shared" si="1"/>
        <v>#REF!</v>
      </c>
      <c r="BJ18" s="8" t="e">
        <f t="shared" si="2"/>
        <v>#REF!</v>
      </c>
      <c r="BK18" s="8" t="e">
        <f t="shared" si="3"/>
        <v>#REF!</v>
      </c>
      <c r="BL18" s="8" t="e">
        <f t="shared" si="4"/>
        <v>#REF!</v>
      </c>
      <c r="BM18" s="8">
        <f t="shared" si="5"/>
        <v>9</v>
      </c>
    </row>
    <row r="19" spans="1:65" ht="15.75" customHeight="1" thickBot="1">
      <c r="A19" s="389"/>
      <c r="B19" s="118" t="e">
        <f>'QTY '!#REF!</f>
        <v>#REF!</v>
      </c>
      <c r="C19" s="327" t="e">
        <f>#REF!</f>
        <v>#REF!</v>
      </c>
      <c r="D19" s="327" t="e">
        <f>'QTY '!#REF!</f>
        <v>#REF!</v>
      </c>
      <c r="E19" s="327" t="e">
        <f>'QTY '!#REF!</f>
        <v>#REF!</v>
      </c>
      <c r="F19" s="327" t="e">
        <f>'QTY '!#REF!</f>
        <v>#REF!</v>
      </c>
      <c r="G19" s="370" t="e">
        <f>G6</f>
        <v>#REF!</v>
      </c>
      <c r="H19" s="370"/>
      <c r="I19" s="370"/>
      <c r="J19" s="370" t="e">
        <f>J6</f>
        <v>#REF!</v>
      </c>
      <c r="K19" s="370"/>
      <c r="L19" s="370"/>
      <c r="M19" s="370" t="e">
        <f>M6</f>
        <v>#REF!</v>
      </c>
      <c r="N19" s="370"/>
      <c r="O19" s="370"/>
      <c r="P19" s="370" t="e">
        <f>P6</f>
        <v>#REF!</v>
      </c>
      <c r="Q19" s="370"/>
      <c r="R19" s="370"/>
      <c r="S19" s="370" t="e">
        <f>S6</f>
        <v>#REF!</v>
      </c>
      <c r="T19" s="370"/>
      <c r="U19" s="370"/>
      <c r="V19" s="370" t="e">
        <f>V6</f>
        <v>#REF!</v>
      </c>
      <c r="W19" s="370"/>
      <c r="X19" s="370"/>
      <c r="Y19" s="370" t="e">
        <f>Y6</f>
        <v>#REF!</v>
      </c>
      <c r="Z19" s="370"/>
      <c r="AA19" s="370"/>
      <c r="AB19" s="93"/>
      <c r="AC19" s="93"/>
      <c r="AD19" s="94"/>
      <c r="AE19" s="79" t="e">
        <f>#REF!/AE7</f>
        <v>#REF!</v>
      </c>
      <c r="AF19" s="79"/>
      <c r="AG19" s="79"/>
      <c r="AH19" s="105" t="e">
        <f>#REF!/AH7</f>
        <v>#REF!</v>
      </c>
      <c r="AI19" s="79"/>
      <c r="AJ19" s="79"/>
      <c r="AK19" s="105" t="e">
        <f>+'QTY '!#REF!</f>
        <v>#REF!</v>
      </c>
      <c r="AL19" s="105" t="e">
        <f>+'QTY '!#REF!</f>
        <v>#REF!</v>
      </c>
      <c r="AM19" s="105" t="e">
        <f>+'QTY '!#REF!</f>
        <v>#REF!</v>
      </c>
      <c r="AN19" s="105" t="e">
        <f>+'QTY '!#REF!</f>
        <v>#REF!</v>
      </c>
      <c r="AO19" s="105" t="e">
        <f>+'QTY '!#REF!</f>
        <v>#REF!</v>
      </c>
      <c r="AP19" s="8" t="s">
        <v>42</v>
      </c>
      <c r="AQ19" s="102">
        <v>0</v>
      </c>
      <c r="AR19" s="103">
        <v>0</v>
      </c>
      <c r="AS19" s="103">
        <v>0</v>
      </c>
      <c r="AT19" s="103">
        <v>1</v>
      </c>
      <c r="AU19" s="103"/>
      <c r="AV19" s="103"/>
      <c r="AW19" s="103">
        <v>143</v>
      </c>
      <c r="AX19" s="103">
        <v>259.60000000000002</v>
      </c>
      <c r="AY19" s="103"/>
      <c r="AZ19" s="103"/>
      <c r="BA19" s="103">
        <v>203</v>
      </c>
      <c r="BB19" s="103"/>
      <c r="BC19" s="103"/>
      <c r="BD19" s="103">
        <v>85.5</v>
      </c>
      <c r="BE19" s="103"/>
      <c r="BF19" s="103"/>
      <c r="BG19" s="103">
        <v>101.5</v>
      </c>
      <c r="BH19" s="8" t="e">
        <f t="shared" si="0"/>
        <v>#REF!</v>
      </c>
      <c r="BI19" s="8" t="e">
        <f t="shared" si="1"/>
        <v>#REF!</v>
      </c>
      <c r="BJ19" s="8" t="e">
        <f t="shared" si="2"/>
        <v>#REF!</v>
      </c>
      <c r="BK19" s="8" t="e">
        <f t="shared" si="3"/>
        <v>#REF!</v>
      </c>
      <c r="BL19" s="8" t="e">
        <f t="shared" si="4"/>
        <v>#REF!</v>
      </c>
      <c r="BM19" s="8">
        <f t="shared" si="5"/>
        <v>10</v>
      </c>
    </row>
    <row r="20" spans="1:65" ht="15.75" customHeight="1" thickBot="1">
      <c r="A20" s="362"/>
      <c r="B20" s="118" t="e">
        <f>'QTY '!#REF!</f>
        <v>#REF!</v>
      </c>
      <c r="C20" s="354" t="e">
        <f>#REF!</f>
        <v>#REF!</v>
      </c>
      <c r="D20" s="354" t="e">
        <f>'QTY '!#REF!</f>
        <v>#REF!</v>
      </c>
      <c r="E20" s="354" t="e">
        <f>'QTY '!#REF!</f>
        <v>#REF!</v>
      </c>
      <c r="F20" s="354" t="e">
        <f>'QTY '!#REF!</f>
        <v>#REF!</v>
      </c>
      <c r="G20" s="354">
        <v>24</v>
      </c>
      <c r="H20" s="354"/>
      <c r="I20" s="354"/>
      <c r="J20" s="354">
        <v>18</v>
      </c>
      <c r="K20" s="354"/>
      <c r="L20" s="354"/>
      <c r="M20" s="354">
        <v>19</v>
      </c>
      <c r="N20" s="354"/>
      <c r="O20" s="354"/>
      <c r="P20" s="354">
        <v>20</v>
      </c>
      <c r="Q20" s="354"/>
      <c r="R20" s="354"/>
      <c r="S20" s="354">
        <v>20</v>
      </c>
      <c r="T20" s="354"/>
      <c r="U20" s="354"/>
      <c r="V20" s="354">
        <v>25</v>
      </c>
      <c r="W20" s="354"/>
      <c r="X20" s="354"/>
      <c r="Y20" s="354">
        <v>19</v>
      </c>
      <c r="Z20" s="354"/>
      <c r="AA20" s="354"/>
      <c r="AB20" s="93"/>
      <c r="AC20" s="93"/>
      <c r="AD20" s="94"/>
      <c r="AE20" s="79" t="e">
        <f>#REF!/AE7</f>
        <v>#REF!</v>
      </c>
      <c r="AF20" s="79"/>
      <c r="AG20" s="79"/>
      <c r="AH20" s="105" t="e">
        <f>#REF!/AH7</f>
        <v>#REF!</v>
      </c>
      <c r="AI20" s="79"/>
      <c r="AJ20" s="79"/>
      <c r="AK20" s="105" t="e">
        <f>+'QTY '!#REF!</f>
        <v>#REF!</v>
      </c>
      <c r="AL20" s="105" t="e">
        <f>+'QTY '!#REF!</f>
        <v>#REF!</v>
      </c>
      <c r="AM20" s="105" t="e">
        <f>+'QTY '!#REF!</f>
        <v>#REF!</v>
      </c>
      <c r="AN20" s="105" t="e">
        <f>+'QTY '!#REF!</f>
        <v>#REF!</v>
      </c>
      <c r="AO20" s="105" t="e">
        <f>+'QTY '!#REF!</f>
        <v>#REF!</v>
      </c>
      <c r="AP20" s="8" t="s">
        <v>43</v>
      </c>
      <c r="AQ20" s="103">
        <v>0</v>
      </c>
      <c r="AR20" s="103">
        <v>0</v>
      </c>
      <c r="AS20" s="103">
        <v>0</v>
      </c>
      <c r="AT20" s="103">
        <v>0</v>
      </c>
      <c r="AU20" s="103"/>
      <c r="AV20" s="103"/>
      <c r="AW20" s="103">
        <v>56.5</v>
      </c>
      <c r="AX20" s="103">
        <v>70.8</v>
      </c>
      <c r="AY20" s="103"/>
      <c r="AZ20" s="103"/>
      <c r="BA20" s="103">
        <v>75.5</v>
      </c>
      <c r="BB20" s="103"/>
      <c r="BC20" s="103"/>
      <c r="BD20" s="103">
        <v>30</v>
      </c>
      <c r="BE20" s="103"/>
      <c r="BF20" s="103"/>
      <c r="BG20" s="103">
        <v>30</v>
      </c>
      <c r="BH20" s="8" t="e">
        <f t="shared" si="0"/>
        <v>#REF!</v>
      </c>
      <c r="BI20" s="8" t="e">
        <f t="shared" si="1"/>
        <v>#REF!</v>
      </c>
      <c r="BJ20" s="8" t="e">
        <f t="shared" si="2"/>
        <v>#REF!</v>
      </c>
      <c r="BK20" s="8" t="e">
        <f t="shared" si="3"/>
        <v>#REF!</v>
      </c>
      <c r="BL20" s="8" t="e">
        <f t="shared" si="4"/>
        <v>#REF!</v>
      </c>
      <c r="BM20" s="8">
        <f t="shared" si="5"/>
        <v>11</v>
      </c>
    </row>
    <row r="21" spans="1:65" ht="15.75" customHeight="1" thickBot="1">
      <c r="A21" s="362"/>
      <c r="B21" s="118" t="e">
        <f>'QTY '!#REF!</f>
        <v>#REF!</v>
      </c>
      <c r="C21" s="354" t="e">
        <f>#REF!</f>
        <v>#REF!</v>
      </c>
      <c r="D21" s="354" t="e">
        <f>'QTY '!#REF!</f>
        <v>#REF!</v>
      </c>
      <c r="E21" s="354" t="e">
        <f>'QTY '!#REF!</f>
        <v>#REF!</v>
      </c>
      <c r="F21" s="354" t="e">
        <f>'QTY '!#REF!</f>
        <v>#REF!</v>
      </c>
      <c r="G21" s="354">
        <v>5</v>
      </c>
      <c r="H21" s="354"/>
      <c r="I21" s="354"/>
      <c r="J21" s="354">
        <v>4</v>
      </c>
      <c r="K21" s="354"/>
      <c r="L21" s="354"/>
      <c r="M21" s="354">
        <v>3</v>
      </c>
      <c r="N21" s="354"/>
      <c r="O21" s="354"/>
      <c r="P21" s="354">
        <v>5</v>
      </c>
      <c r="Q21" s="354"/>
      <c r="R21" s="354"/>
      <c r="S21" s="354">
        <v>4</v>
      </c>
      <c r="T21" s="354"/>
      <c r="U21" s="354"/>
      <c r="V21" s="354">
        <v>4</v>
      </c>
      <c r="W21" s="354"/>
      <c r="X21" s="354"/>
      <c r="Y21" s="354">
        <v>4</v>
      </c>
      <c r="Z21" s="354"/>
      <c r="AA21" s="354"/>
      <c r="AB21" s="93"/>
      <c r="AC21" s="93"/>
      <c r="AD21" s="94"/>
      <c r="AE21" s="79" t="e">
        <f>#REF!/AE7</f>
        <v>#REF!</v>
      </c>
      <c r="AF21" s="79"/>
      <c r="AG21" s="79"/>
      <c r="AH21" s="105" t="e">
        <f>#REF!/AH7</f>
        <v>#REF!</v>
      </c>
      <c r="AI21" s="79"/>
      <c r="AJ21" s="79"/>
      <c r="AK21" s="105" t="e">
        <f>+'QTY '!#REF!</f>
        <v>#REF!</v>
      </c>
      <c r="AL21" s="105" t="e">
        <f>+'QTY '!#REF!</f>
        <v>#REF!</v>
      </c>
      <c r="AM21" s="105" t="e">
        <f>+'QTY '!#REF!</f>
        <v>#REF!</v>
      </c>
      <c r="AN21" s="105" t="e">
        <f>+'QTY '!#REF!</f>
        <v>#REF!</v>
      </c>
      <c r="AO21" s="105" t="e">
        <f>+'QTY '!#REF!</f>
        <v>#REF!</v>
      </c>
      <c r="AP21" s="8" t="s">
        <v>44</v>
      </c>
      <c r="AQ21" s="103">
        <v>0</v>
      </c>
      <c r="AR21" s="103">
        <v>0</v>
      </c>
      <c r="AS21" s="103">
        <v>0</v>
      </c>
      <c r="AT21" s="103">
        <v>0</v>
      </c>
      <c r="AU21" s="103"/>
      <c r="AV21" s="103"/>
      <c r="AW21" s="103">
        <v>10</v>
      </c>
      <c r="AX21" s="103">
        <v>3.2</v>
      </c>
      <c r="AY21" s="103"/>
      <c r="AZ21" s="103"/>
      <c r="BA21" s="103">
        <v>2</v>
      </c>
      <c r="BB21" s="103"/>
      <c r="BC21" s="103"/>
      <c r="BD21" s="103">
        <v>2</v>
      </c>
      <c r="BE21" s="103"/>
      <c r="BF21" s="103"/>
      <c r="BG21" s="103">
        <v>2</v>
      </c>
      <c r="BH21" s="8" t="e">
        <f t="shared" si="0"/>
        <v>#REF!</v>
      </c>
      <c r="BI21" s="8" t="e">
        <f t="shared" si="1"/>
        <v>#REF!</v>
      </c>
      <c r="BJ21" s="8" t="e">
        <f t="shared" si="2"/>
        <v>#REF!</v>
      </c>
      <c r="BK21" s="8" t="e">
        <f t="shared" si="3"/>
        <v>#REF!</v>
      </c>
      <c r="BL21" s="8" t="e">
        <f t="shared" si="4"/>
        <v>#REF!</v>
      </c>
      <c r="BM21" s="8">
        <f t="shared" si="5"/>
        <v>12</v>
      </c>
    </row>
    <row r="22" spans="1:65" ht="15.75" customHeight="1" thickBot="1">
      <c r="A22" s="362"/>
      <c r="B22" s="118" t="e">
        <f>'QTY '!#REF!</f>
        <v>#REF!</v>
      </c>
      <c r="C22" s="92" t="e">
        <f>#REF!</f>
        <v>#REF!</v>
      </c>
      <c r="D22" s="92" t="e">
        <f>#REF!</f>
        <v>#REF!</v>
      </c>
      <c r="E22" s="92" t="e">
        <f>#REF!</f>
        <v>#REF!</v>
      </c>
      <c r="F22" s="92" t="e">
        <f>#REF!</f>
        <v>#REF!</v>
      </c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3"/>
      <c r="AC22" s="93"/>
      <c r="AD22" s="94"/>
      <c r="AE22" s="79" t="e">
        <f>#REF!/AE7</f>
        <v>#REF!</v>
      </c>
      <c r="AF22" s="79"/>
      <c r="AG22" s="79"/>
      <c r="AH22" s="105" t="e">
        <f>#REF!/AH7</f>
        <v>#REF!</v>
      </c>
      <c r="AI22" s="79"/>
      <c r="AJ22" s="79"/>
      <c r="AK22" s="105" t="e">
        <f>+'QTY '!#REF!</f>
        <v>#REF!</v>
      </c>
      <c r="AL22" s="105" t="e">
        <f>+'QTY '!#REF!</f>
        <v>#REF!</v>
      </c>
      <c r="AM22" s="105" t="e">
        <f>+'QTY '!#REF!</f>
        <v>#REF!</v>
      </c>
      <c r="AN22" s="105" t="e">
        <f>+'QTY '!#REF!</f>
        <v>#REF!</v>
      </c>
      <c r="AO22" s="105" t="e">
        <f>+'QTY '!#REF!</f>
        <v>#REF!</v>
      </c>
      <c r="AP22" s="8" t="s">
        <v>45</v>
      </c>
      <c r="AQ22" s="103">
        <v>0</v>
      </c>
      <c r="AR22" s="103">
        <v>0</v>
      </c>
      <c r="AS22" s="103">
        <v>0</v>
      </c>
      <c r="AT22" s="103">
        <v>0</v>
      </c>
      <c r="AU22" s="103"/>
      <c r="AV22" s="103"/>
      <c r="AW22" s="103">
        <v>0</v>
      </c>
      <c r="AX22" s="103">
        <v>0</v>
      </c>
      <c r="AY22" s="103"/>
      <c r="AZ22" s="103"/>
      <c r="BA22" s="103">
        <v>0</v>
      </c>
      <c r="BB22" s="103"/>
      <c r="BC22" s="103"/>
      <c r="BD22" s="103">
        <v>0</v>
      </c>
      <c r="BE22" s="103"/>
      <c r="BF22" s="103"/>
      <c r="BG22" s="103">
        <v>0</v>
      </c>
      <c r="BH22" s="8" t="e">
        <f t="shared" si="0"/>
        <v>#REF!</v>
      </c>
      <c r="BI22" s="8" t="e">
        <f t="shared" si="1"/>
        <v>#REF!</v>
      </c>
      <c r="BJ22" s="8" t="e">
        <f t="shared" si="2"/>
        <v>#REF!</v>
      </c>
      <c r="BK22" s="8" t="e">
        <f t="shared" si="3"/>
        <v>#REF!</v>
      </c>
      <c r="BL22" s="8" t="e">
        <f t="shared" si="4"/>
        <v>#REF!</v>
      </c>
      <c r="BM22" s="8">
        <f t="shared" si="5"/>
        <v>13</v>
      </c>
    </row>
    <row r="23" spans="1:65" ht="15.75" customHeight="1" thickBot="1">
      <c r="A23" s="362"/>
      <c r="B23" s="118" t="e">
        <f>'QTY '!#REF!</f>
        <v>#REF!</v>
      </c>
      <c r="C23" s="92" t="e">
        <f>#REF!</f>
        <v>#REF!</v>
      </c>
      <c r="D23" s="92" t="e">
        <f>#REF!</f>
        <v>#REF!</v>
      </c>
      <c r="E23" s="92" t="e">
        <f>#REF!</f>
        <v>#REF!</v>
      </c>
      <c r="F23" s="92" t="e">
        <f>#REF!</f>
        <v>#REF!</v>
      </c>
      <c r="G23" s="95"/>
      <c r="H23" s="96"/>
      <c r="I23" s="97"/>
      <c r="J23" s="95"/>
      <c r="K23" s="96"/>
      <c r="L23" s="97"/>
      <c r="M23" s="95"/>
      <c r="N23" s="96"/>
      <c r="O23" s="97"/>
      <c r="P23" s="95"/>
      <c r="Q23" s="96"/>
      <c r="R23" s="97"/>
      <c r="S23" s="95"/>
      <c r="T23" s="96"/>
      <c r="U23" s="97"/>
      <c r="V23" s="95"/>
      <c r="W23" s="96"/>
      <c r="X23" s="97"/>
      <c r="Y23" s="95"/>
      <c r="Z23" s="96"/>
      <c r="AA23" s="97"/>
      <c r="AB23" s="93"/>
      <c r="AC23" s="93"/>
      <c r="AD23" s="94"/>
      <c r="AE23" s="79" t="e">
        <f>#REF!/AE7</f>
        <v>#REF!</v>
      </c>
      <c r="AF23" s="79"/>
      <c r="AG23" s="79"/>
      <c r="AH23" s="105" t="e">
        <f>#REF!/AH7</f>
        <v>#REF!</v>
      </c>
      <c r="AI23" s="79"/>
      <c r="AJ23" s="79"/>
      <c r="AK23" s="105" t="e">
        <f>+'QTY '!#REF!</f>
        <v>#REF!</v>
      </c>
      <c r="AL23" s="105" t="e">
        <f>+'QTY '!#REF!</f>
        <v>#REF!</v>
      </c>
      <c r="AM23" s="105" t="e">
        <f>+'QTY '!#REF!</f>
        <v>#REF!</v>
      </c>
      <c r="AN23" s="105" t="e">
        <f>+'QTY '!#REF!</f>
        <v>#REF!</v>
      </c>
      <c r="AO23" s="105" t="e">
        <f>+'QTY '!#REF!</f>
        <v>#REF!</v>
      </c>
      <c r="AP23" s="8" t="s">
        <v>46</v>
      </c>
      <c r="AQ23" s="104">
        <v>0</v>
      </c>
      <c r="AR23" s="104">
        <v>0</v>
      </c>
      <c r="AS23" s="104">
        <v>0</v>
      </c>
      <c r="AT23" s="104">
        <v>0.75</v>
      </c>
      <c r="AU23" s="104"/>
      <c r="AV23" s="104"/>
      <c r="AW23" s="104">
        <v>3</v>
      </c>
      <c r="AX23" s="104">
        <v>27.6</v>
      </c>
      <c r="AY23" s="104"/>
      <c r="AZ23" s="104"/>
      <c r="BA23" s="104">
        <v>91.5</v>
      </c>
      <c r="BB23" s="104"/>
      <c r="BC23" s="104"/>
      <c r="BD23" s="104">
        <v>211.5</v>
      </c>
      <c r="BE23" s="104"/>
      <c r="BF23" s="104"/>
      <c r="BG23" s="104">
        <v>211.5</v>
      </c>
      <c r="BH23" s="8" t="e">
        <f t="shared" si="0"/>
        <v>#REF!</v>
      </c>
      <c r="BI23" s="8" t="e">
        <f t="shared" si="1"/>
        <v>#REF!</v>
      </c>
      <c r="BJ23" s="8" t="e">
        <f t="shared" si="2"/>
        <v>#REF!</v>
      </c>
      <c r="BK23" s="8" t="e">
        <f t="shared" si="3"/>
        <v>#REF!</v>
      </c>
      <c r="BL23" s="8" t="e">
        <f t="shared" si="4"/>
        <v>#REF!</v>
      </c>
      <c r="BM23" s="8">
        <f t="shared" si="5"/>
        <v>14</v>
      </c>
    </row>
    <row r="24" spans="1:65" ht="13.5" customHeight="1" thickBot="1">
      <c r="A24" s="362"/>
      <c r="B24" s="118" t="e">
        <f>'QTY '!#REF!</f>
        <v>#REF!</v>
      </c>
      <c r="C24" s="92" t="e">
        <f>#REF!</f>
        <v>#REF!</v>
      </c>
      <c r="D24" s="92" t="e">
        <f>#REF!</f>
        <v>#REF!</v>
      </c>
      <c r="E24" s="92" t="e">
        <f>#REF!</f>
        <v>#REF!</v>
      </c>
      <c r="F24" s="92" t="e">
        <f>#REF!</f>
        <v>#REF!</v>
      </c>
      <c r="G24" s="95"/>
      <c r="H24" s="96"/>
      <c r="I24" s="97"/>
      <c r="J24" s="95"/>
      <c r="K24" s="96"/>
      <c r="L24" s="97"/>
      <c r="M24" s="95"/>
      <c r="N24" s="96"/>
      <c r="O24" s="97"/>
      <c r="P24" s="95"/>
      <c r="Q24" s="96"/>
      <c r="R24" s="97"/>
      <c r="S24" s="95"/>
      <c r="T24" s="96"/>
      <c r="U24" s="97"/>
      <c r="V24" s="95"/>
      <c r="W24" s="96"/>
      <c r="X24" s="97"/>
      <c r="Y24" s="95"/>
      <c r="Z24" s="96"/>
      <c r="AA24" s="97"/>
      <c r="AB24" s="93"/>
      <c r="AC24" s="93"/>
      <c r="AD24" s="94"/>
      <c r="AE24" s="79" t="e">
        <f>#REF!/AE7</f>
        <v>#REF!</v>
      </c>
      <c r="AF24" s="79"/>
      <c r="AG24" s="79"/>
      <c r="AH24" s="105" t="e">
        <f>#REF!/AH7</f>
        <v>#REF!</v>
      </c>
      <c r="AI24" s="79"/>
      <c r="AJ24" s="79"/>
      <c r="AK24" s="105" t="e">
        <f>+'QTY '!#REF!</f>
        <v>#REF!</v>
      </c>
      <c r="AL24" s="105" t="e">
        <f>+'QTY '!#REF!</f>
        <v>#REF!</v>
      </c>
      <c r="AM24" s="105" t="e">
        <f>+'QTY '!#REF!</f>
        <v>#REF!</v>
      </c>
      <c r="AN24" s="105" t="e">
        <f>+'QTY '!#REF!</f>
        <v>#REF!</v>
      </c>
      <c r="AO24" s="105" t="e">
        <f>+'QTY '!#REF!</f>
        <v>#REF!</v>
      </c>
      <c r="AP24" s="8" t="s">
        <v>47</v>
      </c>
      <c r="AQ24" s="98">
        <v>0</v>
      </c>
      <c r="AR24" s="98">
        <v>0</v>
      </c>
      <c r="AS24" s="98">
        <v>0</v>
      </c>
      <c r="AT24" s="98">
        <v>0</v>
      </c>
      <c r="AU24" s="98"/>
      <c r="AV24" s="98"/>
      <c r="AW24" s="98">
        <v>0</v>
      </c>
      <c r="AX24" s="98">
        <v>0</v>
      </c>
      <c r="AY24" s="98"/>
      <c r="AZ24" s="98"/>
      <c r="BA24" s="98">
        <v>0</v>
      </c>
      <c r="BB24" s="98"/>
      <c r="BC24" s="98"/>
      <c r="BD24" s="98">
        <v>0</v>
      </c>
      <c r="BE24" s="98"/>
      <c r="BF24" s="98"/>
      <c r="BG24" s="98">
        <v>0</v>
      </c>
      <c r="BH24" s="8" t="e">
        <f t="shared" si="0"/>
        <v>#REF!</v>
      </c>
      <c r="BI24" s="8" t="e">
        <f t="shared" si="1"/>
        <v>#REF!</v>
      </c>
      <c r="BJ24" s="8" t="e">
        <f t="shared" si="2"/>
        <v>#REF!</v>
      </c>
      <c r="BK24" s="8" t="e">
        <f t="shared" si="3"/>
        <v>#REF!</v>
      </c>
      <c r="BL24" s="8" t="e">
        <f t="shared" si="4"/>
        <v>#REF!</v>
      </c>
      <c r="BM24" s="8">
        <f t="shared" si="5"/>
        <v>15</v>
      </c>
    </row>
    <row r="25" spans="1:65" ht="13.5" customHeight="1" thickBot="1">
      <c r="A25" s="362"/>
      <c r="B25" s="118" t="e">
        <f>'QTY '!#REF!</f>
        <v>#REF!</v>
      </c>
      <c r="C25" s="92" t="e">
        <f>#REF!</f>
        <v>#REF!</v>
      </c>
      <c r="D25" s="92" t="e">
        <f>#REF!</f>
        <v>#REF!</v>
      </c>
      <c r="E25" s="92" t="e">
        <f>#REF!</f>
        <v>#REF!</v>
      </c>
      <c r="F25" s="92" t="e">
        <f>#REF!</f>
        <v>#REF!</v>
      </c>
      <c r="G25" s="95"/>
      <c r="H25" s="96"/>
      <c r="I25" s="97"/>
      <c r="J25" s="95"/>
      <c r="K25" s="96"/>
      <c r="L25" s="97"/>
      <c r="M25" s="95"/>
      <c r="N25" s="96"/>
      <c r="O25" s="97"/>
      <c r="P25" s="95"/>
      <c r="Q25" s="96"/>
      <c r="R25" s="97"/>
      <c r="S25" s="95"/>
      <c r="T25" s="96"/>
      <c r="U25" s="97"/>
      <c r="V25" s="95"/>
      <c r="W25" s="96"/>
      <c r="X25" s="97"/>
      <c r="Y25" s="95"/>
      <c r="Z25" s="96"/>
      <c r="AA25" s="97"/>
      <c r="AB25" s="93"/>
      <c r="AC25" s="93"/>
      <c r="AD25" s="94"/>
      <c r="AE25" s="79" t="e">
        <f>#REF!/AE7</f>
        <v>#REF!</v>
      </c>
      <c r="AF25" s="79"/>
      <c r="AG25" s="79"/>
      <c r="AH25" s="105" t="e">
        <f>#REF!/AH7</f>
        <v>#REF!</v>
      </c>
      <c r="AI25" s="79"/>
      <c r="AJ25" s="79"/>
      <c r="AK25" s="105" t="e">
        <f>+'QTY '!#REF!</f>
        <v>#REF!</v>
      </c>
      <c r="AL25" s="105" t="e">
        <f>+'QTY '!#REF!</f>
        <v>#REF!</v>
      </c>
      <c r="AM25" s="105" t="e">
        <f>+'QTY '!#REF!</f>
        <v>#REF!</v>
      </c>
      <c r="AN25" s="105" t="e">
        <f>+'QTY '!#REF!</f>
        <v>#REF!</v>
      </c>
      <c r="AO25" s="105" t="e">
        <f>+'QTY '!#REF!</f>
        <v>#REF!</v>
      </c>
      <c r="AP25" s="8" t="s">
        <v>48</v>
      </c>
      <c r="AQ25" s="98">
        <v>0</v>
      </c>
      <c r="AR25" s="98">
        <v>0</v>
      </c>
      <c r="AS25" s="98">
        <v>0</v>
      </c>
      <c r="AT25" s="98">
        <v>0</v>
      </c>
      <c r="AU25" s="98"/>
      <c r="AV25" s="98"/>
      <c r="AW25" s="98">
        <v>0</v>
      </c>
      <c r="AX25" s="98">
        <v>0.8</v>
      </c>
      <c r="AY25" s="98"/>
      <c r="AZ25" s="98"/>
      <c r="BA25" s="98">
        <v>2.5</v>
      </c>
      <c r="BB25" s="98"/>
      <c r="BC25" s="98"/>
      <c r="BD25" s="98">
        <v>2.5</v>
      </c>
      <c r="BE25" s="98"/>
      <c r="BF25" s="98"/>
      <c r="BG25" s="98">
        <v>2.5</v>
      </c>
      <c r="BH25" s="8" t="e">
        <f t="shared" si="0"/>
        <v>#REF!</v>
      </c>
      <c r="BI25" s="8" t="e">
        <f t="shared" si="1"/>
        <v>#REF!</v>
      </c>
      <c r="BJ25" s="8" t="e">
        <f t="shared" si="2"/>
        <v>#REF!</v>
      </c>
      <c r="BK25" s="8" t="e">
        <f t="shared" si="3"/>
        <v>#REF!</v>
      </c>
      <c r="BL25" s="8" t="e">
        <f t="shared" si="4"/>
        <v>#REF!</v>
      </c>
      <c r="BM25" s="8">
        <f t="shared" si="5"/>
        <v>16</v>
      </c>
    </row>
    <row r="26" spans="1:65" ht="13.5" customHeight="1" thickBot="1">
      <c r="A26" s="362"/>
      <c r="B26" s="118" t="e">
        <f>'QTY '!#REF!</f>
        <v>#REF!</v>
      </c>
      <c r="C26" s="92" t="e">
        <f>#REF!</f>
        <v>#REF!</v>
      </c>
      <c r="D26" s="92" t="e">
        <f>#REF!</f>
        <v>#REF!</v>
      </c>
      <c r="E26" s="92" t="e">
        <f>#REF!</f>
        <v>#REF!</v>
      </c>
      <c r="F26" s="92" t="e">
        <f>#REF!</f>
        <v>#REF!</v>
      </c>
      <c r="G26" s="95"/>
      <c r="H26" s="96"/>
      <c r="I26" s="97"/>
      <c r="J26" s="95"/>
      <c r="K26" s="96"/>
      <c r="L26" s="97"/>
      <c r="M26" s="95"/>
      <c r="N26" s="96"/>
      <c r="O26" s="97"/>
      <c r="P26" s="95"/>
      <c r="Q26" s="96"/>
      <c r="R26" s="97"/>
      <c r="S26" s="95"/>
      <c r="T26" s="96"/>
      <c r="U26" s="97"/>
      <c r="V26" s="95"/>
      <c r="W26" s="96"/>
      <c r="X26" s="97"/>
      <c r="Y26" s="95"/>
      <c r="Z26" s="96"/>
      <c r="AA26" s="97"/>
      <c r="AB26" s="93"/>
      <c r="AC26" s="93"/>
      <c r="AD26" s="94"/>
      <c r="AE26" s="79" t="e">
        <f>#REF!/AE8</f>
        <v>#REF!</v>
      </c>
      <c r="AF26" s="79"/>
      <c r="AG26" s="79"/>
      <c r="AH26" s="105" t="e">
        <f>#REF!/AH8</f>
        <v>#REF!</v>
      </c>
      <c r="AI26" s="79"/>
      <c r="AJ26" s="79"/>
      <c r="AK26" s="105" t="e">
        <f>+'QTY '!#REF!</f>
        <v>#REF!</v>
      </c>
      <c r="AL26" s="105" t="e">
        <f>+'QTY '!#REF!</f>
        <v>#REF!</v>
      </c>
      <c r="AM26" s="105" t="e">
        <f>+'QTY '!#REF!</f>
        <v>#REF!</v>
      </c>
      <c r="AN26" s="105" t="e">
        <f>+'QTY '!#REF!</f>
        <v>#REF!</v>
      </c>
      <c r="AO26" s="105" t="e">
        <f>+'QTY '!#REF!</f>
        <v>#REF!</v>
      </c>
      <c r="AP26" s="8" t="s">
        <v>49</v>
      </c>
      <c r="AQ26" s="98">
        <v>0</v>
      </c>
      <c r="AR26" s="98">
        <v>0</v>
      </c>
      <c r="AS26" s="98">
        <v>0</v>
      </c>
      <c r="AT26" s="98">
        <v>0</v>
      </c>
      <c r="AU26" s="98"/>
      <c r="AV26" s="98"/>
      <c r="AW26" s="98">
        <v>0</v>
      </c>
      <c r="AX26" s="98">
        <v>0.8</v>
      </c>
      <c r="AY26" s="98"/>
      <c r="AZ26" s="98"/>
      <c r="BA26" s="98">
        <v>2.5</v>
      </c>
      <c r="BB26" s="98"/>
      <c r="BC26" s="98"/>
      <c r="BD26" s="98">
        <v>2.5</v>
      </c>
      <c r="BE26" s="98"/>
      <c r="BF26" s="98"/>
      <c r="BG26" s="98">
        <v>2.5</v>
      </c>
      <c r="BH26" s="8" t="e">
        <f t="shared" si="0"/>
        <v>#REF!</v>
      </c>
      <c r="BI26" s="8" t="e">
        <f t="shared" si="1"/>
        <v>#REF!</v>
      </c>
      <c r="BJ26" s="8" t="e">
        <f t="shared" si="2"/>
        <v>#REF!</v>
      </c>
      <c r="BK26" s="8" t="e">
        <f t="shared" si="3"/>
        <v>#REF!</v>
      </c>
      <c r="BL26" s="8" t="e">
        <f t="shared" si="4"/>
        <v>#REF!</v>
      </c>
      <c r="BM26" s="8">
        <f t="shared" si="5"/>
        <v>17</v>
      </c>
    </row>
    <row r="27" spans="1:65" ht="13.5" customHeight="1" thickBot="1">
      <c r="A27" s="362"/>
      <c r="B27" s="118" t="e">
        <f>'QTY '!#REF!</f>
        <v>#REF!</v>
      </c>
      <c r="C27" s="354" t="e">
        <f>#REF!</f>
        <v>#REF!</v>
      </c>
      <c r="D27" s="354" t="e">
        <f>'QTY '!#REF!</f>
        <v>#REF!</v>
      </c>
      <c r="E27" s="354" t="e">
        <f>'QTY '!#REF!</f>
        <v>#REF!</v>
      </c>
      <c r="F27" s="354" t="e">
        <f>'QTY '!#REF!</f>
        <v>#REF!</v>
      </c>
      <c r="G27" s="370" t="e">
        <f>G19</f>
        <v>#REF!</v>
      </c>
      <c r="H27" s="370"/>
      <c r="I27" s="370"/>
      <c r="J27" s="370" t="e">
        <f>J19</f>
        <v>#REF!</v>
      </c>
      <c r="K27" s="370"/>
      <c r="L27" s="370"/>
      <c r="M27" s="370" t="e">
        <f>M19</f>
        <v>#REF!</v>
      </c>
      <c r="N27" s="370"/>
      <c r="O27" s="370"/>
      <c r="P27" s="370" t="e">
        <f>P19</f>
        <v>#REF!</v>
      </c>
      <c r="Q27" s="370"/>
      <c r="R27" s="370"/>
      <c r="S27" s="370" t="e">
        <f>S19</f>
        <v>#REF!</v>
      </c>
      <c r="T27" s="370"/>
      <c r="U27" s="370"/>
      <c r="V27" s="370" t="e">
        <f>V19</f>
        <v>#REF!</v>
      </c>
      <c r="W27" s="370"/>
      <c r="X27" s="370"/>
      <c r="Y27" s="370" t="e">
        <f>Y19</f>
        <v>#REF!</v>
      </c>
      <c r="Z27" s="370"/>
      <c r="AA27" s="370"/>
      <c r="AB27" s="93"/>
      <c r="AC27" s="94"/>
      <c r="AD27" s="94"/>
      <c r="AE27" s="79" t="e">
        <f>#REF!/AE7</f>
        <v>#REF!</v>
      </c>
      <c r="AF27" s="79"/>
      <c r="AG27" s="79"/>
      <c r="AH27" s="105" t="e">
        <f>#REF!/AH7</f>
        <v>#REF!</v>
      </c>
      <c r="AI27" s="79"/>
      <c r="AJ27" s="79"/>
      <c r="AK27" s="105" t="e">
        <f>+'QTY '!#REF!</f>
        <v>#REF!</v>
      </c>
      <c r="AL27" s="105" t="e">
        <f>+'QTY '!#REF!</f>
        <v>#REF!</v>
      </c>
      <c r="AM27" s="105" t="e">
        <f>+'QTY '!#REF!</f>
        <v>#REF!</v>
      </c>
      <c r="AN27" s="105" t="e">
        <f>+'QTY '!#REF!</f>
        <v>#REF!</v>
      </c>
      <c r="AO27" s="105" t="e">
        <f>+'QTY '!#REF!</f>
        <v>#REF!</v>
      </c>
      <c r="AP27" s="8" t="s">
        <v>49</v>
      </c>
      <c r="AQ27" s="98">
        <v>0</v>
      </c>
      <c r="AR27" s="98">
        <v>0</v>
      </c>
      <c r="AS27" s="98">
        <v>0</v>
      </c>
      <c r="AT27" s="98">
        <v>0.25</v>
      </c>
      <c r="AU27" s="98"/>
      <c r="AV27" s="98"/>
      <c r="AW27" s="98">
        <v>8.5</v>
      </c>
      <c r="AX27" s="98">
        <v>94</v>
      </c>
      <c r="AY27" s="98"/>
      <c r="AZ27" s="98"/>
      <c r="BA27" s="98">
        <v>160</v>
      </c>
      <c r="BB27" s="98"/>
      <c r="BC27" s="98"/>
      <c r="BD27" s="98">
        <v>165.5</v>
      </c>
      <c r="BE27" s="98"/>
      <c r="BF27" s="98"/>
      <c r="BG27" s="98">
        <v>165.5</v>
      </c>
      <c r="BH27" s="8" t="e">
        <f t="shared" si="0"/>
        <v>#REF!</v>
      </c>
      <c r="BI27" s="8" t="e">
        <f t="shared" si="1"/>
        <v>#REF!</v>
      </c>
      <c r="BJ27" s="8" t="e">
        <f t="shared" si="2"/>
        <v>#REF!</v>
      </c>
      <c r="BK27" s="8" t="e">
        <f t="shared" si="3"/>
        <v>#REF!</v>
      </c>
      <c r="BL27" s="8" t="e">
        <f t="shared" si="4"/>
        <v>#REF!</v>
      </c>
      <c r="BM27" s="8">
        <f t="shared" si="5"/>
        <v>18</v>
      </c>
    </row>
    <row r="28" spans="1:65" ht="15" customHeight="1" thickBot="1">
      <c r="A28" s="362"/>
      <c r="B28" s="118" t="e">
        <f>'QTY '!#REF!</f>
        <v>#REF!</v>
      </c>
      <c r="C28" s="354" t="e">
        <f>#REF!</f>
        <v>#REF!</v>
      </c>
      <c r="D28" s="354" t="e">
        <f>'QTY '!#REF!</f>
        <v>#REF!</v>
      </c>
      <c r="E28" s="354" t="e">
        <f>'QTY '!#REF!</f>
        <v>#REF!</v>
      </c>
      <c r="F28" s="354" t="e">
        <f>'QTY '!#REF!</f>
        <v>#REF!</v>
      </c>
      <c r="G28" s="99"/>
      <c r="H28" s="99" t="e">
        <f>H17/200</f>
        <v>#REF!</v>
      </c>
      <c r="I28" s="99" t="e">
        <f>I17/200</f>
        <v>#REF!</v>
      </c>
      <c r="J28" s="99"/>
      <c r="K28" s="99" t="e">
        <f>K17/200</f>
        <v>#REF!</v>
      </c>
      <c r="L28" s="99" t="e">
        <f>L17/200</f>
        <v>#REF!</v>
      </c>
      <c r="M28" s="99"/>
      <c r="N28" s="99" t="e">
        <f>N17/200</f>
        <v>#REF!</v>
      </c>
      <c r="O28" s="99" t="e">
        <f>O17/200</f>
        <v>#REF!</v>
      </c>
      <c r="P28" s="99"/>
      <c r="Q28" s="99" t="e">
        <f>Q17/200</f>
        <v>#REF!</v>
      </c>
      <c r="R28" s="99" t="e">
        <f>R17/200</f>
        <v>#REF!</v>
      </c>
      <c r="S28" s="99"/>
      <c r="T28" s="99" t="e">
        <f>T17/200</f>
        <v>#REF!</v>
      </c>
      <c r="U28" s="99" t="e">
        <f>U17/200</f>
        <v>#REF!</v>
      </c>
      <c r="V28" s="99"/>
      <c r="W28" s="99" t="e">
        <f>W17/200</f>
        <v>#REF!</v>
      </c>
      <c r="X28" s="99" t="e">
        <f>X17/200</f>
        <v>#REF!</v>
      </c>
      <c r="Y28" s="99"/>
      <c r="Z28" s="99" t="e">
        <f>Z17/200</f>
        <v>#REF!</v>
      </c>
      <c r="AA28" s="99" t="e">
        <f>AA17/200</f>
        <v>#REF!</v>
      </c>
      <c r="AB28" s="93"/>
      <c r="AC28" s="94"/>
      <c r="AD28" s="94"/>
      <c r="AE28" s="79" t="e">
        <f>#REF!/AE7</f>
        <v>#REF!</v>
      </c>
      <c r="AF28" s="79"/>
      <c r="AG28" s="79"/>
      <c r="AH28" s="105" t="e">
        <f>#REF!/AH7</f>
        <v>#REF!</v>
      </c>
      <c r="AI28" s="79"/>
      <c r="AJ28" s="79"/>
      <c r="AK28" s="105" t="e">
        <f>+'QTY '!#REF!</f>
        <v>#REF!</v>
      </c>
      <c r="AL28" s="105" t="e">
        <f>+'QTY '!#REF!</f>
        <v>#REF!</v>
      </c>
      <c r="AM28" s="105" t="e">
        <f>+'QTY '!#REF!</f>
        <v>#REF!</v>
      </c>
      <c r="AN28" s="105" t="e">
        <f>+'QTY '!#REF!</f>
        <v>#REF!</v>
      </c>
      <c r="AO28" s="105" t="e">
        <f>+'QTY '!#REF!</f>
        <v>#REF!</v>
      </c>
      <c r="AP28" s="8" t="s">
        <v>50</v>
      </c>
      <c r="AQ28" s="98">
        <v>0</v>
      </c>
      <c r="AR28" s="98">
        <v>0</v>
      </c>
      <c r="AS28" s="98">
        <v>0</v>
      </c>
      <c r="AT28" s="98">
        <v>2.25</v>
      </c>
      <c r="AU28" s="98"/>
      <c r="AV28" s="98"/>
      <c r="AW28" s="98">
        <v>4.5</v>
      </c>
      <c r="AX28" s="98">
        <v>5.6</v>
      </c>
      <c r="AY28" s="98"/>
      <c r="AZ28" s="98"/>
      <c r="BA28" s="98">
        <v>4.5</v>
      </c>
      <c r="BB28" s="98"/>
      <c r="BC28" s="98"/>
      <c r="BD28" s="98">
        <v>7</v>
      </c>
      <c r="BE28" s="98"/>
      <c r="BF28" s="98"/>
      <c r="BG28" s="98">
        <v>7</v>
      </c>
      <c r="BH28" s="8" t="e">
        <f t="shared" si="0"/>
        <v>#REF!</v>
      </c>
      <c r="BI28" s="8" t="e">
        <f t="shared" si="1"/>
        <v>#REF!</v>
      </c>
      <c r="BJ28" s="8" t="e">
        <f t="shared" si="2"/>
        <v>#REF!</v>
      </c>
      <c r="BK28" s="8" t="e">
        <f t="shared" si="3"/>
        <v>#REF!</v>
      </c>
      <c r="BL28" s="8" t="e">
        <f t="shared" si="4"/>
        <v>#REF!</v>
      </c>
      <c r="BM28" s="8">
        <f t="shared" si="5"/>
        <v>19</v>
      </c>
    </row>
    <row r="29" spans="1:65" ht="15" customHeight="1" thickBot="1">
      <c r="A29" s="362"/>
      <c r="B29" s="118" t="e">
        <f>'QTY '!#REF!</f>
        <v>#REF!</v>
      </c>
      <c r="C29" s="354" t="e">
        <f>#REF!</f>
        <v>#REF!</v>
      </c>
      <c r="D29" s="354" t="e">
        <f>'QTY '!#REF!</f>
        <v>#REF!</v>
      </c>
      <c r="E29" s="354" t="e">
        <f>'QTY '!#REF!</f>
        <v>#REF!</v>
      </c>
      <c r="F29" s="354" t="e">
        <f>'QTY '!#REF!</f>
        <v>#REF!</v>
      </c>
      <c r="G29" s="99"/>
      <c r="H29" s="99" t="e">
        <f>H18/200</f>
        <v>#REF!</v>
      </c>
      <c r="I29" s="99" t="e">
        <f>I18/200</f>
        <v>#REF!</v>
      </c>
      <c r="J29" s="99"/>
      <c r="K29" s="99" t="e">
        <f>K18/200</f>
        <v>#REF!</v>
      </c>
      <c r="L29" s="99" t="e">
        <f>L18/200</f>
        <v>#REF!</v>
      </c>
      <c r="M29" s="99"/>
      <c r="N29" s="99" t="e">
        <f>N18/200</f>
        <v>#REF!</v>
      </c>
      <c r="O29" s="99" t="e">
        <f>O18/200</f>
        <v>#REF!</v>
      </c>
      <c r="P29" s="99"/>
      <c r="Q29" s="99" t="e">
        <f>Q18/200</f>
        <v>#REF!</v>
      </c>
      <c r="R29" s="99" t="e">
        <f>R18/200</f>
        <v>#REF!</v>
      </c>
      <c r="S29" s="99"/>
      <c r="T29" s="99" t="e">
        <f>T18/200</f>
        <v>#REF!</v>
      </c>
      <c r="U29" s="99" t="e">
        <f>U18/200</f>
        <v>#REF!</v>
      </c>
      <c r="V29" s="99"/>
      <c r="W29" s="99" t="e">
        <f>W18/200</f>
        <v>#REF!</v>
      </c>
      <c r="X29" s="99" t="e">
        <f>X18/200</f>
        <v>#REF!</v>
      </c>
      <c r="Y29" s="99"/>
      <c r="Z29" s="99" t="e">
        <f>Z18/200</f>
        <v>#REF!</v>
      </c>
      <c r="AA29" s="99" t="e">
        <f>AA18/200</f>
        <v>#REF!</v>
      </c>
      <c r="AB29" s="93"/>
      <c r="AC29" s="94"/>
      <c r="AD29" s="94"/>
      <c r="AE29" s="79" t="e">
        <f>#REF!/AE8</f>
        <v>#REF!</v>
      </c>
      <c r="AF29" s="79"/>
      <c r="AG29" s="79"/>
      <c r="AH29" s="105" t="e">
        <f>#REF!/AH8</f>
        <v>#REF!</v>
      </c>
      <c r="AI29" s="79"/>
      <c r="AJ29" s="79"/>
      <c r="AK29" s="105" t="e">
        <f>+'QTY '!#REF!</f>
        <v>#REF!</v>
      </c>
      <c r="AL29" s="105" t="e">
        <f>+'QTY '!#REF!</f>
        <v>#REF!</v>
      </c>
      <c r="AM29" s="105" t="e">
        <f>+'QTY '!#REF!</f>
        <v>#REF!</v>
      </c>
      <c r="AN29" s="105" t="e">
        <f>+'QTY '!#REF!</f>
        <v>#REF!</v>
      </c>
      <c r="AO29" s="105" t="e">
        <f>+'QTY '!#REF!</f>
        <v>#REF!</v>
      </c>
      <c r="AP29" s="8" t="s">
        <v>51</v>
      </c>
      <c r="AQ29" s="98">
        <v>0</v>
      </c>
      <c r="AR29" s="98">
        <v>0</v>
      </c>
      <c r="AS29" s="98">
        <v>0</v>
      </c>
      <c r="AT29" s="98">
        <v>2.25</v>
      </c>
      <c r="AU29" s="98"/>
      <c r="AV29" s="98"/>
      <c r="AW29" s="98">
        <v>4.5</v>
      </c>
      <c r="AX29" s="98">
        <v>5.6</v>
      </c>
      <c r="AY29" s="98"/>
      <c r="AZ29" s="98"/>
      <c r="BA29" s="98">
        <v>4.5</v>
      </c>
      <c r="BB29" s="98"/>
      <c r="BC29" s="98"/>
      <c r="BD29" s="98">
        <v>7</v>
      </c>
      <c r="BE29" s="98"/>
      <c r="BF29" s="98"/>
      <c r="BG29" s="98">
        <v>7</v>
      </c>
      <c r="BH29" s="8" t="e">
        <f t="shared" si="0"/>
        <v>#REF!</v>
      </c>
      <c r="BI29" s="8" t="e">
        <f t="shared" si="1"/>
        <v>#REF!</v>
      </c>
      <c r="BJ29" s="8" t="e">
        <f t="shared" si="2"/>
        <v>#REF!</v>
      </c>
      <c r="BK29" s="8" t="e">
        <f t="shared" si="3"/>
        <v>#REF!</v>
      </c>
      <c r="BL29" s="8" t="e">
        <f t="shared" si="4"/>
        <v>#REF!</v>
      </c>
      <c r="BM29" s="8">
        <f t="shared" si="5"/>
        <v>20</v>
      </c>
    </row>
    <row r="30" spans="1:65" ht="15" customHeight="1" thickBot="1">
      <c r="A30" s="362"/>
      <c r="B30" s="118" t="e">
        <f>'QTY '!#REF!</f>
        <v>#REF!</v>
      </c>
      <c r="C30" s="354" t="e">
        <f>#REF!</f>
        <v>#REF!</v>
      </c>
      <c r="D30" s="354" t="e">
        <f>'QTY '!#REF!</f>
        <v>#REF!</v>
      </c>
      <c r="E30" s="92" t="e">
        <f>#REF!</f>
        <v>#REF!</v>
      </c>
      <c r="F30" s="92" t="e">
        <f>#REF!</f>
        <v>#REF!</v>
      </c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3"/>
      <c r="AC30" s="94"/>
      <c r="AD30" s="94"/>
      <c r="AE30" s="79" t="e">
        <f>#REF!/AE7</f>
        <v>#REF!</v>
      </c>
      <c r="AF30" s="79"/>
      <c r="AG30" s="79"/>
      <c r="AH30" s="105" t="e">
        <f>#REF!/AH7</f>
        <v>#REF!</v>
      </c>
      <c r="AI30" s="79"/>
      <c r="AJ30" s="79"/>
      <c r="AK30" s="105" t="e">
        <f>+'QTY '!#REF!</f>
        <v>#REF!</v>
      </c>
      <c r="AL30" s="105" t="e">
        <f>+'QTY '!#REF!</f>
        <v>#REF!</v>
      </c>
      <c r="AM30" s="105" t="e">
        <f>+'QTY '!#REF!</f>
        <v>#REF!</v>
      </c>
      <c r="AN30" s="105" t="e">
        <f>+'QTY '!#REF!</f>
        <v>#REF!</v>
      </c>
      <c r="AO30" s="105" t="e">
        <f>+'QTY '!#REF!</f>
        <v>#REF!</v>
      </c>
      <c r="AP30" s="8" t="s">
        <v>51</v>
      </c>
      <c r="AQ30" s="98">
        <v>0</v>
      </c>
      <c r="AR30" s="98">
        <v>0</v>
      </c>
      <c r="AS30" s="98">
        <v>0</v>
      </c>
      <c r="AT30" s="98">
        <v>0.25</v>
      </c>
      <c r="AU30" s="98"/>
      <c r="AV30" s="98"/>
      <c r="AW30" s="98">
        <v>8.25</v>
      </c>
      <c r="AX30" s="98">
        <v>102.8</v>
      </c>
      <c r="AY30" s="98"/>
      <c r="AZ30" s="98"/>
      <c r="BA30" s="98">
        <v>173</v>
      </c>
      <c r="BB30" s="98"/>
      <c r="BC30" s="98"/>
      <c r="BD30" s="98">
        <v>262.5</v>
      </c>
      <c r="BE30" s="98"/>
      <c r="BF30" s="98"/>
      <c r="BG30" s="98">
        <v>310.5</v>
      </c>
      <c r="BH30" s="8" t="e">
        <f t="shared" si="0"/>
        <v>#REF!</v>
      </c>
      <c r="BI30" s="8" t="e">
        <f t="shared" si="1"/>
        <v>#REF!</v>
      </c>
      <c r="BJ30" s="8" t="e">
        <f t="shared" si="2"/>
        <v>#REF!</v>
      </c>
      <c r="BK30" s="8" t="e">
        <f t="shared" si="3"/>
        <v>#REF!</v>
      </c>
      <c r="BL30" s="8" t="e">
        <f t="shared" si="4"/>
        <v>#REF!</v>
      </c>
      <c r="BM30" s="8">
        <f t="shared" si="5"/>
        <v>21</v>
      </c>
    </row>
    <row r="31" spans="1:65" ht="13.5" customHeight="1" thickBot="1">
      <c r="A31" s="362"/>
      <c r="B31" s="118" t="e">
        <f>'QTY '!#REF!</f>
        <v>#REF!</v>
      </c>
      <c r="C31" s="92" t="e">
        <f>#REF!</f>
        <v>#REF!</v>
      </c>
      <c r="D31" s="92" t="e">
        <f>#REF!</f>
        <v>#REF!</v>
      </c>
      <c r="E31" s="92" t="e">
        <f>#REF!</f>
        <v>#REF!</v>
      </c>
      <c r="F31" s="92" t="e">
        <f>#REF!</f>
        <v>#REF!</v>
      </c>
      <c r="G31" s="370" t="e">
        <f>G27</f>
        <v>#REF!</v>
      </c>
      <c r="H31" s="370"/>
      <c r="I31" s="370"/>
      <c r="J31" s="370" t="e">
        <f>J27</f>
        <v>#REF!</v>
      </c>
      <c r="K31" s="370"/>
      <c r="L31" s="370"/>
      <c r="M31" s="370" t="e">
        <f>M27</f>
        <v>#REF!</v>
      </c>
      <c r="N31" s="370"/>
      <c r="O31" s="370"/>
      <c r="P31" s="370" t="e">
        <f>P27</f>
        <v>#REF!</v>
      </c>
      <c r="Q31" s="370"/>
      <c r="R31" s="370"/>
      <c r="S31" s="370" t="e">
        <f>S27</f>
        <v>#REF!</v>
      </c>
      <c r="T31" s="370"/>
      <c r="U31" s="370"/>
      <c r="V31" s="370" t="e">
        <f>V27</f>
        <v>#REF!</v>
      </c>
      <c r="W31" s="370"/>
      <c r="X31" s="370"/>
      <c r="Y31" s="370" t="e">
        <f>Y27</f>
        <v>#REF!</v>
      </c>
      <c r="Z31" s="370"/>
      <c r="AA31" s="370"/>
      <c r="AB31" s="93"/>
      <c r="AC31" s="94"/>
      <c r="AD31" s="94"/>
      <c r="AE31" s="79" t="e">
        <f>#REF!/AE7</f>
        <v>#REF!</v>
      </c>
      <c r="AF31" s="79"/>
      <c r="AG31" s="79"/>
      <c r="AH31" s="105" t="e">
        <f>#REF!/AH7</f>
        <v>#REF!</v>
      </c>
      <c r="AI31" s="79"/>
      <c r="AJ31" s="79"/>
      <c r="AK31" s="105" t="e">
        <f>+'QTY '!#REF!</f>
        <v>#REF!</v>
      </c>
      <c r="AL31" s="105" t="e">
        <f>+'QTY '!#REF!</f>
        <v>#REF!</v>
      </c>
      <c r="AM31" s="105" t="e">
        <f>+'QTY '!#REF!</f>
        <v>#REF!</v>
      </c>
      <c r="AN31" s="105" t="e">
        <f>+'QTY '!#REF!</f>
        <v>#REF!</v>
      </c>
      <c r="AO31" s="105" t="e">
        <f>+'QTY '!#REF!</f>
        <v>#REF!</v>
      </c>
      <c r="AP31" s="8" t="s">
        <v>52</v>
      </c>
      <c r="AQ31" s="98">
        <v>0</v>
      </c>
      <c r="AR31" s="98">
        <v>0</v>
      </c>
      <c r="AS31" s="98">
        <v>0</v>
      </c>
      <c r="AT31" s="98">
        <v>0</v>
      </c>
      <c r="AU31" s="98"/>
      <c r="AV31" s="98"/>
      <c r="AW31" s="98">
        <v>9.75</v>
      </c>
      <c r="AX31" s="98">
        <v>71.2</v>
      </c>
      <c r="AY31" s="98"/>
      <c r="AZ31" s="98"/>
      <c r="BA31" s="98">
        <v>146</v>
      </c>
      <c r="BB31" s="98"/>
      <c r="BC31" s="98"/>
      <c r="BD31" s="98">
        <v>228.5</v>
      </c>
      <c r="BE31" s="98"/>
      <c r="BF31" s="98"/>
      <c r="BG31" s="98">
        <v>228.5</v>
      </c>
      <c r="BH31" s="8" t="e">
        <f t="shared" si="0"/>
        <v>#REF!</v>
      </c>
      <c r="BI31" s="8" t="e">
        <f t="shared" si="1"/>
        <v>#REF!</v>
      </c>
      <c r="BJ31" s="8" t="e">
        <f t="shared" si="2"/>
        <v>#REF!</v>
      </c>
      <c r="BK31" s="8" t="e">
        <f t="shared" si="3"/>
        <v>#REF!</v>
      </c>
      <c r="BL31" s="8" t="e">
        <f t="shared" si="4"/>
        <v>#REF!</v>
      </c>
      <c r="BM31" s="8">
        <f t="shared" si="5"/>
        <v>22</v>
      </c>
    </row>
    <row r="32" spans="1:65" ht="15" customHeight="1" thickBot="1">
      <c r="A32" s="390"/>
      <c r="B32" s="118" t="e">
        <f>'QTY '!#REF!</f>
        <v>#REF!</v>
      </c>
      <c r="C32" s="92" t="e">
        <f>#REF!</f>
        <v>#REF!</v>
      </c>
      <c r="D32" s="92" t="e">
        <f>#REF!</f>
        <v>#REF!</v>
      </c>
      <c r="E32" s="92" t="e">
        <f>#REF!</f>
        <v>#REF!</v>
      </c>
      <c r="F32" s="92" t="e">
        <f>#REF!</f>
        <v>#REF!</v>
      </c>
      <c r="G32" s="92"/>
      <c r="H32" s="92" t="s">
        <v>14</v>
      </c>
      <c r="I32" s="92" t="s">
        <v>15</v>
      </c>
      <c r="J32" s="92"/>
      <c r="K32" s="92" t="s">
        <v>14</v>
      </c>
      <c r="L32" s="92" t="s">
        <v>15</v>
      </c>
      <c r="M32" s="92"/>
      <c r="N32" s="92" t="s">
        <v>14</v>
      </c>
      <c r="O32" s="92" t="s">
        <v>15</v>
      </c>
      <c r="P32" s="92"/>
      <c r="Q32" s="92" t="s">
        <v>14</v>
      </c>
      <c r="R32" s="92" t="s">
        <v>15</v>
      </c>
      <c r="S32" s="92"/>
      <c r="T32" s="92" t="s">
        <v>14</v>
      </c>
      <c r="U32" s="92" t="s">
        <v>15</v>
      </c>
      <c r="V32" s="92"/>
      <c r="W32" s="92" t="s">
        <v>14</v>
      </c>
      <c r="X32" s="92" t="s">
        <v>15</v>
      </c>
      <c r="Y32" s="92"/>
      <c r="Z32" s="92" t="s">
        <v>14</v>
      </c>
      <c r="AA32" s="92" t="s">
        <v>15</v>
      </c>
      <c r="AB32" s="93"/>
      <c r="AC32" s="94"/>
      <c r="AD32" s="94"/>
      <c r="AE32" s="79" t="e">
        <f>#REF!/AE7</f>
        <v>#REF!</v>
      </c>
      <c r="AF32" s="79"/>
      <c r="AG32" s="79"/>
      <c r="AH32" s="105" t="e">
        <f>#REF!/AH7</f>
        <v>#REF!</v>
      </c>
      <c r="AI32" s="79"/>
      <c r="AJ32" s="79"/>
      <c r="AK32" s="105" t="e">
        <f>+'QTY '!#REF!</f>
        <v>#REF!</v>
      </c>
      <c r="AL32" s="105" t="e">
        <f>+'QTY '!#REF!</f>
        <v>#REF!</v>
      </c>
      <c r="AM32" s="105" t="e">
        <f>+'QTY '!#REF!</f>
        <v>#REF!</v>
      </c>
      <c r="AN32" s="105" t="e">
        <f>+'QTY '!#REF!</f>
        <v>#REF!</v>
      </c>
      <c r="AO32" s="105" t="e">
        <f>+'QTY '!#REF!</f>
        <v>#REF!</v>
      </c>
      <c r="AP32" s="8" t="s">
        <v>53</v>
      </c>
      <c r="AQ32" s="98">
        <v>0</v>
      </c>
      <c r="AR32" s="98">
        <v>0</v>
      </c>
      <c r="AS32" s="98">
        <v>0</v>
      </c>
      <c r="AT32" s="98">
        <v>0</v>
      </c>
      <c r="AU32" s="98"/>
      <c r="AV32" s="98"/>
      <c r="AW32" s="98">
        <v>0</v>
      </c>
      <c r="AX32" s="98">
        <v>0</v>
      </c>
      <c r="AY32" s="98"/>
      <c r="AZ32" s="98"/>
      <c r="BA32" s="98">
        <v>0</v>
      </c>
      <c r="BB32" s="98"/>
      <c r="BC32" s="98"/>
      <c r="BD32" s="98">
        <v>0</v>
      </c>
      <c r="BE32" s="98"/>
      <c r="BF32" s="98"/>
      <c r="BG32" s="98">
        <v>0</v>
      </c>
      <c r="BH32" s="8" t="e">
        <f t="shared" si="0"/>
        <v>#REF!</v>
      </c>
      <c r="BI32" s="8" t="e">
        <f t="shared" si="1"/>
        <v>#REF!</v>
      </c>
      <c r="BJ32" s="8" t="e">
        <f t="shared" si="2"/>
        <v>#REF!</v>
      </c>
      <c r="BK32" s="8" t="e">
        <f t="shared" si="3"/>
        <v>#REF!</v>
      </c>
      <c r="BL32" s="8" t="e">
        <f t="shared" si="4"/>
        <v>#REF!</v>
      </c>
      <c r="BM32" s="8">
        <f t="shared" si="5"/>
        <v>23</v>
      </c>
    </row>
    <row r="33" spans="1:65" ht="15" customHeight="1" thickBot="1">
      <c r="A33" s="390"/>
      <c r="B33" s="118" t="e">
        <f>'QTY '!#REF!</f>
        <v>#REF!</v>
      </c>
      <c r="C33" s="354" t="e">
        <f>#REF!</f>
        <v>#REF!</v>
      </c>
      <c r="D33" s="354" t="e">
        <f>'QTY '!#REF!</f>
        <v>#REF!</v>
      </c>
      <c r="E33" s="354" t="e">
        <f>'QTY '!#REF!</f>
        <v>#REF!</v>
      </c>
      <c r="F33" s="354" t="e">
        <f>'QTY '!#REF!</f>
        <v>#REF!</v>
      </c>
      <c r="G33" s="99"/>
      <c r="H33" s="99" t="e">
        <f>I28/G20</f>
        <v>#REF!</v>
      </c>
      <c r="I33" s="99" t="e">
        <f>I28/(G20+G21)</f>
        <v>#REF!</v>
      </c>
      <c r="J33" s="99"/>
      <c r="K33" s="99" t="e">
        <f>L28/J20</f>
        <v>#REF!</v>
      </c>
      <c r="L33" s="99" t="e">
        <f>L28/(J20+J21)</f>
        <v>#REF!</v>
      </c>
      <c r="M33" s="99"/>
      <c r="N33" s="99" t="e">
        <f>O28/M20</f>
        <v>#REF!</v>
      </c>
      <c r="O33" s="99" t="e">
        <f>O28/(M20+M21)</f>
        <v>#REF!</v>
      </c>
      <c r="P33" s="99"/>
      <c r="Q33" s="99" t="e">
        <f>R28/P20</f>
        <v>#REF!</v>
      </c>
      <c r="R33" s="99" t="e">
        <f>R28/(P20+P21)</f>
        <v>#REF!</v>
      </c>
      <c r="S33" s="99"/>
      <c r="T33" s="99" t="e">
        <f>U28/S20</f>
        <v>#REF!</v>
      </c>
      <c r="U33" s="99" t="e">
        <f>U28/(S20+S21)</f>
        <v>#REF!</v>
      </c>
      <c r="V33" s="99"/>
      <c r="W33" s="99" t="e">
        <f>X28/V20</f>
        <v>#REF!</v>
      </c>
      <c r="X33" s="99" t="e">
        <f>X28/(V20+V21)</f>
        <v>#REF!</v>
      </c>
      <c r="Y33" s="99"/>
      <c r="Z33" s="99" t="e">
        <f>AA28/Y20</f>
        <v>#REF!</v>
      </c>
      <c r="AA33" s="99" t="e">
        <f>AA28/(Y20+Y21)</f>
        <v>#REF!</v>
      </c>
      <c r="AB33" s="93"/>
      <c r="AC33" s="94"/>
      <c r="AD33" s="94"/>
      <c r="AE33" s="79" t="e">
        <f>#REF!/AE7</f>
        <v>#REF!</v>
      </c>
      <c r="AF33" s="79"/>
      <c r="AG33" s="79"/>
      <c r="AH33" s="105" t="e">
        <f>#REF!/AH7</f>
        <v>#REF!</v>
      </c>
      <c r="AI33" s="79"/>
      <c r="AJ33" s="79"/>
      <c r="AK33" s="105" t="e">
        <f>+'QTY '!#REF!</f>
        <v>#REF!</v>
      </c>
      <c r="AL33" s="105" t="e">
        <f>+'QTY '!#REF!</f>
        <v>#REF!</v>
      </c>
      <c r="AM33" s="105" t="e">
        <f>+'QTY '!#REF!</f>
        <v>#REF!</v>
      </c>
      <c r="AN33" s="105" t="e">
        <f>+'QTY '!#REF!</f>
        <v>#REF!</v>
      </c>
      <c r="AO33" s="105" t="e">
        <f>+'QTY '!#REF!</f>
        <v>#REF!</v>
      </c>
      <c r="AP33" s="8" t="s">
        <v>54</v>
      </c>
      <c r="AQ33" s="98">
        <v>0</v>
      </c>
      <c r="AR33" s="98">
        <v>0</v>
      </c>
      <c r="AS33" s="98">
        <v>0</v>
      </c>
      <c r="AT33" s="98">
        <v>0</v>
      </c>
      <c r="AU33" s="98"/>
      <c r="AV33" s="98"/>
      <c r="AW33" s="98">
        <v>9.25</v>
      </c>
      <c r="AX33" s="98">
        <v>42.4</v>
      </c>
      <c r="AY33" s="98"/>
      <c r="AZ33" s="98"/>
      <c r="BA33" s="98">
        <v>88</v>
      </c>
      <c r="BB33" s="98"/>
      <c r="BC33" s="98"/>
      <c r="BD33" s="98">
        <v>82.5</v>
      </c>
      <c r="BE33" s="98"/>
      <c r="BF33" s="98"/>
      <c r="BG33" s="98">
        <v>82.5</v>
      </c>
      <c r="BH33" s="8" t="e">
        <f t="shared" si="0"/>
        <v>#REF!</v>
      </c>
      <c r="BI33" s="8" t="e">
        <f t="shared" si="1"/>
        <v>#REF!</v>
      </c>
      <c r="BJ33" s="8" t="e">
        <f t="shared" si="2"/>
        <v>#REF!</v>
      </c>
      <c r="BK33" s="8" t="e">
        <f t="shared" si="3"/>
        <v>#REF!</v>
      </c>
      <c r="BL33" s="8" t="e">
        <f t="shared" si="4"/>
        <v>#REF!</v>
      </c>
      <c r="BM33" s="8">
        <f t="shared" si="5"/>
        <v>24</v>
      </c>
    </row>
    <row r="34" spans="1:65" ht="15" customHeight="1" thickBot="1">
      <c r="A34" s="363"/>
      <c r="B34" s="118" t="e">
        <f>'QTY '!#REF!</f>
        <v>#REF!</v>
      </c>
      <c r="C34" s="106" t="e">
        <f>#REF!</f>
        <v>#REF!</v>
      </c>
      <c r="D34" s="106" t="e">
        <f>#REF!</f>
        <v>#REF!</v>
      </c>
      <c r="E34" s="106" t="e">
        <f>#REF!</f>
        <v>#REF!</v>
      </c>
      <c r="F34" s="106" t="e">
        <f>#REF!</f>
        <v>#REF!</v>
      </c>
      <c r="G34" s="99"/>
      <c r="H34" s="99" t="e">
        <f>SUM(H33:H33)</f>
        <v>#REF!</v>
      </c>
      <c r="I34" s="99" t="e">
        <f>SUM(I33:I33)</f>
        <v>#REF!</v>
      </c>
      <c r="J34" s="99"/>
      <c r="K34" s="99" t="e">
        <f>SUM(K33:K33)</f>
        <v>#REF!</v>
      </c>
      <c r="L34" s="99" t="e">
        <f>SUM(L33:L33)</f>
        <v>#REF!</v>
      </c>
      <c r="M34" s="99"/>
      <c r="N34" s="99" t="e">
        <f>SUM(N33:N33)</f>
        <v>#REF!</v>
      </c>
      <c r="O34" s="99" t="e">
        <f>SUM(O33:O33)</f>
        <v>#REF!</v>
      </c>
      <c r="P34" s="99"/>
      <c r="Q34" s="99" t="e">
        <f>SUM(Q33:Q33)</f>
        <v>#REF!</v>
      </c>
      <c r="R34" s="99" t="e">
        <f>SUM(R33:R33)</f>
        <v>#REF!</v>
      </c>
      <c r="S34" s="99"/>
      <c r="T34" s="99" t="e">
        <f>SUM(T33:T33)</f>
        <v>#REF!</v>
      </c>
      <c r="U34" s="99" t="e">
        <f>SUM(U33:U33)</f>
        <v>#REF!</v>
      </c>
      <c r="V34" s="99"/>
      <c r="W34" s="99" t="e">
        <f>SUM(W33:W33)</f>
        <v>#REF!</v>
      </c>
      <c r="X34" s="99" t="e">
        <f>SUM(X33:X33)</f>
        <v>#REF!</v>
      </c>
      <c r="Y34" s="99"/>
      <c r="Z34" s="99" t="e">
        <f>SUM(Z33:Z33)</f>
        <v>#REF!</v>
      </c>
      <c r="AA34" s="99" t="e">
        <f>SUM(AA33:AA33)</f>
        <v>#REF!</v>
      </c>
      <c r="AB34" s="93"/>
      <c r="AC34" s="94"/>
      <c r="AD34" s="94"/>
      <c r="AE34" s="79" t="e">
        <f>#REF!/AE7</f>
        <v>#REF!</v>
      </c>
      <c r="AF34" s="79"/>
      <c r="AG34" s="79"/>
      <c r="AH34" s="105" t="e">
        <f>#REF!/AH7</f>
        <v>#REF!</v>
      </c>
      <c r="AI34" s="79"/>
      <c r="AJ34" s="79"/>
      <c r="AK34" s="105" t="e">
        <f>+'QTY '!#REF!</f>
        <v>#REF!</v>
      </c>
      <c r="AL34" s="105" t="e">
        <f>+'QTY '!#REF!</f>
        <v>#REF!</v>
      </c>
      <c r="AM34" s="105" t="e">
        <f>+'QTY '!#REF!</f>
        <v>#REF!</v>
      </c>
      <c r="AN34" s="105" t="e">
        <f>+'QTY '!#REF!</f>
        <v>#REF!</v>
      </c>
      <c r="AO34" s="105" t="e">
        <f>+'QTY '!#REF!</f>
        <v>#REF!</v>
      </c>
      <c r="AP34" s="8" t="s">
        <v>55</v>
      </c>
      <c r="AQ34" s="98">
        <v>0</v>
      </c>
      <c r="AR34" s="98">
        <v>0</v>
      </c>
      <c r="AS34" s="98">
        <v>0</v>
      </c>
      <c r="AT34" s="98">
        <v>0</v>
      </c>
      <c r="AU34" s="98"/>
      <c r="AV34" s="98"/>
      <c r="AW34" s="98">
        <v>0</v>
      </c>
      <c r="AX34" s="98">
        <v>0</v>
      </c>
      <c r="AY34" s="98"/>
      <c r="AZ34" s="98"/>
      <c r="BA34" s="98">
        <v>0</v>
      </c>
      <c r="BB34" s="98"/>
      <c r="BC34" s="98"/>
      <c r="BD34" s="98">
        <v>0</v>
      </c>
      <c r="BE34" s="98"/>
      <c r="BF34" s="98"/>
      <c r="BG34" s="98">
        <v>0</v>
      </c>
      <c r="BH34" s="8" t="e">
        <f t="shared" si="0"/>
        <v>#REF!</v>
      </c>
      <c r="BI34" s="8" t="e">
        <f t="shared" si="1"/>
        <v>#REF!</v>
      </c>
      <c r="BJ34" s="8" t="e">
        <f t="shared" si="2"/>
        <v>#REF!</v>
      </c>
      <c r="BK34" s="8" t="e">
        <f t="shared" si="3"/>
        <v>#REF!</v>
      </c>
      <c r="BL34" s="8" t="e">
        <f t="shared" si="4"/>
        <v>#REF!</v>
      </c>
      <c r="BM34" s="8">
        <f t="shared" si="5"/>
        <v>25</v>
      </c>
    </row>
    <row r="35" spans="1:65" s="2" customFormat="1" ht="13.5" customHeight="1" thickBot="1">
      <c r="A35" s="361" t="s">
        <v>85</v>
      </c>
      <c r="B35" s="118" t="e">
        <f>'QTY '!#REF!</f>
        <v>#REF!</v>
      </c>
      <c r="C35" s="107" t="e">
        <f>#REF!</f>
        <v>#REF!</v>
      </c>
      <c r="D35" s="107" t="e">
        <f>#REF!</f>
        <v>#REF!</v>
      </c>
      <c r="E35" s="107" t="e">
        <f>#REF!</f>
        <v>#REF!</v>
      </c>
      <c r="F35" s="107" t="e">
        <f>#REF!</f>
        <v>#REF!</v>
      </c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79" t="e">
        <f>#REF!/AE7</f>
        <v>#REF!</v>
      </c>
      <c r="AF35" s="79"/>
      <c r="AG35" s="79"/>
      <c r="AH35" s="105" t="e">
        <f>#REF!/AH7</f>
        <v>#REF!</v>
      </c>
      <c r="AI35" s="79"/>
      <c r="AJ35" s="79"/>
      <c r="AK35" s="105" t="e">
        <f>+'QTY '!#REF!</f>
        <v>#REF!</v>
      </c>
      <c r="AL35" s="105" t="e">
        <f>+'QTY '!#REF!</f>
        <v>#REF!</v>
      </c>
      <c r="AM35" s="105" t="e">
        <f>+'QTY '!#REF!</f>
        <v>#REF!</v>
      </c>
      <c r="AN35" s="105" t="e">
        <f>+'QTY '!#REF!</f>
        <v>#REF!</v>
      </c>
      <c r="AO35" s="105" t="e">
        <f>+'QTY '!#REF!</f>
        <v>#REF!</v>
      </c>
      <c r="AP35" s="2" t="s">
        <v>56</v>
      </c>
      <c r="AQ35" s="98">
        <v>0</v>
      </c>
      <c r="AR35" s="98">
        <v>0</v>
      </c>
      <c r="AS35" s="98">
        <v>0</v>
      </c>
      <c r="AT35" s="98">
        <v>0</v>
      </c>
      <c r="AU35" s="98"/>
      <c r="AV35" s="98"/>
      <c r="AW35" s="98">
        <v>0</v>
      </c>
      <c r="AX35" s="98">
        <v>0</v>
      </c>
      <c r="AY35" s="98"/>
      <c r="AZ35" s="98"/>
      <c r="BA35" s="98">
        <v>0</v>
      </c>
      <c r="BB35" s="98"/>
      <c r="BC35" s="98"/>
      <c r="BD35" s="98">
        <v>0</v>
      </c>
      <c r="BE35" s="98"/>
      <c r="BF35" s="98"/>
      <c r="BG35" s="98">
        <v>0</v>
      </c>
      <c r="BH35" s="8" t="e">
        <f t="shared" si="0"/>
        <v>#REF!</v>
      </c>
      <c r="BI35" s="8" t="e">
        <f t="shared" si="1"/>
        <v>#REF!</v>
      </c>
      <c r="BJ35" s="8" t="e">
        <f t="shared" si="2"/>
        <v>#REF!</v>
      </c>
      <c r="BK35" s="8" t="e">
        <f t="shared" si="3"/>
        <v>#REF!</v>
      </c>
      <c r="BL35" s="8" t="e">
        <f t="shared" si="4"/>
        <v>#REF!</v>
      </c>
      <c r="BM35" s="8">
        <f t="shared" si="5"/>
        <v>26</v>
      </c>
    </row>
    <row r="36" spans="1:65" ht="13.5" customHeight="1" thickBot="1">
      <c r="A36" s="362"/>
      <c r="B36" s="118" t="e">
        <f>'QTY '!#REF!</f>
        <v>#REF!</v>
      </c>
      <c r="C36" s="101" t="e">
        <f>#REF!</f>
        <v>#REF!</v>
      </c>
      <c r="D36" s="101" t="e">
        <f>#REF!</f>
        <v>#REF!</v>
      </c>
      <c r="E36" s="101" t="e">
        <f>#REF!</f>
        <v>#REF!</v>
      </c>
      <c r="F36" s="101" t="e">
        <f>#REF!</f>
        <v>#REF!</v>
      </c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79" t="e">
        <f>#REF!/AE7</f>
        <v>#REF!</v>
      </c>
      <c r="AF36" s="79"/>
      <c r="AG36" s="79"/>
      <c r="AH36" s="105" t="e">
        <f>#REF!/AH7</f>
        <v>#REF!</v>
      </c>
      <c r="AI36" s="79"/>
      <c r="AJ36" s="79"/>
      <c r="AK36" s="105" t="e">
        <f>+'QTY '!#REF!</f>
        <v>#REF!</v>
      </c>
      <c r="AL36" s="105" t="e">
        <f>+'QTY '!#REF!</f>
        <v>#REF!</v>
      </c>
      <c r="AM36" s="105" t="e">
        <f>+'QTY '!#REF!</f>
        <v>#REF!</v>
      </c>
      <c r="AN36" s="105" t="e">
        <f>+'QTY '!#REF!</f>
        <v>#REF!</v>
      </c>
      <c r="AO36" s="105" t="e">
        <f>+'QTY '!#REF!</f>
        <v>#REF!</v>
      </c>
      <c r="AP36" s="8" t="s">
        <v>57</v>
      </c>
      <c r="AQ36" s="98">
        <v>0</v>
      </c>
      <c r="AR36" s="98">
        <v>0</v>
      </c>
      <c r="AS36" s="98">
        <v>0</v>
      </c>
      <c r="AT36" s="98">
        <v>0</v>
      </c>
      <c r="AU36" s="98"/>
      <c r="AV36" s="98"/>
      <c r="AW36" s="98">
        <v>0</v>
      </c>
      <c r="AX36" s="98">
        <v>0</v>
      </c>
      <c r="AY36" s="98"/>
      <c r="AZ36" s="98"/>
      <c r="BA36" s="98">
        <v>4.5</v>
      </c>
      <c r="BB36" s="98"/>
      <c r="BC36" s="98"/>
      <c r="BD36" s="98">
        <v>17.5</v>
      </c>
      <c r="BE36" s="98"/>
      <c r="BF36" s="98"/>
      <c r="BG36" s="98">
        <v>17.5</v>
      </c>
      <c r="BH36" s="8" t="e">
        <f t="shared" si="0"/>
        <v>#REF!</v>
      </c>
      <c r="BI36" s="8" t="e">
        <f t="shared" si="1"/>
        <v>#REF!</v>
      </c>
      <c r="BJ36" s="8" t="e">
        <f t="shared" si="2"/>
        <v>#REF!</v>
      </c>
      <c r="BK36" s="8" t="e">
        <f t="shared" si="3"/>
        <v>#REF!</v>
      </c>
      <c r="BL36" s="8" t="e">
        <f t="shared" si="4"/>
        <v>#REF!</v>
      </c>
      <c r="BM36" s="8">
        <f t="shared" si="5"/>
        <v>27</v>
      </c>
    </row>
    <row r="37" spans="1:65" ht="13.5" customHeight="1" thickBot="1">
      <c r="A37" s="362"/>
      <c r="B37" s="118" t="e">
        <f>'QTY '!#REF!</f>
        <v>#REF!</v>
      </c>
      <c r="C37" s="101" t="e">
        <f>#REF!</f>
        <v>#REF!</v>
      </c>
      <c r="D37" s="101" t="e">
        <f>#REF!</f>
        <v>#REF!</v>
      </c>
      <c r="E37" s="101" t="e">
        <f>#REF!</f>
        <v>#REF!</v>
      </c>
      <c r="F37" s="101" t="e">
        <f>#REF!</f>
        <v>#REF!</v>
      </c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79" t="e">
        <f>#REF!/AE7</f>
        <v>#REF!</v>
      </c>
      <c r="AF37" s="79"/>
      <c r="AG37" s="79"/>
      <c r="AH37" s="105" t="e">
        <f>#REF!/AH7</f>
        <v>#REF!</v>
      </c>
      <c r="AI37" s="79"/>
      <c r="AJ37" s="79"/>
      <c r="AK37" s="105" t="e">
        <f>+'QTY '!#REF!</f>
        <v>#REF!</v>
      </c>
      <c r="AL37" s="105" t="e">
        <f>+'QTY '!#REF!</f>
        <v>#REF!</v>
      </c>
      <c r="AM37" s="105" t="e">
        <f>+'QTY '!#REF!</f>
        <v>#REF!</v>
      </c>
      <c r="AN37" s="105" t="e">
        <f>+'QTY '!#REF!</f>
        <v>#REF!</v>
      </c>
      <c r="AO37" s="105" t="e">
        <f>+'QTY '!#REF!</f>
        <v>#REF!</v>
      </c>
      <c r="AP37" s="8" t="s">
        <v>58</v>
      </c>
      <c r="AQ37" s="98">
        <v>0</v>
      </c>
      <c r="AR37" s="98">
        <v>0</v>
      </c>
      <c r="AS37" s="98">
        <v>0</v>
      </c>
      <c r="AT37" s="98">
        <v>0</v>
      </c>
      <c r="AU37" s="98"/>
      <c r="AV37" s="98"/>
      <c r="AW37" s="98">
        <v>0</v>
      </c>
      <c r="AX37" s="98">
        <v>0</v>
      </c>
      <c r="AY37" s="98"/>
      <c r="AZ37" s="98"/>
      <c r="BA37" s="98">
        <v>0</v>
      </c>
      <c r="BB37" s="98"/>
      <c r="BC37" s="98"/>
      <c r="BD37" s="98">
        <v>0</v>
      </c>
      <c r="BE37" s="98"/>
      <c r="BF37" s="98"/>
      <c r="BG37" s="98">
        <v>0</v>
      </c>
      <c r="BH37" s="8" t="e">
        <f t="shared" si="0"/>
        <v>#REF!</v>
      </c>
      <c r="BI37" s="8" t="e">
        <f t="shared" si="1"/>
        <v>#REF!</v>
      </c>
      <c r="BJ37" s="8" t="e">
        <f t="shared" si="2"/>
        <v>#REF!</v>
      </c>
      <c r="BK37" s="8" t="e">
        <f t="shared" si="3"/>
        <v>#REF!</v>
      </c>
      <c r="BL37" s="8" t="e">
        <f t="shared" si="4"/>
        <v>#REF!</v>
      </c>
      <c r="BM37" s="8">
        <f t="shared" si="5"/>
        <v>28</v>
      </c>
    </row>
    <row r="38" spans="1:65" ht="13.5" customHeight="1" thickBot="1">
      <c r="A38" s="362"/>
      <c r="B38" s="118" t="e">
        <f>'QTY '!#REF!</f>
        <v>#REF!</v>
      </c>
      <c r="C38" s="101" t="e">
        <f>#REF!</f>
        <v>#REF!</v>
      </c>
      <c r="D38" s="101" t="e">
        <f>#REF!</f>
        <v>#REF!</v>
      </c>
      <c r="E38" s="101" t="e">
        <f>#REF!</f>
        <v>#REF!</v>
      </c>
      <c r="F38" s="101" t="e">
        <f>#REF!</f>
        <v>#REF!</v>
      </c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79" t="e">
        <f>#REF!/AE7</f>
        <v>#REF!</v>
      </c>
      <c r="AF38" s="79"/>
      <c r="AG38" s="79"/>
      <c r="AH38" s="105" t="e">
        <f>#REF!/AH7</f>
        <v>#REF!</v>
      </c>
      <c r="AI38" s="79"/>
      <c r="AJ38" s="79"/>
      <c r="AK38" s="105" t="e">
        <f>+'QTY '!#REF!</f>
        <v>#REF!</v>
      </c>
      <c r="AL38" s="105" t="e">
        <f>+'QTY '!#REF!</f>
        <v>#REF!</v>
      </c>
      <c r="AM38" s="105" t="e">
        <f>+'QTY '!#REF!</f>
        <v>#REF!</v>
      </c>
      <c r="AN38" s="105" t="e">
        <f>+'QTY '!#REF!</f>
        <v>#REF!</v>
      </c>
      <c r="AO38" s="105" t="e">
        <f>+'QTY '!#REF!</f>
        <v>#REF!</v>
      </c>
      <c r="AP38" s="8" t="s">
        <v>59</v>
      </c>
      <c r="AQ38" s="98">
        <v>0</v>
      </c>
      <c r="AR38" s="98">
        <v>0</v>
      </c>
      <c r="AS38" s="98">
        <v>0</v>
      </c>
      <c r="AT38" s="98">
        <v>0</v>
      </c>
      <c r="AU38" s="98"/>
      <c r="AV38" s="98"/>
      <c r="AW38" s="98">
        <v>0</v>
      </c>
      <c r="AX38" s="98">
        <v>0</v>
      </c>
      <c r="AY38" s="98"/>
      <c r="AZ38" s="98"/>
      <c r="BA38" s="98">
        <v>0</v>
      </c>
      <c r="BB38" s="98"/>
      <c r="BC38" s="98"/>
      <c r="BD38" s="98">
        <v>0</v>
      </c>
      <c r="BE38" s="98"/>
      <c r="BF38" s="98"/>
      <c r="BG38" s="98">
        <v>0</v>
      </c>
      <c r="BH38" s="8" t="e">
        <f t="shared" si="0"/>
        <v>#REF!</v>
      </c>
      <c r="BI38" s="8" t="e">
        <f t="shared" si="1"/>
        <v>#REF!</v>
      </c>
      <c r="BJ38" s="8" t="e">
        <f t="shared" si="2"/>
        <v>#REF!</v>
      </c>
      <c r="BK38" s="8" t="e">
        <f t="shared" si="3"/>
        <v>#REF!</v>
      </c>
      <c r="BL38" s="8" t="e">
        <f t="shared" si="4"/>
        <v>#REF!</v>
      </c>
      <c r="BM38" s="8">
        <f t="shared" si="5"/>
        <v>29</v>
      </c>
    </row>
    <row r="39" spans="1:65" ht="13.5" customHeight="1" thickBot="1">
      <c r="A39" s="362"/>
      <c r="B39" s="118" t="e">
        <f>'QTY '!#REF!</f>
        <v>#REF!</v>
      </c>
      <c r="C39" s="101" t="e">
        <f>#REF!</f>
        <v>#REF!</v>
      </c>
      <c r="D39" s="101" t="e">
        <f>#REF!</f>
        <v>#REF!</v>
      </c>
      <c r="E39" s="101" t="e">
        <f>#REF!</f>
        <v>#REF!</v>
      </c>
      <c r="F39" s="101" t="e">
        <f>#REF!</f>
        <v>#REF!</v>
      </c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79" t="e">
        <f>#REF!/AE7</f>
        <v>#REF!</v>
      </c>
      <c r="AF39" s="79"/>
      <c r="AG39" s="79"/>
      <c r="AH39" s="105" t="e">
        <f>#REF!/AH7</f>
        <v>#REF!</v>
      </c>
      <c r="AI39" s="79"/>
      <c r="AJ39" s="79"/>
      <c r="AK39" s="105" t="e">
        <f>+'QTY '!#REF!</f>
        <v>#REF!</v>
      </c>
      <c r="AL39" s="105" t="e">
        <f>+'QTY '!#REF!</f>
        <v>#REF!</v>
      </c>
      <c r="AM39" s="105" t="e">
        <f>+'QTY '!#REF!</f>
        <v>#REF!</v>
      </c>
      <c r="AN39" s="105" t="e">
        <f>+'QTY '!#REF!</f>
        <v>#REF!</v>
      </c>
      <c r="AO39" s="105" t="e">
        <f>+'QTY '!#REF!</f>
        <v>#REF!</v>
      </c>
      <c r="AP39" s="8" t="s">
        <v>60</v>
      </c>
      <c r="AQ39" s="98">
        <v>0</v>
      </c>
      <c r="AR39" s="98">
        <v>0</v>
      </c>
      <c r="AS39" s="98">
        <v>0</v>
      </c>
      <c r="AT39" s="98">
        <v>0</v>
      </c>
      <c r="AU39" s="98"/>
      <c r="AV39" s="98"/>
      <c r="AW39" s="98">
        <v>0</v>
      </c>
      <c r="AX39" s="98">
        <v>0</v>
      </c>
      <c r="AY39" s="98"/>
      <c r="AZ39" s="98"/>
      <c r="BA39" s="98">
        <v>0</v>
      </c>
      <c r="BB39" s="98"/>
      <c r="BC39" s="98"/>
      <c r="BD39" s="98">
        <v>0</v>
      </c>
      <c r="BE39" s="98"/>
      <c r="BF39" s="98"/>
      <c r="BG39" s="98">
        <v>0</v>
      </c>
      <c r="BH39" s="8" t="e">
        <f t="shared" si="0"/>
        <v>#REF!</v>
      </c>
      <c r="BI39" s="8" t="e">
        <f t="shared" si="1"/>
        <v>#REF!</v>
      </c>
      <c r="BJ39" s="8" t="e">
        <f t="shared" si="2"/>
        <v>#REF!</v>
      </c>
      <c r="BK39" s="8" t="e">
        <f t="shared" si="3"/>
        <v>#REF!</v>
      </c>
      <c r="BL39" s="8" t="e">
        <f t="shared" si="4"/>
        <v>#REF!</v>
      </c>
      <c r="BM39" s="8">
        <f t="shared" si="5"/>
        <v>30</v>
      </c>
    </row>
    <row r="40" spans="1:65" ht="13.5" customHeight="1" thickBot="1">
      <c r="A40" s="362"/>
      <c r="B40" s="118" t="e">
        <f>'QTY '!#REF!</f>
        <v>#REF!</v>
      </c>
      <c r="C40" s="101" t="e">
        <f>#REF!</f>
        <v>#REF!</v>
      </c>
      <c r="D40" s="101" t="e">
        <f>#REF!</f>
        <v>#REF!</v>
      </c>
      <c r="E40" s="101" t="e">
        <f>#REF!</f>
        <v>#REF!</v>
      </c>
      <c r="F40" s="101" t="e">
        <f>#REF!</f>
        <v>#REF!</v>
      </c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79" t="e">
        <f>#REF!/AE7</f>
        <v>#REF!</v>
      </c>
      <c r="AF40" s="79"/>
      <c r="AG40" s="79"/>
      <c r="AH40" s="105" t="e">
        <f>#REF!/AH7</f>
        <v>#REF!</v>
      </c>
      <c r="AI40" s="79"/>
      <c r="AJ40" s="79"/>
      <c r="AK40" s="105" t="e">
        <f>+'QTY '!#REF!</f>
        <v>#REF!</v>
      </c>
      <c r="AL40" s="105" t="e">
        <f>+'QTY '!#REF!</f>
        <v>#REF!</v>
      </c>
      <c r="AM40" s="105" t="e">
        <f>+'QTY '!#REF!</f>
        <v>#REF!</v>
      </c>
      <c r="AN40" s="105" t="e">
        <f>+'QTY '!#REF!</f>
        <v>#REF!</v>
      </c>
      <c r="AO40" s="105" t="e">
        <f>+'QTY '!#REF!</f>
        <v>#REF!</v>
      </c>
      <c r="AP40" s="8" t="s">
        <v>61</v>
      </c>
      <c r="AQ40" s="98">
        <v>0</v>
      </c>
      <c r="AR40" s="98">
        <v>0</v>
      </c>
      <c r="AS40" s="98">
        <v>0</v>
      </c>
      <c r="AT40" s="98">
        <v>0</v>
      </c>
      <c r="AU40" s="98"/>
      <c r="AV40" s="98"/>
      <c r="AW40" s="98">
        <v>0</v>
      </c>
      <c r="AX40" s="98">
        <v>0</v>
      </c>
      <c r="AY40" s="98"/>
      <c r="AZ40" s="98"/>
      <c r="BA40" s="98">
        <v>4</v>
      </c>
      <c r="BB40" s="98"/>
      <c r="BC40" s="98"/>
      <c r="BD40" s="98">
        <v>24.5</v>
      </c>
      <c r="BE40" s="98"/>
      <c r="BF40" s="98"/>
      <c r="BG40" s="98">
        <v>24.5</v>
      </c>
      <c r="BH40" s="8" t="e">
        <f t="shared" si="0"/>
        <v>#REF!</v>
      </c>
      <c r="BI40" s="8" t="e">
        <f t="shared" si="1"/>
        <v>#REF!</v>
      </c>
      <c r="BJ40" s="8" t="e">
        <f t="shared" si="2"/>
        <v>#REF!</v>
      </c>
      <c r="BK40" s="8" t="e">
        <f t="shared" si="3"/>
        <v>#REF!</v>
      </c>
      <c r="BL40" s="8" t="e">
        <f t="shared" si="4"/>
        <v>#REF!</v>
      </c>
      <c r="BM40" s="8">
        <f t="shared" si="5"/>
        <v>31</v>
      </c>
    </row>
    <row r="41" spans="1:65" ht="13.5" customHeight="1" thickBot="1">
      <c r="A41" s="362"/>
      <c r="B41" s="118" t="e">
        <f>'QTY '!#REF!</f>
        <v>#REF!</v>
      </c>
      <c r="C41" s="101" t="e">
        <f>#REF!</f>
        <v>#REF!</v>
      </c>
      <c r="D41" s="101" t="e">
        <f>#REF!</f>
        <v>#REF!</v>
      </c>
      <c r="E41" s="101" t="e">
        <f>#REF!</f>
        <v>#REF!</v>
      </c>
      <c r="F41" s="101" t="e">
        <f>#REF!</f>
        <v>#REF!</v>
      </c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79" t="e">
        <f>#REF!/AE7</f>
        <v>#REF!</v>
      </c>
      <c r="AF41" s="79"/>
      <c r="AG41" s="79"/>
      <c r="AH41" s="105" t="e">
        <f>#REF!/AH7</f>
        <v>#REF!</v>
      </c>
      <c r="AI41" s="79"/>
      <c r="AJ41" s="79"/>
      <c r="AK41" s="105" t="e">
        <f>+'QTY '!#REF!</f>
        <v>#REF!</v>
      </c>
      <c r="AL41" s="105" t="e">
        <f>+'QTY '!#REF!</f>
        <v>#REF!</v>
      </c>
      <c r="AM41" s="105" t="e">
        <f>+'QTY '!#REF!</f>
        <v>#REF!</v>
      </c>
      <c r="AN41" s="105" t="e">
        <f>+'QTY '!#REF!</f>
        <v>#REF!</v>
      </c>
      <c r="AO41" s="105" t="e">
        <f>+'QTY '!#REF!</f>
        <v>#REF!</v>
      </c>
      <c r="AP41" s="8" t="s">
        <v>62</v>
      </c>
      <c r="AQ41" s="98">
        <v>0</v>
      </c>
      <c r="AR41" s="98">
        <v>0</v>
      </c>
      <c r="AS41" s="98">
        <v>0</v>
      </c>
      <c r="AT41" s="98">
        <v>0</v>
      </c>
      <c r="AU41" s="98"/>
      <c r="AV41" s="98"/>
      <c r="AW41" s="98">
        <v>0</v>
      </c>
      <c r="AX41" s="98">
        <v>0</v>
      </c>
      <c r="AY41" s="98"/>
      <c r="AZ41" s="98"/>
      <c r="BA41" s="98">
        <v>0</v>
      </c>
      <c r="BB41" s="98"/>
      <c r="BC41" s="98"/>
      <c r="BD41" s="98">
        <v>0</v>
      </c>
      <c r="BE41" s="98"/>
      <c r="BF41" s="98"/>
      <c r="BG41" s="98">
        <v>0</v>
      </c>
      <c r="BH41" s="8" t="e">
        <f t="shared" si="0"/>
        <v>#REF!</v>
      </c>
      <c r="BI41" s="8" t="e">
        <f t="shared" si="1"/>
        <v>#REF!</v>
      </c>
      <c r="BJ41" s="8" t="e">
        <f t="shared" si="2"/>
        <v>#REF!</v>
      </c>
      <c r="BK41" s="8" t="e">
        <f t="shared" si="3"/>
        <v>#REF!</v>
      </c>
      <c r="BL41" s="8" t="e">
        <f t="shared" si="4"/>
        <v>#REF!</v>
      </c>
      <c r="BM41" s="8">
        <f t="shared" si="5"/>
        <v>32</v>
      </c>
    </row>
    <row r="42" spans="1:65" ht="13.5" customHeight="1" thickBot="1">
      <c r="A42" s="362"/>
      <c r="B42" s="118" t="e">
        <f>'QTY '!#REF!</f>
        <v>#REF!</v>
      </c>
      <c r="C42" s="101" t="e">
        <f>#REF!</f>
        <v>#REF!</v>
      </c>
      <c r="D42" s="101" t="e">
        <f>#REF!</f>
        <v>#REF!</v>
      </c>
      <c r="E42" s="101" t="e">
        <f>#REF!</f>
        <v>#REF!</v>
      </c>
      <c r="F42" s="101" t="e">
        <f>#REF!</f>
        <v>#REF!</v>
      </c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79" t="e">
        <f>#REF!/AE7</f>
        <v>#REF!</v>
      </c>
      <c r="AF42" s="79"/>
      <c r="AG42" s="79"/>
      <c r="AH42" s="105" t="e">
        <f>#REF!/AH7</f>
        <v>#REF!</v>
      </c>
      <c r="AI42" s="79"/>
      <c r="AJ42" s="79"/>
      <c r="AK42" s="105" t="e">
        <f>+'QTY '!#REF!</f>
        <v>#REF!</v>
      </c>
      <c r="AL42" s="105" t="e">
        <f>+'QTY '!#REF!</f>
        <v>#REF!</v>
      </c>
      <c r="AM42" s="105" t="e">
        <f>+'QTY '!#REF!</f>
        <v>#REF!</v>
      </c>
      <c r="AN42" s="105" t="e">
        <f>+'QTY '!#REF!</f>
        <v>#REF!</v>
      </c>
      <c r="AO42" s="105" t="e">
        <f>+'QTY '!#REF!</f>
        <v>#REF!</v>
      </c>
      <c r="AP42" s="8" t="s">
        <v>63</v>
      </c>
      <c r="AQ42" s="98">
        <v>0</v>
      </c>
      <c r="AR42" s="98">
        <v>0</v>
      </c>
      <c r="AS42" s="98">
        <v>0</v>
      </c>
      <c r="AT42" s="98">
        <v>0</v>
      </c>
      <c r="AU42" s="98"/>
      <c r="AV42" s="98"/>
      <c r="AW42" s="98">
        <v>9.25</v>
      </c>
      <c r="AX42" s="98">
        <v>57.2</v>
      </c>
      <c r="AY42" s="98"/>
      <c r="AZ42" s="98"/>
      <c r="BA42" s="98">
        <v>47</v>
      </c>
      <c r="BB42" s="98"/>
      <c r="BC42" s="98"/>
      <c r="BD42" s="98">
        <v>55</v>
      </c>
      <c r="BE42" s="98"/>
      <c r="BF42" s="98"/>
      <c r="BG42" s="98">
        <v>55</v>
      </c>
      <c r="BH42" s="8" t="e">
        <f t="shared" si="0"/>
        <v>#REF!</v>
      </c>
      <c r="BI42" s="8" t="e">
        <f t="shared" si="1"/>
        <v>#REF!</v>
      </c>
      <c r="BJ42" s="8" t="e">
        <f t="shared" si="2"/>
        <v>#REF!</v>
      </c>
      <c r="BK42" s="8" t="e">
        <f t="shared" si="3"/>
        <v>#REF!</v>
      </c>
      <c r="BL42" s="8" t="e">
        <f t="shared" si="4"/>
        <v>#REF!</v>
      </c>
      <c r="BM42" s="8">
        <f t="shared" si="5"/>
        <v>33</v>
      </c>
    </row>
    <row r="43" spans="1:65" ht="13.5" customHeight="1" thickBot="1">
      <c r="A43" s="363"/>
      <c r="B43" s="118" t="e">
        <f>'QTY '!#REF!</f>
        <v>#REF!</v>
      </c>
      <c r="C43" s="101" t="e">
        <f>#REF!</f>
        <v>#REF!</v>
      </c>
      <c r="D43" s="101" t="e">
        <f>#REF!</f>
        <v>#REF!</v>
      </c>
      <c r="E43" s="101" t="e">
        <f>#REF!</f>
        <v>#REF!</v>
      </c>
      <c r="F43" s="101" t="e">
        <f>#REF!</f>
        <v>#REF!</v>
      </c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79" t="e">
        <f>#REF!/AE7</f>
        <v>#REF!</v>
      </c>
      <c r="AF43" s="79"/>
      <c r="AG43" s="79"/>
      <c r="AH43" s="105" t="e">
        <f>#REF!/AH7</f>
        <v>#REF!</v>
      </c>
      <c r="AI43" s="79"/>
      <c r="AJ43" s="79"/>
      <c r="AK43" s="105" t="e">
        <f>+'QTY '!#REF!</f>
        <v>#REF!</v>
      </c>
      <c r="AL43" s="105" t="e">
        <f>+'QTY '!#REF!</f>
        <v>#REF!</v>
      </c>
      <c r="AM43" s="105" t="e">
        <f>+'QTY '!#REF!</f>
        <v>#REF!</v>
      </c>
      <c r="AN43" s="105" t="e">
        <f>+'QTY '!#REF!</f>
        <v>#REF!</v>
      </c>
      <c r="AO43" s="105" t="e">
        <f>+'QTY '!#REF!</f>
        <v>#REF!</v>
      </c>
      <c r="AP43" s="8" t="s">
        <v>64</v>
      </c>
      <c r="AQ43" s="98">
        <v>0</v>
      </c>
      <c r="AR43" s="98">
        <v>0</v>
      </c>
      <c r="AS43" s="98">
        <v>0</v>
      </c>
      <c r="AT43" s="98">
        <v>0</v>
      </c>
      <c r="AU43" s="98"/>
      <c r="AV43" s="98"/>
      <c r="AW43" s="98">
        <v>0</v>
      </c>
      <c r="AX43" s="98">
        <v>0</v>
      </c>
      <c r="AY43" s="98"/>
      <c r="AZ43" s="98"/>
      <c r="BA43" s="98">
        <v>4</v>
      </c>
      <c r="BB43" s="98"/>
      <c r="BC43" s="98"/>
      <c r="BD43" s="98">
        <v>15</v>
      </c>
      <c r="BE43" s="98"/>
      <c r="BF43" s="98"/>
      <c r="BG43" s="98">
        <v>15</v>
      </c>
      <c r="BH43" s="8" t="e">
        <f t="shared" si="0"/>
        <v>#REF!</v>
      </c>
      <c r="BI43" s="8" t="e">
        <f t="shared" si="1"/>
        <v>#REF!</v>
      </c>
      <c r="BJ43" s="8" t="e">
        <f t="shared" si="2"/>
        <v>#REF!</v>
      </c>
      <c r="BK43" s="8" t="e">
        <f t="shared" si="3"/>
        <v>#REF!</v>
      </c>
      <c r="BL43" s="8" t="e">
        <f t="shared" si="4"/>
        <v>#REF!</v>
      </c>
      <c r="BM43" s="8">
        <f t="shared" si="5"/>
        <v>34</v>
      </c>
    </row>
    <row r="44" spans="1:65" ht="13.5" customHeight="1" thickBot="1">
      <c r="A44" s="364" t="s">
        <v>85</v>
      </c>
      <c r="B44" s="118" t="e">
        <f>'QTY '!#REF!</f>
        <v>#REF!</v>
      </c>
      <c r="C44" s="101" t="e">
        <f>#REF!</f>
        <v>#REF!</v>
      </c>
      <c r="D44" s="101" t="e">
        <f>#REF!</f>
        <v>#REF!</v>
      </c>
      <c r="E44" s="101" t="e">
        <f>#REF!</f>
        <v>#REF!</v>
      </c>
      <c r="F44" s="101" t="e">
        <f>#REF!</f>
        <v>#REF!</v>
      </c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79" t="e">
        <f>#REF!/AE10</f>
        <v>#REF!</v>
      </c>
      <c r="AF44" s="79"/>
      <c r="AG44" s="79"/>
      <c r="AH44" s="105" t="e">
        <f>#REF!/AH10</f>
        <v>#REF!</v>
      </c>
      <c r="AI44" s="79"/>
      <c r="AJ44" s="79"/>
      <c r="AK44" s="105" t="e">
        <f>+'QTY '!#REF!</f>
        <v>#REF!</v>
      </c>
      <c r="AL44" s="105" t="e">
        <f>+'QTY '!#REF!</f>
        <v>#REF!</v>
      </c>
      <c r="AM44" s="105" t="e">
        <f>+'QTY '!#REF!</f>
        <v>#REF!</v>
      </c>
      <c r="AN44" s="105" t="e">
        <f>+'QTY '!#REF!</f>
        <v>#REF!</v>
      </c>
      <c r="AO44" s="105" t="e">
        <f>+'QTY '!#REF!</f>
        <v>#REF!</v>
      </c>
      <c r="AP44" s="8" t="s">
        <v>62</v>
      </c>
      <c r="AQ44" s="98">
        <v>0</v>
      </c>
      <c r="AR44" s="98">
        <v>0</v>
      </c>
      <c r="AS44" s="98">
        <v>0</v>
      </c>
      <c r="AT44" s="98">
        <v>0</v>
      </c>
      <c r="AU44" s="98"/>
      <c r="AV44" s="98"/>
      <c r="AW44" s="98">
        <v>0</v>
      </c>
      <c r="AX44" s="98">
        <v>0</v>
      </c>
      <c r="AY44" s="98"/>
      <c r="AZ44" s="98"/>
      <c r="BA44" s="98">
        <v>0</v>
      </c>
      <c r="BB44" s="98"/>
      <c r="BC44" s="98"/>
      <c r="BD44" s="98">
        <v>0</v>
      </c>
      <c r="BE44" s="98"/>
      <c r="BF44" s="98"/>
      <c r="BG44" s="98">
        <v>0</v>
      </c>
      <c r="BH44" s="8" t="e">
        <f t="shared" si="0"/>
        <v>#REF!</v>
      </c>
      <c r="BI44" s="8" t="e">
        <f t="shared" si="1"/>
        <v>#REF!</v>
      </c>
      <c r="BJ44" s="8" t="e">
        <f t="shared" si="2"/>
        <v>#REF!</v>
      </c>
      <c r="BK44" s="8" t="e">
        <f t="shared" si="3"/>
        <v>#REF!</v>
      </c>
      <c r="BL44" s="8" t="e">
        <f t="shared" si="4"/>
        <v>#REF!</v>
      </c>
      <c r="BM44" s="8">
        <f t="shared" si="5"/>
        <v>35</v>
      </c>
    </row>
    <row r="45" spans="1:65" ht="13.5" customHeight="1" thickBot="1">
      <c r="A45" s="365"/>
      <c r="B45" s="118" t="e">
        <f>'QTY '!#REF!</f>
        <v>#REF!</v>
      </c>
      <c r="C45" s="101" t="e">
        <f>#REF!</f>
        <v>#REF!</v>
      </c>
      <c r="D45" s="101" t="e">
        <f>#REF!</f>
        <v>#REF!</v>
      </c>
      <c r="E45" s="101" t="e">
        <f>#REF!</f>
        <v>#REF!</v>
      </c>
      <c r="F45" s="101" t="e">
        <f>#REF!</f>
        <v>#REF!</v>
      </c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79" t="e">
        <f>#REF!/AE10</f>
        <v>#REF!</v>
      </c>
      <c r="AF45" s="79"/>
      <c r="AG45" s="79"/>
      <c r="AH45" s="105" t="e">
        <f>#REF!/AH10</f>
        <v>#REF!</v>
      </c>
      <c r="AI45" s="79"/>
      <c r="AJ45" s="79"/>
      <c r="AK45" s="105" t="e">
        <f>+'QTY '!#REF!</f>
        <v>#REF!</v>
      </c>
      <c r="AL45" s="105" t="e">
        <f>+'QTY '!#REF!</f>
        <v>#REF!</v>
      </c>
      <c r="AM45" s="105" t="e">
        <f>+'QTY '!#REF!</f>
        <v>#REF!</v>
      </c>
      <c r="AN45" s="105" t="e">
        <f>+'QTY '!#REF!</f>
        <v>#REF!</v>
      </c>
      <c r="AO45" s="105" t="e">
        <f>+'QTY '!#REF!</f>
        <v>#REF!</v>
      </c>
      <c r="AP45" s="8" t="s">
        <v>63</v>
      </c>
      <c r="AQ45" s="98">
        <v>0</v>
      </c>
      <c r="AR45" s="98">
        <v>0</v>
      </c>
      <c r="AS45" s="98">
        <v>0</v>
      </c>
      <c r="AT45" s="98">
        <v>0</v>
      </c>
      <c r="AU45" s="98"/>
      <c r="AV45" s="98"/>
      <c r="AW45" s="98">
        <v>9.25</v>
      </c>
      <c r="AX45" s="98">
        <v>57.2</v>
      </c>
      <c r="AY45" s="98"/>
      <c r="AZ45" s="98"/>
      <c r="BA45" s="98">
        <v>47</v>
      </c>
      <c r="BB45" s="98"/>
      <c r="BC45" s="98"/>
      <c r="BD45" s="98">
        <v>55</v>
      </c>
      <c r="BE45" s="98"/>
      <c r="BF45" s="98"/>
      <c r="BG45" s="98">
        <v>55</v>
      </c>
      <c r="BH45" s="8" t="e">
        <f t="shared" si="0"/>
        <v>#REF!</v>
      </c>
      <c r="BI45" s="8" t="e">
        <f t="shared" si="1"/>
        <v>#REF!</v>
      </c>
      <c r="BJ45" s="8" t="e">
        <f t="shared" si="2"/>
        <v>#REF!</v>
      </c>
      <c r="BK45" s="8" t="e">
        <f t="shared" si="3"/>
        <v>#REF!</v>
      </c>
      <c r="BL45" s="8" t="e">
        <f t="shared" si="4"/>
        <v>#REF!</v>
      </c>
      <c r="BM45" s="8">
        <f t="shared" si="5"/>
        <v>36</v>
      </c>
    </row>
    <row r="46" spans="1:65" ht="13.5" customHeight="1" thickBot="1">
      <c r="A46" s="365"/>
      <c r="B46" s="118" t="e">
        <f>'QTY '!#REF!</f>
        <v>#REF!</v>
      </c>
      <c r="C46" s="101" t="e">
        <f>#REF!</f>
        <v>#REF!</v>
      </c>
      <c r="D46" s="101" t="e">
        <f>#REF!</f>
        <v>#REF!</v>
      </c>
      <c r="E46" s="101" t="e">
        <f>#REF!</f>
        <v>#REF!</v>
      </c>
      <c r="F46" s="101" t="e">
        <f>#REF!</f>
        <v>#REF!</v>
      </c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79" t="e">
        <f>#REF!/AE10</f>
        <v>#REF!</v>
      </c>
      <c r="AF46" s="79"/>
      <c r="AG46" s="79"/>
      <c r="AH46" s="105" t="e">
        <f>#REF!/AH10</f>
        <v>#REF!</v>
      </c>
      <c r="AI46" s="79"/>
      <c r="AJ46" s="79"/>
      <c r="AK46" s="105" t="e">
        <f>+'QTY '!#REF!</f>
        <v>#REF!</v>
      </c>
      <c r="AL46" s="105" t="e">
        <f>+'QTY '!#REF!</f>
        <v>#REF!</v>
      </c>
      <c r="AM46" s="105" t="e">
        <f>+'QTY '!#REF!</f>
        <v>#REF!</v>
      </c>
      <c r="AN46" s="105" t="e">
        <f>+'QTY '!#REF!</f>
        <v>#REF!</v>
      </c>
      <c r="AO46" s="105" t="e">
        <f>+'QTY '!#REF!</f>
        <v>#REF!</v>
      </c>
      <c r="AP46" s="8" t="s">
        <v>64</v>
      </c>
      <c r="AQ46" s="98">
        <v>0</v>
      </c>
      <c r="AR46" s="98">
        <v>0</v>
      </c>
      <c r="AS46" s="98">
        <v>0</v>
      </c>
      <c r="AT46" s="98">
        <v>0</v>
      </c>
      <c r="AU46" s="98"/>
      <c r="AV46" s="98"/>
      <c r="AW46" s="98">
        <v>0</v>
      </c>
      <c r="AX46" s="98">
        <v>0</v>
      </c>
      <c r="AY46" s="98"/>
      <c r="AZ46" s="98"/>
      <c r="BA46" s="98">
        <v>4</v>
      </c>
      <c r="BB46" s="98"/>
      <c r="BC46" s="98"/>
      <c r="BD46" s="98">
        <v>15</v>
      </c>
      <c r="BE46" s="98"/>
      <c r="BF46" s="98"/>
      <c r="BG46" s="98">
        <v>15</v>
      </c>
      <c r="BH46" s="8" t="e">
        <f t="shared" si="0"/>
        <v>#REF!</v>
      </c>
      <c r="BI46" s="8" t="e">
        <f t="shared" si="1"/>
        <v>#REF!</v>
      </c>
      <c r="BJ46" s="8" t="e">
        <f t="shared" si="2"/>
        <v>#REF!</v>
      </c>
      <c r="BK46" s="8" t="e">
        <f t="shared" si="3"/>
        <v>#REF!</v>
      </c>
      <c r="BL46" s="8" t="e">
        <f t="shared" si="4"/>
        <v>#REF!</v>
      </c>
      <c r="BM46" s="8">
        <f t="shared" si="5"/>
        <v>37</v>
      </c>
    </row>
    <row r="47" spans="1:65" ht="13.5" customHeight="1" thickBot="1">
      <c r="A47" s="365"/>
      <c r="B47" s="118" t="e">
        <f>'QTY '!#REF!</f>
        <v>#REF!</v>
      </c>
      <c r="C47" s="101" t="e">
        <f>#REF!</f>
        <v>#REF!</v>
      </c>
      <c r="D47" s="101" t="e">
        <f>#REF!</f>
        <v>#REF!</v>
      </c>
      <c r="E47" s="101" t="e">
        <f>#REF!</f>
        <v>#REF!</v>
      </c>
      <c r="F47" s="101" t="e">
        <f>#REF!</f>
        <v>#REF!</v>
      </c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79" t="e">
        <f>#REF!/AE7</f>
        <v>#REF!</v>
      </c>
      <c r="AF47" s="79"/>
      <c r="AG47" s="79"/>
      <c r="AH47" s="105" t="e">
        <f>#REF!/AH7</f>
        <v>#REF!</v>
      </c>
      <c r="AI47" s="79"/>
      <c r="AJ47" s="79"/>
      <c r="AK47" s="105" t="e">
        <f>+'QTY '!#REF!</f>
        <v>#REF!</v>
      </c>
      <c r="AL47" s="105" t="e">
        <f>+'QTY '!#REF!</f>
        <v>#REF!</v>
      </c>
      <c r="AM47" s="105" t="e">
        <f>+'QTY '!#REF!</f>
        <v>#REF!</v>
      </c>
      <c r="AN47" s="105" t="e">
        <f>+'QTY '!#REF!</f>
        <v>#REF!</v>
      </c>
      <c r="AO47" s="105" t="e">
        <f>+'QTY '!#REF!</f>
        <v>#REF!</v>
      </c>
      <c r="AP47" s="8" t="s">
        <v>65</v>
      </c>
      <c r="AQ47" s="98">
        <v>0</v>
      </c>
      <c r="AR47" s="98">
        <v>0</v>
      </c>
      <c r="AS47" s="98">
        <v>0</v>
      </c>
      <c r="AT47" s="98">
        <v>0</v>
      </c>
      <c r="AU47" s="98"/>
      <c r="AV47" s="98"/>
      <c r="AW47" s="98">
        <v>0</v>
      </c>
      <c r="AX47" s="98">
        <v>0</v>
      </c>
      <c r="AY47" s="98"/>
      <c r="AZ47" s="98"/>
      <c r="BA47" s="98">
        <v>0</v>
      </c>
      <c r="BB47" s="98"/>
      <c r="BC47" s="98"/>
      <c r="BD47" s="98">
        <v>0</v>
      </c>
      <c r="BE47" s="98"/>
      <c r="BF47" s="98"/>
      <c r="BG47" s="98">
        <v>0</v>
      </c>
      <c r="BH47" s="8" t="e">
        <f t="shared" si="0"/>
        <v>#REF!</v>
      </c>
      <c r="BI47" s="8" t="e">
        <f t="shared" si="1"/>
        <v>#REF!</v>
      </c>
      <c r="BJ47" s="8" t="e">
        <f t="shared" si="2"/>
        <v>#REF!</v>
      </c>
      <c r="BK47" s="8" t="e">
        <f t="shared" si="3"/>
        <v>#REF!</v>
      </c>
      <c r="BL47" s="8" t="e">
        <f t="shared" si="4"/>
        <v>#REF!</v>
      </c>
      <c r="BM47" s="8">
        <f t="shared" si="5"/>
        <v>38</v>
      </c>
    </row>
    <row r="48" spans="1:65" ht="13.5" customHeight="1" thickBot="1">
      <c r="A48" s="365"/>
      <c r="B48" s="118" t="e">
        <f>'QTY '!#REF!</f>
        <v>#REF!</v>
      </c>
      <c r="C48" s="101" t="e">
        <f>#REF!</f>
        <v>#REF!</v>
      </c>
      <c r="D48" s="101" t="e">
        <f>#REF!</f>
        <v>#REF!</v>
      </c>
      <c r="E48" s="101" t="e">
        <f>#REF!</f>
        <v>#REF!</v>
      </c>
      <c r="F48" s="101" t="e">
        <f>#REF!</f>
        <v>#REF!</v>
      </c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79" t="e">
        <f>#REF!/AE7</f>
        <v>#REF!</v>
      </c>
      <c r="AF48" s="79"/>
      <c r="AG48" s="79"/>
      <c r="AH48" s="105" t="e">
        <f>#REF!/AH7</f>
        <v>#REF!</v>
      </c>
      <c r="AI48" s="79"/>
      <c r="AJ48" s="79"/>
      <c r="AK48" s="105" t="e">
        <f>+'QTY '!#REF!</f>
        <v>#REF!</v>
      </c>
      <c r="AL48" s="105" t="e">
        <f>+'QTY '!#REF!</f>
        <v>#REF!</v>
      </c>
      <c r="AM48" s="105" t="e">
        <f>+'QTY '!#REF!</f>
        <v>#REF!</v>
      </c>
      <c r="AN48" s="105" t="e">
        <f>+'QTY '!#REF!</f>
        <v>#REF!</v>
      </c>
      <c r="AO48" s="105" t="e">
        <f>+'QTY '!#REF!</f>
        <v>#REF!</v>
      </c>
      <c r="AP48" s="8" t="s">
        <v>66</v>
      </c>
      <c r="AQ48" s="98">
        <v>0</v>
      </c>
      <c r="AR48" s="98">
        <v>0</v>
      </c>
      <c r="AS48" s="98">
        <v>0</v>
      </c>
      <c r="AT48" s="98">
        <v>0</v>
      </c>
      <c r="AU48" s="98"/>
      <c r="AV48" s="98"/>
      <c r="AW48" s="98">
        <v>0</v>
      </c>
      <c r="AX48" s="98">
        <v>0</v>
      </c>
      <c r="AY48" s="98"/>
      <c r="AZ48" s="98"/>
      <c r="BA48" s="98">
        <v>0</v>
      </c>
      <c r="BB48" s="98"/>
      <c r="BC48" s="98"/>
      <c r="BD48" s="98">
        <v>0</v>
      </c>
      <c r="BE48" s="98"/>
      <c r="BF48" s="98"/>
      <c r="BG48" s="98">
        <v>0</v>
      </c>
      <c r="BH48" s="8" t="e">
        <f t="shared" si="0"/>
        <v>#REF!</v>
      </c>
      <c r="BI48" s="8" t="e">
        <f t="shared" si="1"/>
        <v>#REF!</v>
      </c>
      <c r="BJ48" s="8" t="e">
        <f t="shared" si="2"/>
        <v>#REF!</v>
      </c>
      <c r="BK48" s="8" t="e">
        <f t="shared" si="3"/>
        <v>#REF!</v>
      </c>
      <c r="BL48" s="8" t="e">
        <f t="shared" si="4"/>
        <v>#REF!</v>
      </c>
      <c r="BM48" s="8">
        <f t="shared" si="5"/>
        <v>39</v>
      </c>
    </row>
    <row r="49" spans="1:65" ht="13.5" customHeight="1" thickBot="1">
      <c r="A49" s="365"/>
      <c r="B49" s="118" t="e">
        <f>'QTY '!#REF!</f>
        <v>#REF!</v>
      </c>
      <c r="C49" s="101" t="e">
        <f>#REF!</f>
        <v>#REF!</v>
      </c>
      <c r="D49" s="101" t="e">
        <f>#REF!</f>
        <v>#REF!</v>
      </c>
      <c r="E49" s="101" t="e">
        <f>#REF!</f>
        <v>#REF!</v>
      </c>
      <c r="F49" s="101" t="e">
        <f>#REF!</f>
        <v>#REF!</v>
      </c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79" t="e">
        <f>#REF!/AE7</f>
        <v>#REF!</v>
      </c>
      <c r="AF49" s="79"/>
      <c r="AG49" s="79"/>
      <c r="AH49" s="105" t="e">
        <f>#REF!/AH7</f>
        <v>#REF!</v>
      </c>
      <c r="AI49" s="79"/>
      <c r="AJ49" s="79"/>
      <c r="AK49" s="105" t="e">
        <f>+'QTY '!#REF!</f>
        <v>#REF!</v>
      </c>
      <c r="AL49" s="105" t="e">
        <f>+'QTY '!#REF!</f>
        <v>#REF!</v>
      </c>
      <c r="AM49" s="105" t="e">
        <f>+'QTY '!#REF!</f>
        <v>#REF!</v>
      </c>
      <c r="AN49" s="105" t="e">
        <f>+'QTY '!#REF!</f>
        <v>#REF!</v>
      </c>
      <c r="AO49" s="105" t="e">
        <f>+'QTY '!#REF!</f>
        <v>#REF!</v>
      </c>
      <c r="AP49" s="8" t="s">
        <v>67</v>
      </c>
      <c r="AQ49" s="98">
        <v>0</v>
      </c>
      <c r="AR49" s="98">
        <v>0</v>
      </c>
      <c r="AS49" s="98">
        <v>0</v>
      </c>
      <c r="AT49" s="98">
        <v>0</v>
      </c>
      <c r="AU49" s="98"/>
      <c r="AV49" s="98"/>
      <c r="AW49" s="98">
        <v>0</v>
      </c>
      <c r="AX49" s="98">
        <v>0</v>
      </c>
      <c r="AY49" s="98"/>
      <c r="AZ49" s="98"/>
      <c r="BA49" s="98">
        <v>4.5</v>
      </c>
      <c r="BB49" s="98"/>
      <c r="BC49" s="98"/>
      <c r="BD49" s="98">
        <v>20.5</v>
      </c>
      <c r="BE49" s="98"/>
      <c r="BF49" s="98"/>
      <c r="BG49" s="98">
        <v>20.5</v>
      </c>
      <c r="BH49" s="8" t="e">
        <f t="shared" si="0"/>
        <v>#REF!</v>
      </c>
      <c r="BI49" s="8" t="e">
        <f t="shared" si="1"/>
        <v>#REF!</v>
      </c>
      <c r="BJ49" s="8" t="e">
        <f t="shared" si="2"/>
        <v>#REF!</v>
      </c>
      <c r="BK49" s="8" t="e">
        <f t="shared" si="3"/>
        <v>#REF!</v>
      </c>
      <c r="BL49" s="8" t="e">
        <f t="shared" si="4"/>
        <v>#REF!</v>
      </c>
      <c r="BM49" s="8">
        <f t="shared" si="5"/>
        <v>40</v>
      </c>
    </row>
    <row r="50" spans="1:65" ht="13.5" customHeight="1" thickBot="1">
      <c r="A50" s="365"/>
      <c r="B50" s="118" t="e">
        <f>'QTY '!#REF!</f>
        <v>#REF!</v>
      </c>
      <c r="C50" s="101" t="e">
        <f>#REF!</f>
        <v>#REF!</v>
      </c>
      <c r="D50" s="101" t="e">
        <f>#REF!</f>
        <v>#REF!</v>
      </c>
      <c r="E50" s="101" t="e">
        <f>#REF!</f>
        <v>#REF!</v>
      </c>
      <c r="F50" s="101" t="e">
        <f>#REF!</f>
        <v>#REF!</v>
      </c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79" t="e">
        <f>#REF!/AE8</f>
        <v>#REF!</v>
      </c>
      <c r="AF50" s="79"/>
      <c r="AG50" s="79"/>
      <c r="AH50" s="105" t="e">
        <f>#REF!/AH8</f>
        <v>#REF!</v>
      </c>
      <c r="AI50" s="79"/>
      <c r="AJ50" s="79"/>
      <c r="AK50" s="105" t="e">
        <f>+'QTY '!#REF!</f>
        <v>#REF!</v>
      </c>
      <c r="AL50" s="105" t="e">
        <f>+'QTY '!#REF!</f>
        <v>#REF!</v>
      </c>
      <c r="AM50" s="105" t="e">
        <f>+'QTY '!#REF!</f>
        <v>#REF!</v>
      </c>
      <c r="AN50" s="105" t="e">
        <f>+'QTY '!#REF!</f>
        <v>#REF!</v>
      </c>
      <c r="AO50" s="105" t="e">
        <f>+'QTY '!#REF!</f>
        <v>#REF!</v>
      </c>
      <c r="AP50" s="8" t="s">
        <v>67</v>
      </c>
      <c r="AQ50" s="98">
        <v>0</v>
      </c>
      <c r="AR50" s="98">
        <v>0</v>
      </c>
      <c r="AS50" s="98">
        <v>0</v>
      </c>
      <c r="AT50" s="98">
        <v>0</v>
      </c>
      <c r="AU50" s="98"/>
      <c r="AV50" s="98"/>
      <c r="AW50" s="98">
        <v>0</v>
      </c>
      <c r="AX50" s="98">
        <v>0</v>
      </c>
      <c r="AY50" s="98"/>
      <c r="AZ50" s="98"/>
      <c r="BA50" s="98">
        <v>4.5</v>
      </c>
      <c r="BB50" s="98"/>
      <c r="BC50" s="98"/>
      <c r="BD50" s="98">
        <v>20.5</v>
      </c>
      <c r="BE50" s="98"/>
      <c r="BF50" s="98"/>
      <c r="BG50" s="98">
        <v>20.5</v>
      </c>
      <c r="BH50" s="8" t="e">
        <f t="shared" si="0"/>
        <v>#REF!</v>
      </c>
      <c r="BI50" s="8" t="e">
        <f t="shared" si="1"/>
        <v>#REF!</v>
      </c>
      <c r="BJ50" s="8" t="e">
        <f t="shared" si="2"/>
        <v>#REF!</v>
      </c>
      <c r="BK50" s="8" t="e">
        <f t="shared" si="3"/>
        <v>#REF!</v>
      </c>
      <c r="BL50" s="8" t="e">
        <f t="shared" si="4"/>
        <v>#REF!</v>
      </c>
      <c r="BM50" s="8">
        <f t="shared" si="5"/>
        <v>41</v>
      </c>
    </row>
    <row r="51" spans="1:65" ht="13.5" customHeight="1" thickBot="1">
      <c r="A51" s="365"/>
      <c r="B51" s="118" t="e">
        <f>'QTY '!#REF!</f>
        <v>#REF!</v>
      </c>
      <c r="C51" s="101" t="e">
        <f>#REF!</f>
        <v>#REF!</v>
      </c>
      <c r="D51" s="101" t="e">
        <f>#REF!</f>
        <v>#REF!</v>
      </c>
      <c r="E51" s="101" t="e">
        <f>#REF!</f>
        <v>#REF!</v>
      </c>
      <c r="F51" s="101" t="e">
        <f>#REF!</f>
        <v>#REF!</v>
      </c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79" t="e">
        <f>#REF!/AE7</f>
        <v>#REF!</v>
      </c>
      <c r="AF51" s="79"/>
      <c r="AG51" s="79"/>
      <c r="AH51" s="105" t="e">
        <f>#REF!/AH7</f>
        <v>#REF!</v>
      </c>
      <c r="AI51" s="79"/>
      <c r="AJ51" s="79"/>
      <c r="AK51" s="105" t="e">
        <f>+'QTY '!#REF!</f>
        <v>#REF!</v>
      </c>
      <c r="AL51" s="105" t="e">
        <f>+'QTY '!#REF!</f>
        <v>#REF!</v>
      </c>
      <c r="AM51" s="105" t="e">
        <f>+'QTY '!#REF!</f>
        <v>#REF!</v>
      </c>
      <c r="AN51" s="105" t="e">
        <f>+'QTY '!#REF!</f>
        <v>#REF!</v>
      </c>
      <c r="AO51" s="105" t="e">
        <f>+'QTY '!#REF!</f>
        <v>#REF!</v>
      </c>
      <c r="AP51" s="8" t="s">
        <v>68</v>
      </c>
      <c r="AQ51" s="98">
        <v>0</v>
      </c>
      <c r="AR51" s="98">
        <v>0</v>
      </c>
      <c r="AS51" s="98">
        <v>0</v>
      </c>
      <c r="AT51" s="98">
        <v>0</v>
      </c>
      <c r="AU51" s="98"/>
      <c r="AV51" s="98"/>
      <c r="AW51" s="98">
        <v>0</v>
      </c>
      <c r="AX51" s="98">
        <v>0</v>
      </c>
      <c r="AY51" s="98"/>
      <c r="AZ51" s="98"/>
      <c r="BA51" s="98">
        <v>0</v>
      </c>
      <c r="BB51" s="98"/>
      <c r="BC51" s="98"/>
      <c r="BD51" s="98">
        <v>0</v>
      </c>
      <c r="BE51" s="98"/>
      <c r="BF51" s="98"/>
      <c r="BG51" s="98">
        <v>0</v>
      </c>
      <c r="BH51" s="8" t="e">
        <f t="shared" si="0"/>
        <v>#REF!</v>
      </c>
      <c r="BI51" s="8" t="e">
        <f t="shared" si="1"/>
        <v>#REF!</v>
      </c>
      <c r="BJ51" s="8" t="e">
        <f t="shared" si="2"/>
        <v>#REF!</v>
      </c>
      <c r="BK51" s="8" t="e">
        <f t="shared" si="3"/>
        <v>#REF!</v>
      </c>
      <c r="BL51" s="8" t="e">
        <f t="shared" si="4"/>
        <v>#REF!</v>
      </c>
      <c r="BM51" s="8">
        <f t="shared" si="5"/>
        <v>42</v>
      </c>
    </row>
    <row r="52" spans="1:65" ht="13.5" customHeight="1" thickBot="1">
      <c r="A52" s="365"/>
      <c r="B52" s="118" t="e">
        <f>'QTY '!#REF!</f>
        <v>#REF!</v>
      </c>
      <c r="C52" s="101" t="e">
        <f>#REF!</f>
        <v>#REF!</v>
      </c>
      <c r="D52" s="101" t="e">
        <f>#REF!</f>
        <v>#REF!</v>
      </c>
      <c r="E52" s="101" t="e">
        <f>#REF!</f>
        <v>#REF!</v>
      </c>
      <c r="F52" s="101" t="e">
        <f>#REF!</f>
        <v>#REF!</v>
      </c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79" t="e">
        <f>#REF!/AE7</f>
        <v>#REF!</v>
      </c>
      <c r="AF52" s="79"/>
      <c r="AG52" s="79"/>
      <c r="AH52" s="105" t="e">
        <f>#REF!/AH7</f>
        <v>#REF!</v>
      </c>
      <c r="AI52" s="79"/>
      <c r="AJ52" s="79"/>
      <c r="AK52" s="105" t="e">
        <f>+'QTY '!#REF!</f>
        <v>#REF!</v>
      </c>
      <c r="AL52" s="105" t="e">
        <f>+'QTY '!#REF!</f>
        <v>#REF!</v>
      </c>
      <c r="AM52" s="105" t="e">
        <f>+'QTY '!#REF!</f>
        <v>#REF!</v>
      </c>
      <c r="AN52" s="105" t="e">
        <f>+'QTY '!#REF!</f>
        <v>#REF!</v>
      </c>
      <c r="AO52" s="105" t="e">
        <f>+'QTY '!#REF!</f>
        <v>#REF!</v>
      </c>
      <c r="AP52" s="8" t="s">
        <v>69</v>
      </c>
      <c r="AQ52" s="98">
        <v>0</v>
      </c>
      <c r="AR52" s="98">
        <v>0</v>
      </c>
      <c r="AS52" s="98">
        <v>0</v>
      </c>
      <c r="AT52" s="98">
        <v>0</v>
      </c>
      <c r="AU52" s="98"/>
      <c r="AV52" s="98"/>
      <c r="AW52" s="98">
        <v>0</v>
      </c>
      <c r="AX52" s="98">
        <v>0</v>
      </c>
      <c r="AY52" s="98"/>
      <c r="AZ52" s="98"/>
      <c r="BA52" s="98">
        <v>0</v>
      </c>
      <c r="BB52" s="98"/>
      <c r="BC52" s="98"/>
      <c r="BD52" s="98">
        <v>0</v>
      </c>
      <c r="BE52" s="98"/>
      <c r="BF52" s="98"/>
      <c r="BG52" s="98">
        <v>0</v>
      </c>
      <c r="BH52" s="8" t="e">
        <f t="shared" si="0"/>
        <v>#REF!</v>
      </c>
      <c r="BI52" s="8" t="e">
        <f t="shared" si="1"/>
        <v>#REF!</v>
      </c>
      <c r="BJ52" s="8" t="e">
        <f t="shared" si="2"/>
        <v>#REF!</v>
      </c>
      <c r="BK52" s="8" t="e">
        <f t="shared" si="3"/>
        <v>#REF!</v>
      </c>
      <c r="BL52" s="8" t="e">
        <f t="shared" si="4"/>
        <v>#REF!</v>
      </c>
      <c r="BM52" s="8">
        <f t="shared" si="5"/>
        <v>43</v>
      </c>
    </row>
    <row r="53" spans="1:65" ht="13.5" customHeight="1" thickBot="1">
      <c r="A53" s="365"/>
      <c r="B53" s="118" t="e">
        <f>'QTY '!#REF!</f>
        <v>#REF!</v>
      </c>
      <c r="C53" s="101" t="e">
        <f>#REF!</f>
        <v>#REF!</v>
      </c>
      <c r="D53" s="101" t="e">
        <f>#REF!</f>
        <v>#REF!</v>
      </c>
      <c r="E53" s="101" t="e">
        <f>#REF!</f>
        <v>#REF!</v>
      </c>
      <c r="F53" s="101" t="e">
        <f>#REF!</f>
        <v>#REF!</v>
      </c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79" t="e">
        <f>#REF!/AE7</f>
        <v>#REF!</v>
      </c>
      <c r="AF53" s="79"/>
      <c r="AG53" s="79"/>
      <c r="AH53" s="105" t="e">
        <f>#REF!/AH7</f>
        <v>#REF!</v>
      </c>
      <c r="AI53" s="79"/>
      <c r="AJ53" s="79"/>
      <c r="AK53" s="105" t="e">
        <f>+'QTY '!#REF!</f>
        <v>#REF!</v>
      </c>
      <c r="AL53" s="105" t="e">
        <f>+'QTY '!#REF!</f>
        <v>#REF!</v>
      </c>
      <c r="AM53" s="105" t="e">
        <f>+'QTY '!#REF!</f>
        <v>#REF!</v>
      </c>
      <c r="AN53" s="105" t="e">
        <f>+'QTY '!#REF!</f>
        <v>#REF!</v>
      </c>
      <c r="AO53" s="105" t="e">
        <f>+'QTY '!#REF!</f>
        <v>#REF!</v>
      </c>
      <c r="AP53" s="8" t="s">
        <v>70</v>
      </c>
      <c r="AQ53" s="98">
        <v>0</v>
      </c>
      <c r="AR53" s="98">
        <v>0</v>
      </c>
      <c r="AS53" s="98">
        <v>0</v>
      </c>
      <c r="AT53" s="98">
        <v>0</v>
      </c>
      <c r="AU53" s="98"/>
      <c r="AV53" s="98"/>
      <c r="AW53" s="98">
        <v>0</v>
      </c>
      <c r="AX53" s="98">
        <v>0</v>
      </c>
      <c r="AY53" s="98"/>
      <c r="AZ53" s="98"/>
      <c r="BA53" s="98">
        <v>0</v>
      </c>
      <c r="BB53" s="98"/>
      <c r="BC53" s="98"/>
      <c r="BD53" s="98">
        <v>0</v>
      </c>
      <c r="BE53" s="98"/>
      <c r="BF53" s="98"/>
      <c r="BG53" s="98">
        <v>0</v>
      </c>
      <c r="BH53" s="8" t="e">
        <f t="shared" si="0"/>
        <v>#REF!</v>
      </c>
      <c r="BI53" s="8" t="e">
        <f t="shared" si="1"/>
        <v>#REF!</v>
      </c>
      <c r="BJ53" s="8" t="e">
        <f t="shared" si="2"/>
        <v>#REF!</v>
      </c>
      <c r="BK53" s="8" t="e">
        <f t="shared" si="3"/>
        <v>#REF!</v>
      </c>
      <c r="BL53" s="8" t="e">
        <f t="shared" si="4"/>
        <v>#REF!</v>
      </c>
      <c r="BM53" s="8">
        <f t="shared" si="5"/>
        <v>44</v>
      </c>
    </row>
    <row r="54" spans="1:65" ht="13.5" customHeight="1" thickBot="1">
      <c r="A54" s="365"/>
      <c r="B54" s="118" t="e">
        <f>'QTY '!#REF!</f>
        <v>#REF!</v>
      </c>
      <c r="C54" s="101" t="e">
        <f>#REF!</f>
        <v>#REF!</v>
      </c>
      <c r="D54" s="101" t="e">
        <f>#REF!</f>
        <v>#REF!</v>
      </c>
      <c r="E54" s="101" t="e">
        <f>#REF!</f>
        <v>#REF!</v>
      </c>
      <c r="F54" s="101" t="e">
        <f>#REF!</f>
        <v>#REF!</v>
      </c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79" t="e">
        <f>#REF!/AE7</f>
        <v>#REF!</v>
      </c>
      <c r="AF54" s="79"/>
      <c r="AG54" s="79"/>
      <c r="AH54" s="105" t="e">
        <f>#REF!/AH7</f>
        <v>#REF!</v>
      </c>
      <c r="AI54" s="79"/>
      <c r="AJ54" s="79"/>
      <c r="AK54" s="105" t="e">
        <f>+'QTY '!#REF!</f>
        <v>#REF!</v>
      </c>
      <c r="AL54" s="105" t="e">
        <f>+'QTY '!#REF!</f>
        <v>#REF!</v>
      </c>
      <c r="AM54" s="105" t="e">
        <f>+'QTY '!#REF!</f>
        <v>#REF!</v>
      </c>
      <c r="AN54" s="105" t="e">
        <f>+'QTY '!#REF!</f>
        <v>#REF!</v>
      </c>
      <c r="AO54" s="105" t="e">
        <f>+'QTY '!#REF!</f>
        <v>#REF!</v>
      </c>
      <c r="AP54" s="8" t="s">
        <v>71</v>
      </c>
      <c r="AQ54" s="98">
        <v>0</v>
      </c>
      <c r="AR54" s="98">
        <v>0</v>
      </c>
      <c r="AS54" s="98">
        <v>0</v>
      </c>
      <c r="AT54" s="98">
        <v>0</v>
      </c>
      <c r="AU54" s="98"/>
      <c r="AV54" s="98"/>
      <c r="AW54" s="98">
        <v>0</v>
      </c>
      <c r="AX54" s="98">
        <v>0</v>
      </c>
      <c r="AY54" s="98"/>
      <c r="AZ54" s="98"/>
      <c r="BA54" s="98">
        <v>0</v>
      </c>
      <c r="BB54" s="98"/>
      <c r="BC54" s="98"/>
      <c r="BD54" s="98">
        <v>0</v>
      </c>
      <c r="BE54" s="98"/>
      <c r="BF54" s="98"/>
      <c r="BG54" s="98">
        <v>0</v>
      </c>
      <c r="BH54" s="8" t="e">
        <f t="shared" si="0"/>
        <v>#REF!</v>
      </c>
      <c r="BI54" s="8" t="e">
        <f t="shared" si="1"/>
        <v>#REF!</v>
      </c>
      <c r="BJ54" s="8" t="e">
        <f t="shared" si="2"/>
        <v>#REF!</v>
      </c>
      <c r="BK54" s="8" t="e">
        <f t="shared" si="3"/>
        <v>#REF!</v>
      </c>
      <c r="BL54" s="8" t="e">
        <f t="shared" si="4"/>
        <v>#REF!</v>
      </c>
      <c r="BM54" s="8">
        <f t="shared" si="5"/>
        <v>45</v>
      </c>
    </row>
    <row r="55" spans="1:65" ht="13.5" customHeight="1" thickBot="1">
      <c r="A55" s="365"/>
      <c r="B55" s="118" t="e">
        <f>'QTY '!#REF!</f>
        <v>#REF!</v>
      </c>
      <c r="C55" s="101" t="e">
        <f>#REF!</f>
        <v>#REF!</v>
      </c>
      <c r="D55" s="101" t="e">
        <f>#REF!</f>
        <v>#REF!</v>
      </c>
      <c r="E55" s="101" t="e">
        <f>#REF!</f>
        <v>#REF!</v>
      </c>
      <c r="F55" s="101" t="e">
        <f>#REF!</f>
        <v>#REF!</v>
      </c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79" t="e">
        <f>#REF!/AE7</f>
        <v>#REF!</v>
      </c>
      <c r="AF55" s="79"/>
      <c r="AG55" s="79"/>
      <c r="AH55" s="105" t="e">
        <f>#REF!/AH7</f>
        <v>#REF!</v>
      </c>
      <c r="AI55" s="79"/>
      <c r="AJ55" s="79"/>
      <c r="AK55" s="105" t="e">
        <f>+'QTY '!#REF!</f>
        <v>#REF!</v>
      </c>
      <c r="AL55" s="105" t="e">
        <f>+'QTY '!#REF!</f>
        <v>#REF!</v>
      </c>
      <c r="AM55" s="105" t="e">
        <f>+'QTY '!#REF!</f>
        <v>#REF!</v>
      </c>
      <c r="AN55" s="105" t="e">
        <f>+'QTY '!#REF!</f>
        <v>#REF!</v>
      </c>
      <c r="AO55" s="105" t="e">
        <f>+'QTY '!#REF!</f>
        <v>#REF!</v>
      </c>
      <c r="AP55" s="8" t="s">
        <v>72</v>
      </c>
      <c r="AQ55" s="98">
        <v>0</v>
      </c>
      <c r="AR55" s="98">
        <v>0</v>
      </c>
      <c r="AS55" s="98">
        <v>0</v>
      </c>
      <c r="AT55" s="98">
        <v>0</v>
      </c>
      <c r="AU55" s="98"/>
      <c r="AV55" s="98"/>
      <c r="AW55" s="98">
        <v>0</v>
      </c>
      <c r="AX55" s="98">
        <v>0</v>
      </c>
      <c r="AY55" s="98"/>
      <c r="AZ55" s="98"/>
      <c r="BA55" s="98">
        <v>0</v>
      </c>
      <c r="BB55" s="98"/>
      <c r="BC55" s="98"/>
      <c r="BD55" s="98">
        <v>0</v>
      </c>
      <c r="BE55" s="98"/>
      <c r="BF55" s="98"/>
      <c r="BG55" s="98">
        <v>0</v>
      </c>
      <c r="BH55" s="8" t="e">
        <f t="shared" si="0"/>
        <v>#REF!</v>
      </c>
      <c r="BI55" s="8" t="e">
        <f t="shared" si="1"/>
        <v>#REF!</v>
      </c>
      <c r="BJ55" s="8" t="e">
        <f t="shared" si="2"/>
        <v>#REF!</v>
      </c>
      <c r="BK55" s="8" t="e">
        <f t="shared" si="3"/>
        <v>#REF!</v>
      </c>
      <c r="BL55" s="8" t="e">
        <f t="shared" si="4"/>
        <v>#REF!</v>
      </c>
      <c r="BM55" s="8">
        <f t="shared" si="5"/>
        <v>46</v>
      </c>
    </row>
    <row r="56" spans="1:65" ht="13.5" customHeight="1" thickBot="1">
      <c r="A56" s="365"/>
      <c r="B56" s="118" t="e">
        <f>'QTY '!#REF!</f>
        <v>#REF!</v>
      </c>
      <c r="C56" s="101" t="e">
        <f>#REF!</f>
        <v>#REF!</v>
      </c>
      <c r="D56" s="101" t="e">
        <f>#REF!</f>
        <v>#REF!</v>
      </c>
      <c r="E56" s="101" t="e">
        <f>#REF!</f>
        <v>#REF!</v>
      </c>
      <c r="F56" s="101" t="e">
        <f>#REF!</f>
        <v>#REF!</v>
      </c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79" t="e">
        <f>#REF!/AE7</f>
        <v>#REF!</v>
      </c>
      <c r="AF56" s="79"/>
      <c r="AG56" s="79"/>
      <c r="AH56" s="105" t="e">
        <f>#REF!/AH7</f>
        <v>#REF!</v>
      </c>
      <c r="AI56" s="79"/>
      <c r="AJ56" s="79"/>
      <c r="AK56" s="105" t="e">
        <f>+'QTY '!#REF!</f>
        <v>#REF!</v>
      </c>
      <c r="AL56" s="105" t="e">
        <f>+'QTY '!#REF!</f>
        <v>#REF!</v>
      </c>
      <c r="AM56" s="105" t="e">
        <f>+'QTY '!#REF!</f>
        <v>#REF!</v>
      </c>
      <c r="AN56" s="105" t="e">
        <f>+'QTY '!#REF!</f>
        <v>#REF!</v>
      </c>
      <c r="AO56" s="105" t="e">
        <f>+'QTY '!#REF!</f>
        <v>#REF!</v>
      </c>
      <c r="AP56" s="8" t="s">
        <v>73</v>
      </c>
      <c r="AQ56" s="98">
        <v>0</v>
      </c>
      <c r="AR56" s="98">
        <v>0</v>
      </c>
      <c r="AS56" s="98">
        <v>0</v>
      </c>
      <c r="AT56" s="98">
        <v>0</v>
      </c>
      <c r="AU56" s="98"/>
      <c r="AV56" s="98"/>
      <c r="AW56" s="98">
        <v>0</v>
      </c>
      <c r="AX56" s="98">
        <v>0</v>
      </c>
      <c r="AY56" s="98"/>
      <c r="AZ56" s="98"/>
      <c r="BA56" s="98">
        <v>3</v>
      </c>
      <c r="BB56" s="98"/>
      <c r="BC56" s="98"/>
      <c r="BD56" s="98">
        <v>5</v>
      </c>
      <c r="BE56" s="98"/>
      <c r="BF56" s="98"/>
      <c r="BG56" s="98">
        <v>5</v>
      </c>
      <c r="BH56" s="8" t="e">
        <f t="shared" si="0"/>
        <v>#REF!</v>
      </c>
      <c r="BI56" s="8" t="e">
        <f t="shared" si="1"/>
        <v>#REF!</v>
      </c>
      <c r="BJ56" s="8" t="e">
        <f t="shared" si="2"/>
        <v>#REF!</v>
      </c>
      <c r="BK56" s="8" t="e">
        <f t="shared" si="3"/>
        <v>#REF!</v>
      </c>
      <c r="BL56" s="8" t="e">
        <f t="shared" si="4"/>
        <v>#REF!</v>
      </c>
      <c r="BM56" s="8">
        <f t="shared" si="5"/>
        <v>47</v>
      </c>
    </row>
    <row r="57" spans="1:65" ht="13.5" customHeight="1" thickBot="1">
      <c r="A57" s="365"/>
      <c r="B57" s="118" t="e">
        <f>'QTY '!#REF!</f>
        <v>#REF!</v>
      </c>
      <c r="C57" s="101" t="e">
        <f>#REF!</f>
        <v>#REF!</v>
      </c>
      <c r="D57" s="101" t="e">
        <f>#REF!</f>
        <v>#REF!</v>
      </c>
      <c r="E57" s="101" t="e">
        <f>#REF!</f>
        <v>#REF!</v>
      </c>
      <c r="F57" s="101" t="e">
        <f>#REF!</f>
        <v>#REF!</v>
      </c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79" t="e">
        <f>#REF!/AE7</f>
        <v>#REF!</v>
      </c>
      <c r="AF57" s="79"/>
      <c r="AG57" s="79"/>
      <c r="AH57" s="105" t="e">
        <f>#REF!/AH7</f>
        <v>#REF!</v>
      </c>
      <c r="AI57" s="79"/>
      <c r="AJ57" s="79"/>
      <c r="AK57" s="105" t="e">
        <f>+'QTY '!#REF!</f>
        <v>#REF!</v>
      </c>
      <c r="AL57" s="105" t="e">
        <f>+'QTY '!#REF!</f>
        <v>#REF!</v>
      </c>
      <c r="AM57" s="105" t="e">
        <f>+'QTY '!#REF!</f>
        <v>#REF!</v>
      </c>
      <c r="AN57" s="105" t="e">
        <f>+'QTY '!#REF!</f>
        <v>#REF!</v>
      </c>
      <c r="AO57" s="105" t="e">
        <f>+'QTY '!#REF!</f>
        <v>#REF!</v>
      </c>
      <c r="AP57" s="8" t="s">
        <v>74</v>
      </c>
      <c r="AQ57" s="98">
        <v>0</v>
      </c>
      <c r="AR57" s="98">
        <v>0</v>
      </c>
      <c r="AS57" s="98">
        <v>0</v>
      </c>
      <c r="AT57" s="98">
        <v>0</v>
      </c>
      <c r="AU57" s="98"/>
      <c r="AV57" s="98"/>
      <c r="AW57" s="98">
        <v>0</v>
      </c>
      <c r="AX57" s="98">
        <v>0</v>
      </c>
      <c r="AY57" s="98"/>
      <c r="AZ57" s="98"/>
      <c r="BA57" s="98">
        <v>11</v>
      </c>
      <c r="BB57" s="98"/>
      <c r="BC57" s="98"/>
      <c r="BD57" s="98">
        <v>80.5</v>
      </c>
      <c r="BE57" s="98"/>
      <c r="BF57" s="98"/>
      <c r="BG57" s="98">
        <v>80.5</v>
      </c>
      <c r="BH57" s="8" t="e">
        <f t="shared" si="0"/>
        <v>#REF!</v>
      </c>
      <c r="BI57" s="8" t="e">
        <f t="shared" si="1"/>
        <v>#REF!</v>
      </c>
      <c r="BJ57" s="8" t="e">
        <f t="shared" si="2"/>
        <v>#REF!</v>
      </c>
      <c r="BK57" s="8" t="e">
        <f t="shared" si="3"/>
        <v>#REF!</v>
      </c>
      <c r="BL57" s="8" t="e">
        <f t="shared" si="4"/>
        <v>#REF!</v>
      </c>
      <c r="BM57" s="8">
        <f t="shared" si="5"/>
        <v>48</v>
      </c>
    </row>
    <row r="58" spans="1:65" ht="13.5" customHeight="1" thickBot="1">
      <c r="A58" s="365"/>
      <c r="B58" s="118" t="e">
        <f>'QTY '!#REF!</f>
        <v>#REF!</v>
      </c>
      <c r="C58" s="101" t="e">
        <f>#REF!</f>
        <v>#REF!</v>
      </c>
      <c r="D58" s="101" t="e">
        <f>#REF!</f>
        <v>#REF!</v>
      </c>
      <c r="E58" s="101" t="e">
        <f>#REF!</f>
        <v>#REF!</v>
      </c>
      <c r="F58" s="101" t="e">
        <f>#REF!</f>
        <v>#REF!</v>
      </c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79" t="e">
        <f>#REF!/AE7</f>
        <v>#REF!</v>
      </c>
      <c r="AF58" s="79"/>
      <c r="AG58" s="79"/>
      <c r="AH58" s="105" t="e">
        <f>#REF!/AH7</f>
        <v>#REF!</v>
      </c>
      <c r="AI58" s="79"/>
      <c r="AJ58" s="79"/>
      <c r="AK58" s="105" t="e">
        <f>+'QTY '!#REF!</f>
        <v>#REF!</v>
      </c>
      <c r="AL58" s="105" t="e">
        <f>+'QTY '!#REF!</f>
        <v>#REF!</v>
      </c>
      <c r="AM58" s="105" t="e">
        <f>+'QTY '!#REF!</f>
        <v>#REF!</v>
      </c>
      <c r="AN58" s="105" t="e">
        <f>+'QTY '!#REF!</f>
        <v>#REF!</v>
      </c>
      <c r="AO58" s="105" t="e">
        <f>+'QTY '!#REF!</f>
        <v>#REF!</v>
      </c>
      <c r="AP58" s="8" t="s">
        <v>75</v>
      </c>
      <c r="AQ58" s="98">
        <v>0</v>
      </c>
      <c r="AR58" s="98">
        <v>0</v>
      </c>
      <c r="AS58" s="98">
        <v>0</v>
      </c>
      <c r="AT58" s="98">
        <v>0</v>
      </c>
      <c r="AU58" s="98"/>
      <c r="AV58" s="98"/>
      <c r="AW58" s="98">
        <v>0</v>
      </c>
      <c r="AX58" s="98">
        <v>0</v>
      </c>
      <c r="AY58" s="98"/>
      <c r="AZ58" s="98"/>
      <c r="BA58" s="98">
        <v>3.5</v>
      </c>
      <c r="BB58" s="98"/>
      <c r="BC58" s="98"/>
      <c r="BD58" s="98">
        <v>8.5</v>
      </c>
      <c r="BE58" s="98"/>
      <c r="BF58" s="98"/>
      <c r="BG58" s="98">
        <v>8.5</v>
      </c>
      <c r="BH58" s="8" t="e">
        <f t="shared" si="0"/>
        <v>#REF!</v>
      </c>
      <c r="BI58" s="8" t="e">
        <f t="shared" si="1"/>
        <v>#REF!</v>
      </c>
      <c r="BJ58" s="8" t="e">
        <f t="shared" si="2"/>
        <v>#REF!</v>
      </c>
      <c r="BK58" s="8" t="e">
        <f t="shared" si="3"/>
        <v>#REF!</v>
      </c>
      <c r="BL58" s="8" t="e">
        <f t="shared" si="4"/>
        <v>#REF!</v>
      </c>
      <c r="BM58" s="8">
        <f t="shared" si="5"/>
        <v>49</v>
      </c>
    </row>
    <row r="59" spans="1:65" ht="13.5" customHeight="1" thickBot="1">
      <c r="A59" s="365"/>
      <c r="B59" s="118" t="e">
        <f>'QTY '!#REF!</f>
        <v>#REF!</v>
      </c>
      <c r="C59" s="101" t="e">
        <f>#REF!</f>
        <v>#REF!</v>
      </c>
      <c r="D59" s="101" t="e">
        <f>#REF!</f>
        <v>#REF!</v>
      </c>
      <c r="E59" s="101" t="e">
        <f>#REF!</f>
        <v>#REF!</v>
      </c>
      <c r="F59" s="101" t="e">
        <f>#REF!</f>
        <v>#REF!</v>
      </c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79" t="e">
        <f>#REF!/AE7</f>
        <v>#REF!</v>
      </c>
      <c r="AF59" s="79"/>
      <c r="AG59" s="79"/>
      <c r="AH59" s="105" t="e">
        <f>#REF!/AH7</f>
        <v>#REF!</v>
      </c>
      <c r="AI59" s="79"/>
      <c r="AJ59" s="79"/>
      <c r="AK59" s="105" t="e">
        <f>+'QTY '!#REF!</f>
        <v>#REF!</v>
      </c>
      <c r="AL59" s="105" t="e">
        <f>+'QTY '!#REF!</f>
        <v>#REF!</v>
      </c>
      <c r="AM59" s="105" t="e">
        <f>+'QTY '!#REF!</f>
        <v>#REF!</v>
      </c>
      <c r="AN59" s="105" t="e">
        <f>+'QTY '!#REF!</f>
        <v>#REF!</v>
      </c>
      <c r="AO59" s="105" t="e">
        <f>+'QTY '!#REF!</f>
        <v>#REF!</v>
      </c>
      <c r="AP59" s="8" t="s">
        <v>76</v>
      </c>
      <c r="AQ59" s="98">
        <v>0</v>
      </c>
      <c r="AR59" s="98">
        <v>0</v>
      </c>
      <c r="AS59" s="98">
        <v>0</v>
      </c>
      <c r="AT59" s="98">
        <v>0</v>
      </c>
      <c r="AU59" s="98"/>
      <c r="AV59" s="98"/>
      <c r="AW59" s="98">
        <v>0</v>
      </c>
      <c r="AX59" s="98">
        <v>0</v>
      </c>
      <c r="AY59" s="98"/>
      <c r="AZ59" s="98"/>
      <c r="BA59" s="98">
        <v>9</v>
      </c>
      <c r="BB59" s="98"/>
      <c r="BC59" s="98"/>
      <c r="BD59" s="98">
        <v>65</v>
      </c>
      <c r="BE59" s="98"/>
      <c r="BF59" s="98"/>
      <c r="BG59" s="98">
        <v>65</v>
      </c>
      <c r="BH59" s="8" t="e">
        <f t="shared" si="0"/>
        <v>#REF!</v>
      </c>
      <c r="BI59" s="8" t="e">
        <f t="shared" si="1"/>
        <v>#REF!</v>
      </c>
      <c r="BJ59" s="8" t="e">
        <f t="shared" si="2"/>
        <v>#REF!</v>
      </c>
      <c r="BK59" s="8" t="e">
        <f t="shared" si="3"/>
        <v>#REF!</v>
      </c>
      <c r="BL59" s="8" t="e">
        <f t="shared" si="4"/>
        <v>#REF!</v>
      </c>
      <c r="BM59" s="8">
        <f t="shared" si="5"/>
        <v>50</v>
      </c>
    </row>
    <row r="60" spans="1:65" ht="13.5" customHeight="1" thickBot="1">
      <c r="A60" s="365"/>
      <c r="B60" s="118" t="e">
        <f>'QTY '!#REF!</f>
        <v>#REF!</v>
      </c>
      <c r="C60" s="101" t="e">
        <f>#REF!</f>
        <v>#REF!</v>
      </c>
      <c r="D60" s="101" t="e">
        <f>#REF!</f>
        <v>#REF!</v>
      </c>
      <c r="E60" s="101" t="e">
        <f>#REF!</f>
        <v>#REF!</v>
      </c>
      <c r="F60" s="101" t="e">
        <f>#REF!</f>
        <v>#REF!</v>
      </c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79" t="e">
        <f>#REF!/AE7</f>
        <v>#REF!</v>
      </c>
      <c r="AF60" s="79"/>
      <c r="AG60" s="79"/>
      <c r="AH60" s="105" t="e">
        <f>#REF!/AH7</f>
        <v>#REF!</v>
      </c>
      <c r="AI60" s="79"/>
      <c r="AJ60" s="79"/>
      <c r="AK60" s="105" t="e">
        <f>+'QTY '!#REF!</f>
        <v>#REF!</v>
      </c>
      <c r="AL60" s="105" t="e">
        <f>+'QTY '!#REF!</f>
        <v>#REF!</v>
      </c>
      <c r="AM60" s="105" t="e">
        <f>+'QTY '!#REF!</f>
        <v>#REF!</v>
      </c>
      <c r="AN60" s="105" t="e">
        <f>+'QTY '!#REF!</f>
        <v>#REF!</v>
      </c>
      <c r="AO60" s="105" t="e">
        <f>+'QTY '!#REF!</f>
        <v>#REF!</v>
      </c>
      <c r="AP60" s="8" t="s">
        <v>77</v>
      </c>
      <c r="AQ60" s="98">
        <v>0</v>
      </c>
      <c r="AR60" s="98">
        <v>0</v>
      </c>
      <c r="AS60" s="98">
        <v>0</v>
      </c>
      <c r="AT60" s="98">
        <v>0</v>
      </c>
      <c r="AU60" s="98"/>
      <c r="AV60" s="98"/>
      <c r="AW60" s="98">
        <v>0</v>
      </c>
      <c r="AX60" s="98">
        <v>0</v>
      </c>
      <c r="AY60" s="98"/>
      <c r="AZ60" s="98"/>
      <c r="BA60" s="98">
        <v>3</v>
      </c>
      <c r="BB60" s="98"/>
      <c r="BC60" s="98"/>
      <c r="BD60" s="98">
        <v>3</v>
      </c>
      <c r="BE60" s="98"/>
      <c r="BF60" s="98"/>
      <c r="BG60" s="98">
        <v>3</v>
      </c>
      <c r="BH60" s="8" t="e">
        <f t="shared" si="0"/>
        <v>#REF!</v>
      </c>
      <c r="BI60" s="8" t="e">
        <f t="shared" si="1"/>
        <v>#REF!</v>
      </c>
      <c r="BJ60" s="8" t="e">
        <f t="shared" si="2"/>
        <v>#REF!</v>
      </c>
      <c r="BK60" s="8" t="e">
        <f t="shared" si="3"/>
        <v>#REF!</v>
      </c>
      <c r="BL60" s="8" t="e">
        <f t="shared" si="4"/>
        <v>#REF!</v>
      </c>
      <c r="BM60" s="8">
        <f t="shared" si="5"/>
        <v>51</v>
      </c>
    </row>
    <row r="61" spans="1:65" ht="13.5" customHeight="1" thickBot="1">
      <c r="A61" s="365"/>
      <c r="B61" s="118" t="e">
        <f>'QTY '!#REF!</f>
        <v>#REF!</v>
      </c>
      <c r="C61" s="101" t="e">
        <f>#REF!</f>
        <v>#REF!</v>
      </c>
      <c r="D61" s="101" t="e">
        <f>#REF!</f>
        <v>#REF!</v>
      </c>
      <c r="E61" s="101" t="e">
        <f>#REF!</f>
        <v>#REF!</v>
      </c>
      <c r="F61" s="101" t="e">
        <f>#REF!</f>
        <v>#REF!</v>
      </c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79" t="e">
        <f>#REF!/AE7</f>
        <v>#REF!</v>
      </c>
      <c r="AF61" s="79"/>
      <c r="AG61" s="79"/>
      <c r="AH61" s="105" t="e">
        <f>#REF!/AH7</f>
        <v>#REF!</v>
      </c>
      <c r="AI61" s="79"/>
      <c r="AJ61" s="79"/>
      <c r="AK61" s="105" t="e">
        <f>+'QTY '!#REF!</f>
        <v>#REF!</v>
      </c>
      <c r="AL61" s="105" t="e">
        <f>+'QTY '!#REF!</f>
        <v>#REF!</v>
      </c>
      <c r="AM61" s="105" t="e">
        <f>+'QTY '!#REF!</f>
        <v>#REF!</v>
      </c>
      <c r="AN61" s="105" t="e">
        <f>+'QTY '!#REF!</f>
        <v>#REF!</v>
      </c>
      <c r="AO61" s="105" t="e">
        <f>+'QTY '!#REF!</f>
        <v>#REF!</v>
      </c>
      <c r="AP61" s="8" t="s">
        <v>78</v>
      </c>
      <c r="AQ61" s="98">
        <v>0</v>
      </c>
      <c r="AR61" s="98">
        <v>0</v>
      </c>
      <c r="AS61" s="98">
        <v>0</v>
      </c>
      <c r="AT61" s="98">
        <v>0</v>
      </c>
      <c r="AU61" s="98"/>
      <c r="AV61" s="98"/>
      <c r="AW61" s="98">
        <v>0</v>
      </c>
      <c r="AX61" s="98">
        <v>0</v>
      </c>
      <c r="AY61" s="98"/>
      <c r="AZ61" s="98"/>
      <c r="BA61" s="98">
        <v>0</v>
      </c>
      <c r="BB61" s="98"/>
      <c r="BC61" s="98"/>
      <c r="BD61" s="98">
        <v>0</v>
      </c>
      <c r="BE61" s="98"/>
      <c r="BF61" s="98"/>
      <c r="BG61" s="98">
        <v>0</v>
      </c>
      <c r="BH61" s="8" t="e">
        <f t="shared" si="0"/>
        <v>#REF!</v>
      </c>
      <c r="BI61" s="8" t="e">
        <f t="shared" si="1"/>
        <v>#REF!</v>
      </c>
      <c r="BJ61" s="8" t="e">
        <f t="shared" si="2"/>
        <v>#REF!</v>
      </c>
      <c r="BK61" s="8" t="e">
        <f t="shared" si="3"/>
        <v>#REF!</v>
      </c>
      <c r="BL61" s="8" t="e">
        <f t="shared" si="4"/>
        <v>#REF!</v>
      </c>
      <c r="BM61" s="8">
        <f t="shared" si="5"/>
        <v>52</v>
      </c>
    </row>
    <row r="62" spans="1:65" ht="13.5" customHeight="1" thickBot="1">
      <c r="A62" s="365"/>
      <c r="B62" s="118" t="e">
        <f>'QTY '!#REF!</f>
        <v>#REF!</v>
      </c>
      <c r="C62" s="101" t="e">
        <f>#REF!</f>
        <v>#REF!</v>
      </c>
      <c r="D62" s="101" t="e">
        <f>#REF!</f>
        <v>#REF!</v>
      </c>
      <c r="E62" s="101" t="e">
        <f>#REF!</f>
        <v>#REF!</v>
      </c>
      <c r="F62" s="101" t="e">
        <f>#REF!</f>
        <v>#REF!</v>
      </c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79" t="e">
        <f>#REF!/AE7</f>
        <v>#REF!</v>
      </c>
      <c r="AF62" s="79"/>
      <c r="AG62" s="79"/>
      <c r="AH62" s="105" t="e">
        <f>#REF!/AH7</f>
        <v>#REF!</v>
      </c>
      <c r="AI62" s="79"/>
      <c r="AJ62" s="79"/>
      <c r="AK62" s="105" t="e">
        <f>+'QTY '!#REF!</f>
        <v>#REF!</v>
      </c>
      <c r="AL62" s="105" t="e">
        <f>+'QTY '!#REF!</f>
        <v>#REF!</v>
      </c>
      <c r="AM62" s="105" t="e">
        <f>+'QTY '!#REF!</f>
        <v>#REF!</v>
      </c>
      <c r="AN62" s="105" t="e">
        <f>+'QTY '!#REF!</f>
        <v>#REF!</v>
      </c>
      <c r="AO62" s="105" t="e">
        <f>+'QTY '!#REF!</f>
        <v>#REF!</v>
      </c>
      <c r="AP62" s="8" t="s">
        <v>79</v>
      </c>
      <c r="AQ62" s="98">
        <v>0</v>
      </c>
      <c r="AR62" s="98">
        <v>0</v>
      </c>
      <c r="AS62" s="98">
        <v>0</v>
      </c>
      <c r="AT62" s="98">
        <v>0</v>
      </c>
      <c r="AU62" s="98"/>
      <c r="AV62" s="98"/>
      <c r="AW62" s="98">
        <v>0</v>
      </c>
      <c r="AX62" s="98">
        <v>0</v>
      </c>
      <c r="AY62" s="98"/>
      <c r="AZ62" s="98"/>
      <c r="BA62" s="98">
        <v>3.5</v>
      </c>
      <c r="BB62" s="98"/>
      <c r="BC62" s="98"/>
      <c r="BD62" s="98">
        <v>8.5</v>
      </c>
      <c r="BE62" s="98"/>
      <c r="BF62" s="98"/>
      <c r="BG62" s="98">
        <v>8.5</v>
      </c>
      <c r="BH62" s="8" t="e">
        <f t="shared" si="0"/>
        <v>#REF!</v>
      </c>
      <c r="BI62" s="8" t="e">
        <f t="shared" si="1"/>
        <v>#REF!</v>
      </c>
      <c r="BJ62" s="8" t="e">
        <f t="shared" si="2"/>
        <v>#REF!</v>
      </c>
      <c r="BK62" s="8" t="e">
        <f t="shared" si="3"/>
        <v>#REF!</v>
      </c>
      <c r="BL62" s="8" t="e">
        <f t="shared" si="4"/>
        <v>#REF!</v>
      </c>
      <c r="BM62" s="8">
        <f t="shared" si="5"/>
        <v>53</v>
      </c>
    </row>
    <row r="63" spans="1:65" ht="13.5" customHeight="1" thickBot="1">
      <c r="A63" s="365"/>
      <c r="B63" s="118" t="e">
        <f>'QTY '!#REF!</f>
        <v>#REF!</v>
      </c>
      <c r="C63" s="101" t="e">
        <f>#REF!</f>
        <v>#REF!</v>
      </c>
      <c r="D63" s="101" t="e">
        <f>#REF!</f>
        <v>#REF!</v>
      </c>
      <c r="E63" s="101" t="e">
        <f>#REF!</f>
        <v>#REF!</v>
      </c>
      <c r="F63" s="101" t="e">
        <f>#REF!</f>
        <v>#REF!</v>
      </c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79" t="e">
        <f>#REF!/AE7</f>
        <v>#REF!</v>
      </c>
      <c r="AF63" s="79"/>
      <c r="AG63" s="79"/>
      <c r="AH63" s="105" t="e">
        <f>#REF!/AH7</f>
        <v>#REF!</v>
      </c>
      <c r="AI63" s="79"/>
      <c r="AJ63" s="79"/>
      <c r="AK63" s="105" t="e">
        <f>+'QTY '!#REF!</f>
        <v>#REF!</v>
      </c>
      <c r="AL63" s="105" t="e">
        <f>+'QTY '!#REF!</f>
        <v>#REF!</v>
      </c>
      <c r="AM63" s="105" t="e">
        <f>+'QTY '!#REF!</f>
        <v>#REF!</v>
      </c>
      <c r="AN63" s="105" t="e">
        <f>+'QTY '!#REF!</f>
        <v>#REF!</v>
      </c>
      <c r="AO63" s="105" t="e">
        <f>+'QTY '!#REF!</f>
        <v>#REF!</v>
      </c>
      <c r="AP63" s="8" t="s">
        <v>80</v>
      </c>
      <c r="AQ63" s="98">
        <v>0</v>
      </c>
      <c r="AR63" s="98">
        <v>0</v>
      </c>
      <c r="AS63" s="98">
        <v>0</v>
      </c>
      <c r="AT63" s="98">
        <v>0</v>
      </c>
      <c r="AU63" s="98"/>
      <c r="AV63" s="98"/>
      <c r="AW63" s="98">
        <v>0</v>
      </c>
      <c r="AX63" s="98">
        <v>0</v>
      </c>
      <c r="AY63" s="98"/>
      <c r="AZ63" s="98"/>
      <c r="BA63" s="98">
        <v>0</v>
      </c>
      <c r="BB63" s="98"/>
      <c r="BC63" s="98"/>
      <c r="BD63" s="98">
        <v>0</v>
      </c>
      <c r="BE63" s="98"/>
      <c r="BF63" s="98"/>
      <c r="BG63" s="98">
        <v>0</v>
      </c>
      <c r="BH63" s="8" t="e">
        <f t="shared" si="0"/>
        <v>#REF!</v>
      </c>
      <c r="BI63" s="8" t="e">
        <f t="shared" si="1"/>
        <v>#REF!</v>
      </c>
      <c r="BJ63" s="8" t="e">
        <f t="shared" si="2"/>
        <v>#REF!</v>
      </c>
      <c r="BK63" s="8" t="e">
        <f t="shared" si="3"/>
        <v>#REF!</v>
      </c>
      <c r="BL63" s="8" t="e">
        <f t="shared" si="4"/>
        <v>#REF!</v>
      </c>
      <c r="BM63" s="8">
        <f t="shared" si="5"/>
        <v>54</v>
      </c>
    </row>
    <row r="64" spans="1:65" ht="13.5" customHeight="1" thickBot="1">
      <c r="A64" s="366"/>
      <c r="B64" s="118" t="e">
        <f>'QTY '!#REF!</f>
        <v>#REF!</v>
      </c>
      <c r="C64" s="101" t="e">
        <f>#REF!</f>
        <v>#REF!</v>
      </c>
      <c r="D64" s="101" t="e">
        <f>#REF!</f>
        <v>#REF!</v>
      </c>
      <c r="E64" s="101" t="e">
        <f>#REF!</f>
        <v>#REF!</v>
      </c>
      <c r="F64" s="101" t="e">
        <f>#REF!</f>
        <v>#REF!</v>
      </c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79" t="e">
        <f>#REF!/AE7</f>
        <v>#REF!</v>
      </c>
      <c r="AF64" s="79"/>
      <c r="AG64" s="79"/>
      <c r="AH64" s="105" t="e">
        <f>#REF!/AH7</f>
        <v>#REF!</v>
      </c>
      <c r="AI64" s="79"/>
      <c r="AJ64" s="79"/>
      <c r="AK64" s="105" t="e">
        <f>+'QTY '!#REF!</f>
        <v>#REF!</v>
      </c>
      <c r="AL64" s="105" t="e">
        <f>+'QTY '!#REF!</f>
        <v>#REF!</v>
      </c>
      <c r="AM64" s="105" t="e">
        <f>+'QTY '!#REF!</f>
        <v>#REF!</v>
      </c>
      <c r="AN64" s="105" t="e">
        <f>+'QTY '!#REF!</f>
        <v>#REF!</v>
      </c>
      <c r="AO64" s="105" t="e">
        <f>+'QTY '!#REF!</f>
        <v>#REF!</v>
      </c>
      <c r="AP64" s="8" t="s">
        <v>81</v>
      </c>
      <c r="AQ64" s="98">
        <v>0</v>
      </c>
      <c r="AR64" s="98">
        <v>0</v>
      </c>
      <c r="AS64" s="98">
        <v>0</v>
      </c>
      <c r="AT64" s="98">
        <v>0</v>
      </c>
      <c r="AU64" s="98"/>
      <c r="AV64" s="98"/>
      <c r="AW64" s="98">
        <v>0</v>
      </c>
      <c r="AX64" s="98">
        <v>0</v>
      </c>
      <c r="AY64" s="98"/>
      <c r="AZ64" s="98"/>
      <c r="BA64" s="98">
        <v>0</v>
      </c>
      <c r="BB64" s="98"/>
      <c r="BC64" s="98"/>
      <c r="BD64" s="98">
        <v>19.5</v>
      </c>
      <c r="BE64" s="98"/>
      <c r="BF64" s="98"/>
      <c r="BG64" s="98">
        <v>19.5</v>
      </c>
      <c r="BH64" s="8" t="e">
        <f t="shared" si="0"/>
        <v>#REF!</v>
      </c>
      <c r="BI64" s="8" t="e">
        <f t="shared" si="1"/>
        <v>#REF!</v>
      </c>
      <c r="BJ64" s="8" t="e">
        <f t="shared" si="2"/>
        <v>#REF!</v>
      </c>
      <c r="BK64" s="8" t="e">
        <f t="shared" si="3"/>
        <v>#REF!</v>
      </c>
      <c r="BL64" s="8" t="e">
        <f t="shared" si="4"/>
        <v>#REF!</v>
      </c>
      <c r="BM64" s="8">
        <f t="shared" si="5"/>
        <v>55</v>
      </c>
    </row>
    <row r="65" spans="1:65" ht="13.5" customHeight="1" thickBot="1">
      <c r="A65" s="358" t="s">
        <v>28</v>
      </c>
      <c r="B65" s="118" t="e">
        <f>'QTY '!#REF!</f>
        <v>#REF!</v>
      </c>
      <c r="C65" s="101" t="e">
        <f>#REF!</f>
        <v>#REF!</v>
      </c>
      <c r="D65" s="101" t="e">
        <f>#REF!</f>
        <v>#REF!</v>
      </c>
      <c r="E65" s="101" t="e">
        <f>#REF!</f>
        <v>#REF!</v>
      </c>
      <c r="F65" s="101" t="e">
        <f>#REF!</f>
        <v>#REF!</v>
      </c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79" t="e">
        <f>#REF!/AE7</f>
        <v>#REF!</v>
      </c>
      <c r="AF65" s="79"/>
      <c r="AG65" s="79"/>
      <c r="AH65" s="105" t="e">
        <f>#REF!/AH7</f>
        <v>#REF!</v>
      </c>
      <c r="AI65" s="79"/>
      <c r="AJ65" s="79"/>
      <c r="AK65" s="105" t="e">
        <f>+'QTY '!#REF!</f>
        <v>#REF!</v>
      </c>
      <c r="AL65" s="105" t="e">
        <f>+'QTY '!#REF!</f>
        <v>#REF!</v>
      </c>
      <c r="AM65" s="105" t="e">
        <f>+'QTY '!#REF!</f>
        <v>#REF!</v>
      </c>
      <c r="AN65" s="105" t="e">
        <f>+'QTY '!#REF!</f>
        <v>#REF!</v>
      </c>
      <c r="AO65" s="105" t="e">
        <f>+'QTY '!#REF!</f>
        <v>#REF!</v>
      </c>
      <c r="AP65" s="8" t="s">
        <v>82</v>
      </c>
      <c r="AQ65" s="98">
        <v>0</v>
      </c>
      <c r="AR65" s="98">
        <v>0</v>
      </c>
      <c r="AS65" s="98">
        <v>0</v>
      </c>
      <c r="AT65" s="98">
        <v>0</v>
      </c>
      <c r="AU65" s="98"/>
      <c r="AV65" s="98"/>
      <c r="AW65" s="98">
        <v>0</v>
      </c>
      <c r="AX65" s="98">
        <v>0</v>
      </c>
      <c r="AY65" s="98"/>
      <c r="AZ65" s="98"/>
      <c r="BA65" s="98">
        <v>0</v>
      </c>
      <c r="BB65" s="98"/>
      <c r="BC65" s="98"/>
      <c r="BD65" s="98">
        <v>0</v>
      </c>
      <c r="BE65" s="98"/>
      <c r="BF65" s="98"/>
      <c r="BG65" s="98">
        <v>0</v>
      </c>
      <c r="BH65" s="8" t="e">
        <f t="shared" si="0"/>
        <v>#REF!</v>
      </c>
      <c r="BI65" s="8" t="e">
        <f t="shared" si="1"/>
        <v>#REF!</v>
      </c>
      <c r="BJ65" s="8" t="e">
        <f t="shared" si="2"/>
        <v>#REF!</v>
      </c>
      <c r="BK65" s="8" t="e">
        <f t="shared" si="3"/>
        <v>#REF!</v>
      </c>
      <c r="BL65" s="8" t="e">
        <f t="shared" si="4"/>
        <v>#REF!</v>
      </c>
      <c r="BM65" s="8">
        <f t="shared" si="5"/>
        <v>56</v>
      </c>
    </row>
    <row r="66" spans="1:65" ht="13.5" customHeight="1" thickBot="1">
      <c r="A66" s="359"/>
      <c r="B66" s="118" t="e">
        <f>'QTY '!#REF!</f>
        <v>#REF!</v>
      </c>
      <c r="C66" s="101" t="e">
        <f>#REF!</f>
        <v>#REF!</v>
      </c>
      <c r="D66" s="101" t="e">
        <f>#REF!</f>
        <v>#REF!</v>
      </c>
      <c r="E66" s="101" t="e">
        <f>#REF!</f>
        <v>#REF!</v>
      </c>
      <c r="F66" s="101" t="e">
        <f>#REF!</f>
        <v>#REF!</v>
      </c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79" t="e">
        <f>#REF!/AE7</f>
        <v>#REF!</v>
      </c>
      <c r="AF66" s="79"/>
      <c r="AG66" s="79"/>
      <c r="AH66" s="105" t="e">
        <f>#REF!/AH7</f>
        <v>#REF!</v>
      </c>
      <c r="AI66" s="79"/>
      <c r="AJ66" s="79"/>
      <c r="AK66" s="105" t="e">
        <f>+'QTY '!#REF!</f>
        <v>#REF!</v>
      </c>
      <c r="AL66" s="105" t="e">
        <f>+'QTY '!#REF!</f>
        <v>#REF!</v>
      </c>
      <c r="AM66" s="105" t="e">
        <f>+'QTY '!#REF!</f>
        <v>#REF!</v>
      </c>
      <c r="AN66" s="105" t="e">
        <f>+'QTY '!#REF!</f>
        <v>#REF!</v>
      </c>
      <c r="AO66" s="105" t="e">
        <f>+'QTY '!#REF!</f>
        <v>#REF!</v>
      </c>
      <c r="AP66" s="8" t="s">
        <v>83</v>
      </c>
      <c r="AQ66" s="98">
        <v>0</v>
      </c>
      <c r="AR66" s="98">
        <v>0</v>
      </c>
      <c r="AS66" s="98">
        <v>0</v>
      </c>
      <c r="AT66" s="98">
        <v>0</v>
      </c>
      <c r="AU66" s="98"/>
      <c r="AV66" s="98"/>
      <c r="AW66" s="98">
        <v>0</v>
      </c>
      <c r="AX66" s="98">
        <v>0</v>
      </c>
      <c r="AY66" s="98"/>
      <c r="AZ66" s="98"/>
      <c r="BA66" s="98">
        <v>0</v>
      </c>
      <c r="BB66" s="98"/>
      <c r="BC66" s="98"/>
      <c r="BD66" s="98">
        <v>0</v>
      </c>
      <c r="BE66" s="98"/>
      <c r="BF66" s="98"/>
      <c r="BG66" s="98">
        <v>0</v>
      </c>
      <c r="BH66" s="8" t="e">
        <f t="shared" si="0"/>
        <v>#REF!</v>
      </c>
      <c r="BI66" s="8" t="e">
        <f t="shared" si="1"/>
        <v>#REF!</v>
      </c>
      <c r="BJ66" s="8" t="e">
        <f t="shared" si="2"/>
        <v>#REF!</v>
      </c>
      <c r="BK66" s="8" t="e">
        <f t="shared" si="3"/>
        <v>#REF!</v>
      </c>
      <c r="BL66" s="8" t="e">
        <f t="shared" si="4"/>
        <v>#REF!</v>
      </c>
      <c r="BM66" s="8">
        <f t="shared" si="5"/>
        <v>57</v>
      </c>
    </row>
    <row r="67" spans="1:65" ht="13.5" customHeight="1" thickBot="1">
      <c r="A67" s="359"/>
      <c r="B67" s="118" t="e">
        <f>'QTY '!#REF!</f>
        <v>#REF!</v>
      </c>
      <c r="C67" s="101" t="e">
        <f>#REF!</f>
        <v>#REF!</v>
      </c>
      <c r="D67" s="101" t="e">
        <f>#REF!</f>
        <v>#REF!</v>
      </c>
      <c r="E67" s="101" t="e">
        <f>#REF!</f>
        <v>#REF!</v>
      </c>
      <c r="F67" s="101" t="e">
        <f>#REF!</f>
        <v>#REF!</v>
      </c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79" t="e">
        <f>#REF!/AE13</f>
        <v>#REF!</v>
      </c>
      <c r="AF67" s="79"/>
      <c r="AG67" s="79"/>
      <c r="AH67" s="105" t="e">
        <f>#REF!/AH13</f>
        <v>#REF!</v>
      </c>
      <c r="AI67" s="79"/>
      <c r="AJ67" s="79"/>
      <c r="AK67" s="105" t="e">
        <f>+'QTY '!#REF!</f>
        <v>#REF!</v>
      </c>
      <c r="AL67" s="105" t="e">
        <f>+'QTY '!#REF!</f>
        <v>#REF!</v>
      </c>
      <c r="AM67" s="105" t="e">
        <f>+'QTY '!#REF!</f>
        <v>#REF!</v>
      </c>
      <c r="AN67" s="105" t="e">
        <f>+'QTY '!#REF!</f>
        <v>#REF!</v>
      </c>
      <c r="AO67" s="105" t="e">
        <f>+'QTY '!#REF!</f>
        <v>#REF!</v>
      </c>
      <c r="AP67" s="8" t="s">
        <v>78</v>
      </c>
      <c r="AQ67" s="98">
        <v>0</v>
      </c>
      <c r="AR67" s="98">
        <v>0</v>
      </c>
      <c r="AS67" s="98">
        <v>0</v>
      </c>
      <c r="AT67" s="98">
        <v>0</v>
      </c>
      <c r="AU67" s="98"/>
      <c r="AV67" s="98"/>
      <c r="AW67" s="98">
        <v>0</v>
      </c>
      <c r="AX67" s="98">
        <v>0</v>
      </c>
      <c r="AY67" s="98"/>
      <c r="AZ67" s="98"/>
      <c r="BA67" s="98">
        <v>0</v>
      </c>
      <c r="BB67" s="98"/>
      <c r="BC67" s="98"/>
      <c r="BD67" s="98">
        <v>0</v>
      </c>
      <c r="BE67" s="98"/>
      <c r="BF67" s="98"/>
      <c r="BG67" s="98">
        <v>0</v>
      </c>
      <c r="BH67" s="8" t="e">
        <f t="shared" si="0"/>
        <v>#REF!</v>
      </c>
      <c r="BI67" s="8" t="e">
        <f t="shared" si="1"/>
        <v>#REF!</v>
      </c>
      <c r="BJ67" s="8" t="e">
        <f t="shared" si="2"/>
        <v>#REF!</v>
      </c>
      <c r="BK67" s="8" t="e">
        <f t="shared" si="3"/>
        <v>#REF!</v>
      </c>
      <c r="BL67" s="8" t="e">
        <f t="shared" si="4"/>
        <v>#REF!</v>
      </c>
      <c r="BM67" s="8">
        <f t="shared" si="5"/>
        <v>58</v>
      </c>
    </row>
    <row r="68" spans="1:65" ht="13.5" customHeight="1" thickBot="1">
      <c r="A68" s="359"/>
      <c r="B68" s="118" t="e">
        <f>'QTY '!#REF!</f>
        <v>#REF!</v>
      </c>
      <c r="C68" s="101" t="e">
        <f>#REF!</f>
        <v>#REF!</v>
      </c>
      <c r="D68" s="101" t="e">
        <f>#REF!</f>
        <v>#REF!</v>
      </c>
      <c r="E68" s="101" t="e">
        <f>#REF!</f>
        <v>#REF!</v>
      </c>
      <c r="F68" s="101" t="e">
        <f>#REF!</f>
        <v>#REF!</v>
      </c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79" t="e">
        <f>#REF!/AE13</f>
        <v>#REF!</v>
      </c>
      <c r="AF68" s="79"/>
      <c r="AG68" s="79"/>
      <c r="AH68" s="105" t="e">
        <f>#REF!/AH13</f>
        <v>#REF!</v>
      </c>
      <c r="AI68" s="79"/>
      <c r="AJ68" s="79"/>
      <c r="AK68" s="105" t="e">
        <f>+'QTY '!#REF!</f>
        <v>#REF!</v>
      </c>
      <c r="AL68" s="105" t="e">
        <f>+'QTY '!#REF!</f>
        <v>#REF!</v>
      </c>
      <c r="AM68" s="105" t="e">
        <f>+'QTY '!#REF!</f>
        <v>#REF!</v>
      </c>
      <c r="AN68" s="105" t="e">
        <f>+'QTY '!#REF!</f>
        <v>#REF!</v>
      </c>
      <c r="AO68" s="105" t="e">
        <f>+'QTY '!#REF!</f>
        <v>#REF!</v>
      </c>
      <c r="AP68" s="8" t="s">
        <v>79</v>
      </c>
      <c r="AQ68" s="98">
        <v>0</v>
      </c>
      <c r="AR68" s="98">
        <v>0</v>
      </c>
      <c r="AS68" s="98">
        <v>0</v>
      </c>
      <c r="AT68" s="98">
        <v>0</v>
      </c>
      <c r="AU68" s="98"/>
      <c r="AV68" s="98"/>
      <c r="AW68" s="98">
        <v>0</v>
      </c>
      <c r="AX68" s="98">
        <v>0</v>
      </c>
      <c r="AY68" s="98"/>
      <c r="AZ68" s="98"/>
      <c r="BA68" s="98">
        <v>3.5</v>
      </c>
      <c r="BB68" s="98"/>
      <c r="BC68" s="98"/>
      <c r="BD68" s="98">
        <v>8.5</v>
      </c>
      <c r="BE68" s="98"/>
      <c r="BF68" s="98"/>
      <c r="BG68" s="98">
        <v>8.5</v>
      </c>
      <c r="BH68" s="8" t="e">
        <f t="shared" si="0"/>
        <v>#REF!</v>
      </c>
      <c r="BI68" s="8" t="e">
        <f t="shared" si="1"/>
        <v>#REF!</v>
      </c>
      <c r="BJ68" s="8" t="e">
        <f t="shared" si="2"/>
        <v>#REF!</v>
      </c>
      <c r="BK68" s="8" t="e">
        <f t="shared" si="3"/>
        <v>#REF!</v>
      </c>
      <c r="BL68" s="8" t="e">
        <f t="shared" si="4"/>
        <v>#REF!</v>
      </c>
      <c r="BM68" s="8">
        <f t="shared" si="5"/>
        <v>59</v>
      </c>
    </row>
    <row r="69" spans="1:65" ht="13.5" customHeight="1" thickBot="1">
      <c r="A69" s="359"/>
      <c r="B69" s="118" t="e">
        <f>'QTY '!#REF!</f>
        <v>#REF!</v>
      </c>
      <c r="C69" s="101" t="e">
        <f>#REF!</f>
        <v>#REF!</v>
      </c>
      <c r="D69" s="101" t="e">
        <f>#REF!</f>
        <v>#REF!</v>
      </c>
      <c r="E69" s="101" t="e">
        <f>#REF!</f>
        <v>#REF!</v>
      </c>
      <c r="F69" s="101" t="e">
        <f>#REF!</f>
        <v>#REF!</v>
      </c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79" t="e">
        <f>#REF!/AE12</f>
        <v>#REF!</v>
      </c>
      <c r="AF69" s="79"/>
      <c r="AG69" s="79"/>
      <c r="AH69" s="105" t="e">
        <f>#REF!/AH12</f>
        <v>#REF!</v>
      </c>
      <c r="AI69" s="79"/>
      <c r="AJ69" s="79"/>
      <c r="AK69" s="105" t="e">
        <f>+'QTY '!#REF!</f>
        <v>#REF!</v>
      </c>
      <c r="AL69" s="105" t="e">
        <f>+'QTY '!#REF!</f>
        <v>#REF!</v>
      </c>
      <c r="AM69" s="105" t="e">
        <f>+'QTY '!#REF!</f>
        <v>#REF!</v>
      </c>
      <c r="AN69" s="105" t="e">
        <f>+'QTY '!#REF!</f>
        <v>#REF!</v>
      </c>
      <c r="AO69" s="105" t="e">
        <f>+'QTY '!#REF!</f>
        <v>#REF!</v>
      </c>
      <c r="AP69" s="8" t="s">
        <v>81</v>
      </c>
      <c r="AQ69" s="98">
        <v>0</v>
      </c>
      <c r="AR69" s="98">
        <v>0</v>
      </c>
      <c r="AS69" s="98">
        <v>0</v>
      </c>
      <c r="AT69" s="98">
        <v>0</v>
      </c>
      <c r="AU69" s="98"/>
      <c r="AV69" s="98"/>
      <c r="AW69" s="98">
        <v>0</v>
      </c>
      <c r="AX69" s="98">
        <v>0</v>
      </c>
      <c r="AY69" s="98"/>
      <c r="AZ69" s="98"/>
      <c r="BA69" s="98">
        <v>0</v>
      </c>
      <c r="BB69" s="98"/>
      <c r="BC69" s="98"/>
      <c r="BD69" s="98">
        <v>19.5</v>
      </c>
      <c r="BE69" s="98"/>
      <c r="BF69" s="98"/>
      <c r="BG69" s="98">
        <v>19.5</v>
      </c>
      <c r="BH69" s="8" t="e">
        <f t="shared" si="0"/>
        <v>#REF!</v>
      </c>
      <c r="BI69" s="8" t="e">
        <f t="shared" si="1"/>
        <v>#REF!</v>
      </c>
      <c r="BJ69" s="8" t="e">
        <f t="shared" si="2"/>
        <v>#REF!</v>
      </c>
      <c r="BK69" s="8" t="e">
        <f t="shared" si="3"/>
        <v>#REF!</v>
      </c>
      <c r="BL69" s="8" t="e">
        <f t="shared" si="4"/>
        <v>#REF!</v>
      </c>
      <c r="BM69" s="8">
        <f t="shared" si="5"/>
        <v>60</v>
      </c>
    </row>
    <row r="70" spans="1:65" ht="13.5" customHeight="1" thickBot="1">
      <c r="A70" s="359"/>
      <c r="B70" s="118" t="e">
        <f>'QTY '!#REF!</f>
        <v>#REF!</v>
      </c>
      <c r="C70" s="101" t="e">
        <f>#REF!</f>
        <v>#REF!</v>
      </c>
      <c r="D70" s="101" t="e">
        <f>#REF!</f>
        <v>#REF!</v>
      </c>
      <c r="E70" s="101" t="e">
        <f>#REF!</f>
        <v>#REF!</v>
      </c>
      <c r="F70" s="101" t="e">
        <f>#REF!</f>
        <v>#REF!</v>
      </c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79" t="e">
        <f>#REF!/AE12</f>
        <v>#REF!</v>
      </c>
      <c r="AF70" s="79"/>
      <c r="AG70" s="79"/>
      <c r="AH70" s="105" t="e">
        <f>#REF!/AH12</f>
        <v>#REF!</v>
      </c>
      <c r="AI70" s="79"/>
      <c r="AJ70" s="79"/>
      <c r="AK70" s="105" t="e">
        <f>+'QTY '!#REF!</f>
        <v>#REF!</v>
      </c>
      <c r="AL70" s="105" t="e">
        <f>+'QTY '!#REF!</f>
        <v>#REF!</v>
      </c>
      <c r="AM70" s="105" t="e">
        <f>+'QTY '!#REF!</f>
        <v>#REF!</v>
      </c>
      <c r="AN70" s="105" t="e">
        <f>+'QTY '!#REF!</f>
        <v>#REF!</v>
      </c>
      <c r="AO70" s="105" t="e">
        <f>+'QTY '!#REF!</f>
        <v>#REF!</v>
      </c>
      <c r="AP70" s="8" t="s">
        <v>82</v>
      </c>
      <c r="AQ70" s="98">
        <v>0</v>
      </c>
      <c r="AR70" s="98">
        <v>0</v>
      </c>
      <c r="AS70" s="98">
        <v>0</v>
      </c>
      <c r="AT70" s="98">
        <v>0</v>
      </c>
      <c r="AU70" s="98"/>
      <c r="AV70" s="98"/>
      <c r="AW70" s="98">
        <v>0</v>
      </c>
      <c r="AX70" s="98">
        <v>0</v>
      </c>
      <c r="AY70" s="98"/>
      <c r="AZ70" s="98"/>
      <c r="BA70" s="98">
        <v>0</v>
      </c>
      <c r="BB70" s="98"/>
      <c r="BC70" s="98"/>
      <c r="BD70" s="98">
        <v>0</v>
      </c>
      <c r="BE70" s="98"/>
      <c r="BF70" s="98"/>
      <c r="BG70" s="98">
        <v>0</v>
      </c>
      <c r="BH70" s="8" t="e">
        <f t="shared" si="0"/>
        <v>#REF!</v>
      </c>
      <c r="BI70" s="8" t="e">
        <f t="shared" si="1"/>
        <v>#REF!</v>
      </c>
      <c r="BJ70" s="8" t="e">
        <f t="shared" si="2"/>
        <v>#REF!</v>
      </c>
      <c r="BK70" s="8" t="e">
        <f t="shared" si="3"/>
        <v>#REF!</v>
      </c>
      <c r="BL70" s="8" t="e">
        <f t="shared" si="4"/>
        <v>#REF!</v>
      </c>
      <c r="BM70" s="8">
        <f t="shared" si="5"/>
        <v>61</v>
      </c>
    </row>
    <row r="71" spans="1:65" ht="13.5" customHeight="1" thickBot="1">
      <c r="A71" s="359"/>
      <c r="B71" s="118" t="e">
        <f>'QTY '!#REF!</f>
        <v>#REF!</v>
      </c>
      <c r="C71" s="101" t="e">
        <f>#REF!</f>
        <v>#REF!</v>
      </c>
      <c r="D71" s="101" t="e">
        <f>#REF!</f>
        <v>#REF!</v>
      </c>
      <c r="E71" s="101" t="e">
        <f>#REF!</f>
        <v>#REF!</v>
      </c>
      <c r="F71" s="101" t="e">
        <f>#REF!</f>
        <v>#REF!</v>
      </c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79" t="e">
        <f>#REF!/AE12</f>
        <v>#REF!</v>
      </c>
      <c r="AF71" s="79"/>
      <c r="AG71" s="79"/>
      <c r="AH71" s="105" t="e">
        <f>#REF!/AH12</f>
        <v>#REF!</v>
      </c>
      <c r="AI71" s="79"/>
      <c r="AJ71" s="79"/>
      <c r="AK71" s="105" t="e">
        <f>+'QTY '!#REF!</f>
        <v>#REF!</v>
      </c>
      <c r="AL71" s="105" t="e">
        <f>+'QTY '!#REF!</f>
        <v>#REF!</v>
      </c>
      <c r="AM71" s="105" t="e">
        <f>+'QTY '!#REF!</f>
        <v>#REF!</v>
      </c>
      <c r="AN71" s="105" t="e">
        <f>+'QTY '!#REF!</f>
        <v>#REF!</v>
      </c>
      <c r="AO71" s="105" t="e">
        <f>+'QTY '!#REF!</f>
        <v>#REF!</v>
      </c>
      <c r="AP71" s="8" t="s">
        <v>83</v>
      </c>
      <c r="AQ71" s="98">
        <v>0</v>
      </c>
      <c r="AR71" s="98">
        <v>0</v>
      </c>
      <c r="AS71" s="98">
        <v>0</v>
      </c>
      <c r="AT71" s="98">
        <v>0</v>
      </c>
      <c r="AU71" s="98"/>
      <c r="AV71" s="98"/>
      <c r="AW71" s="98">
        <v>0</v>
      </c>
      <c r="AX71" s="98">
        <v>0</v>
      </c>
      <c r="AY71" s="98"/>
      <c r="AZ71" s="98"/>
      <c r="BA71" s="98">
        <v>0</v>
      </c>
      <c r="BB71" s="98"/>
      <c r="BC71" s="98"/>
      <c r="BD71" s="98">
        <v>0</v>
      </c>
      <c r="BE71" s="98"/>
      <c r="BF71" s="98"/>
      <c r="BG71" s="98">
        <v>0</v>
      </c>
      <c r="BH71" s="8" t="e">
        <f t="shared" si="0"/>
        <v>#REF!</v>
      </c>
      <c r="BI71" s="8" t="e">
        <f t="shared" si="1"/>
        <v>#REF!</v>
      </c>
      <c r="BJ71" s="8" t="e">
        <f t="shared" si="2"/>
        <v>#REF!</v>
      </c>
      <c r="BK71" s="8" t="e">
        <f t="shared" si="3"/>
        <v>#REF!</v>
      </c>
      <c r="BL71" s="8" t="e">
        <f t="shared" si="4"/>
        <v>#REF!</v>
      </c>
      <c r="BM71" s="8">
        <f t="shared" si="5"/>
        <v>62</v>
      </c>
    </row>
    <row r="72" spans="1:65" ht="13.5" customHeight="1" thickBot="1">
      <c r="A72" s="359"/>
      <c r="B72" s="118" t="e">
        <f>'QTY '!#REF!</f>
        <v>#REF!</v>
      </c>
      <c r="C72" s="101" t="e">
        <f>#REF!</f>
        <v>#REF!</v>
      </c>
      <c r="D72" s="101" t="e">
        <f>#REF!</f>
        <v>#REF!</v>
      </c>
      <c r="E72" s="101" t="e">
        <f>#REF!</f>
        <v>#REF!</v>
      </c>
      <c r="F72" s="101" t="e">
        <f>#REF!</f>
        <v>#REF!</v>
      </c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79" t="e">
        <f>#REF!/AE18</f>
        <v>#REF!</v>
      </c>
      <c r="AF72" s="79"/>
      <c r="AG72" s="79"/>
      <c r="AH72" s="105" t="e">
        <f>#REF!/AH18</f>
        <v>#REF!</v>
      </c>
      <c r="AI72" s="79"/>
      <c r="AJ72" s="79"/>
      <c r="AK72" s="105" t="e">
        <f>+'QTY '!#REF!</f>
        <v>#REF!</v>
      </c>
      <c r="AL72" s="105" t="e">
        <f>+'QTY '!#REF!</f>
        <v>#REF!</v>
      </c>
      <c r="AM72" s="105" t="e">
        <f>+'QTY '!#REF!</f>
        <v>#REF!</v>
      </c>
      <c r="AN72" s="105" t="e">
        <f>+'QTY '!#REF!</f>
        <v>#REF!</v>
      </c>
      <c r="AO72" s="105" t="e">
        <f>+'QTY '!#REF!</f>
        <v>#REF!</v>
      </c>
      <c r="AP72" s="8" t="s">
        <v>78</v>
      </c>
      <c r="AQ72" s="98">
        <v>0</v>
      </c>
      <c r="AR72" s="98">
        <v>0</v>
      </c>
      <c r="AS72" s="98">
        <v>0</v>
      </c>
      <c r="AT72" s="98">
        <v>0</v>
      </c>
      <c r="AU72" s="98"/>
      <c r="AV72" s="98"/>
      <c r="AW72" s="98">
        <v>0</v>
      </c>
      <c r="AX72" s="98">
        <v>0</v>
      </c>
      <c r="AY72" s="98"/>
      <c r="AZ72" s="98"/>
      <c r="BA72" s="98">
        <v>0</v>
      </c>
      <c r="BB72" s="98"/>
      <c r="BC72" s="98"/>
      <c r="BD72" s="98">
        <v>0</v>
      </c>
      <c r="BE72" s="98"/>
      <c r="BF72" s="98"/>
      <c r="BG72" s="98">
        <v>0</v>
      </c>
      <c r="BH72" s="8" t="e">
        <f t="shared" si="0"/>
        <v>#REF!</v>
      </c>
      <c r="BI72" s="8" t="e">
        <f t="shared" si="1"/>
        <v>#REF!</v>
      </c>
      <c r="BJ72" s="8" t="e">
        <f t="shared" si="2"/>
        <v>#REF!</v>
      </c>
      <c r="BK72" s="8" t="e">
        <f t="shared" si="3"/>
        <v>#REF!</v>
      </c>
      <c r="BL72" s="8" t="e">
        <f t="shared" si="4"/>
        <v>#REF!</v>
      </c>
      <c r="BM72" s="8">
        <f t="shared" si="5"/>
        <v>63</v>
      </c>
    </row>
    <row r="73" spans="1:65" ht="13.5" customHeight="1" thickBot="1">
      <c r="A73" s="359"/>
      <c r="B73" s="118" t="e">
        <f>'QTY '!#REF!</f>
        <v>#REF!</v>
      </c>
      <c r="C73" s="101" t="e">
        <f>#REF!</f>
        <v>#REF!</v>
      </c>
      <c r="D73" s="101" t="e">
        <f>#REF!</f>
        <v>#REF!</v>
      </c>
      <c r="E73" s="101" t="e">
        <f>#REF!</f>
        <v>#REF!</v>
      </c>
      <c r="F73" s="101" t="e">
        <f>#REF!</f>
        <v>#REF!</v>
      </c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79" t="e">
        <f>#REF!/AE18</f>
        <v>#REF!</v>
      </c>
      <c r="AF73" s="79"/>
      <c r="AG73" s="79"/>
      <c r="AH73" s="105" t="e">
        <f>#REF!/AH18</f>
        <v>#REF!</v>
      </c>
      <c r="AI73" s="79"/>
      <c r="AJ73" s="79"/>
      <c r="AK73" s="105" t="e">
        <f>+'QTY '!#REF!</f>
        <v>#REF!</v>
      </c>
      <c r="AL73" s="105" t="e">
        <f>+'QTY '!#REF!</f>
        <v>#REF!</v>
      </c>
      <c r="AM73" s="105" t="e">
        <f>+'QTY '!#REF!</f>
        <v>#REF!</v>
      </c>
      <c r="AN73" s="105" t="e">
        <f>+'QTY '!#REF!</f>
        <v>#REF!</v>
      </c>
      <c r="AO73" s="105" t="e">
        <f>+'QTY '!#REF!</f>
        <v>#REF!</v>
      </c>
      <c r="AP73" s="8" t="s">
        <v>79</v>
      </c>
      <c r="AQ73" s="98">
        <v>0</v>
      </c>
      <c r="AR73" s="98">
        <v>0</v>
      </c>
      <c r="AS73" s="98">
        <v>0</v>
      </c>
      <c r="AT73" s="98">
        <v>0</v>
      </c>
      <c r="AU73" s="98"/>
      <c r="AV73" s="98"/>
      <c r="AW73" s="98">
        <v>0</v>
      </c>
      <c r="AX73" s="98">
        <v>0</v>
      </c>
      <c r="AY73" s="98"/>
      <c r="AZ73" s="98"/>
      <c r="BA73" s="98">
        <v>3.5</v>
      </c>
      <c r="BB73" s="98"/>
      <c r="BC73" s="98"/>
      <c r="BD73" s="98">
        <v>8.5</v>
      </c>
      <c r="BE73" s="98"/>
      <c r="BF73" s="98"/>
      <c r="BG73" s="98">
        <v>8.5</v>
      </c>
      <c r="BH73" s="8" t="e">
        <f t="shared" si="0"/>
        <v>#REF!</v>
      </c>
      <c r="BI73" s="8" t="e">
        <f t="shared" si="1"/>
        <v>#REF!</v>
      </c>
      <c r="BJ73" s="8" t="e">
        <f t="shared" si="2"/>
        <v>#REF!</v>
      </c>
      <c r="BK73" s="8" t="e">
        <f t="shared" si="3"/>
        <v>#REF!</v>
      </c>
      <c r="BL73" s="8" t="e">
        <f t="shared" si="4"/>
        <v>#REF!</v>
      </c>
      <c r="BM73" s="8">
        <f t="shared" si="5"/>
        <v>64</v>
      </c>
    </row>
    <row r="74" spans="1:65" ht="13.5" customHeight="1" thickBot="1">
      <c r="A74" s="359"/>
      <c r="B74" s="118" t="e">
        <f>'QTY '!#REF!</f>
        <v>#REF!</v>
      </c>
      <c r="C74" s="101" t="e">
        <f>#REF!</f>
        <v>#REF!</v>
      </c>
      <c r="D74" s="101" t="e">
        <f>#REF!</f>
        <v>#REF!</v>
      </c>
      <c r="E74" s="101" t="e">
        <f>#REF!</f>
        <v>#REF!</v>
      </c>
      <c r="F74" s="101" t="e">
        <f>#REF!</f>
        <v>#REF!</v>
      </c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79" t="e">
        <f>#REF!/AE13</f>
        <v>#REF!</v>
      </c>
      <c r="AF74" s="79"/>
      <c r="AG74" s="79"/>
      <c r="AH74" s="105" t="e">
        <f>#REF!/AH13</f>
        <v>#REF!</v>
      </c>
      <c r="AI74" s="79"/>
      <c r="AJ74" s="79"/>
      <c r="AK74" s="105" t="e">
        <f>+'QTY '!#REF!</f>
        <v>#REF!</v>
      </c>
      <c r="AL74" s="105" t="e">
        <f>+'QTY '!#REF!</f>
        <v>#REF!</v>
      </c>
      <c r="AM74" s="105" t="e">
        <f>+'QTY '!#REF!</f>
        <v>#REF!</v>
      </c>
      <c r="AN74" s="105" t="e">
        <f>+'QTY '!#REF!</f>
        <v>#REF!</v>
      </c>
      <c r="AO74" s="105" t="e">
        <f>+'QTY '!#REF!</f>
        <v>#REF!</v>
      </c>
      <c r="AP74" s="8" t="s">
        <v>80</v>
      </c>
      <c r="AQ74" s="98">
        <v>0</v>
      </c>
      <c r="AR74" s="98">
        <v>0</v>
      </c>
      <c r="AS74" s="98">
        <v>0</v>
      </c>
      <c r="AT74" s="98">
        <v>0</v>
      </c>
      <c r="AU74" s="98"/>
      <c r="AV74" s="98"/>
      <c r="AW74" s="98">
        <v>0</v>
      </c>
      <c r="AX74" s="98">
        <v>0</v>
      </c>
      <c r="AY74" s="98"/>
      <c r="AZ74" s="98"/>
      <c r="BA74" s="98">
        <v>0</v>
      </c>
      <c r="BB74" s="98"/>
      <c r="BC74" s="98"/>
      <c r="BD74" s="98">
        <v>0</v>
      </c>
      <c r="BE74" s="98"/>
      <c r="BF74" s="98"/>
      <c r="BG74" s="98">
        <v>0</v>
      </c>
      <c r="BH74" s="8" t="e">
        <f t="shared" si="0"/>
        <v>#REF!</v>
      </c>
      <c r="BI74" s="8" t="e">
        <f t="shared" si="1"/>
        <v>#REF!</v>
      </c>
      <c r="BJ74" s="8" t="e">
        <f t="shared" si="2"/>
        <v>#REF!</v>
      </c>
      <c r="BK74" s="8" t="e">
        <f t="shared" si="3"/>
        <v>#REF!</v>
      </c>
      <c r="BL74" s="8" t="e">
        <f t="shared" si="4"/>
        <v>#REF!</v>
      </c>
      <c r="BM74" s="8">
        <f t="shared" si="5"/>
        <v>65</v>
      </c>
    </row>
    <row r="75" spans="1:65" ht="13.5" customHeight="1" thickBot="1">
      <c r="A75" s="359"/>
      <c r="B75" s="118" t="e">
        <f>'QTY '!#REF!</f>
        <v>#REF!</v>
      </c>
      <c r="C75" s="101" t="e">
        <f>#REF!</f>
        <v>#REF!</v>
      </c>
      <c r="D75" s="101" t="e">
        <f>#REF!</f>
        <v>#REF!</v>
      </c>
      <c r="E75" s="101" t="e">
        <f>#REF!</f>
        <v>#REF!</v>
      </c>
      <c r="F75" s="101" t="e">
        <f>#REF!</f>
        <v>#REF!</v>
      </c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79" t="e">
        <f>#REF!/AE13</f>
        <v>#REF!</v>
      </c>
      <c r="AF75" s="79"/>
      <c r="AG75" s="79"/>
      <c r="AH75" s="105" t="e">
        <f>#REF!/AH13</f>
        <v>#REF!</v>
      </c>
      <c r="AI75" s="79"/>
      <c r="AJ75" s="79"/>
      <c r="AK75" s="105" t="e">
        <f>+'QTY '!#REF!</f>
        <v>#REF!</v>
      </c>
      <c r="AL75" s="105" t="e">
        <f>+'QTY '!#REF!</f>
        <v>#REF!</v>
      </c>
      <c r="AM75" s="105" t="e">
        <f>+'QTY '!#REF!</f>
        <v>#REF!</v>
      </c>
      <c r="AN75" s="105" t="e">
        <f>+'QTY '!#REF!</f>
        <v>#REF!</v>
      </c>
      <c r="AO75" s="105" t="e">
        <f>+'QTY '!#REF!</f>
        <v>#REF!</v>
      </c>
      <c r="AP75" s="8" t="s">
        <v>81</v>
      </c>
      <c r="AQ75" s="98">
        <v>0</v>
      </c>
      <c r="AR75" s="98">
        <v>0</v>
      </c>
      <c r="AS75" s="98">
        <v>0</v>
      </c>
      <c r="AT75" s="98">
        <v>0</v>
      </c>
      <c r="AU75" s="98"/>
      <c r="AV75" s="98"/>
      <c r="AW75" s="98">
        <v>0</v>
      </c>
      <c r="AX75" s="98">
        <v>0</v>
      </c>
      <c r="AY75" s="98"/>
      <c r="AZ75" s="98"/>
      <c r="BA75" s="98">
        <v>0</v>
      </c>
      <c r="BB75" s="98"/>
      <c r="BC75" s="98"/>
      <c r="BD75" s="98">
        <v>19.5</v>
      </c>
      <c r="BE75" s="98"/>
      <c r="BF75" s="98"/>
      <c r="BG75" s="98">
        <v>19.5</v>
      </c>
      <c r="BH75" s="8" t="e">
        <f t="shared" ref="BH75:BH104" si="6">AK75*$AK$7</f>
        <v>#REF!</v>
      </c>
      <c r="BI75" s="8" t="e">
        <f t="shared" ref="BI75:BI104" si="7">AL75*$AL$7</f>
        <v>#REF!</v>
      </c>
      <c r="BJ75" s="8" t="e">
        <f t="shared" ref="BJ75:BJ104" si="8">AM75*$AM$7</f>
        <v>#REF!</v>
      </c>
      <c r="BK75" s="8" t="e">
        <f t="shared" ref="BK75:BK104" si="9">AN75*$AN$7</f>
        <v>#REF!</v>
      </c>
      <c r="BL75" s="8" t="e">
        <f t="shared" ref="BL75:BL104" si="10">AO75*$AO$7</f>
        <v>#REF!</v>
      </c>
      <c r="BM75" s="8">
        <f t="shared" si="5"/>
        <v>66</v>
      </c>
    </row>
    <row r="76" spans="1:65" ht="13.5" customHeight="1" thickBot="1">
      <c r="A76" s="359"/>
      <c r="B76" s="118" t="e">
        <f>'QTY '!#REF!</f>
        <v>#REF!</v>
      </c>
      <c r="C76" s="101" t="e">
        <f>#REF!</f>
        <v>#REF!</v>
      </c>
      <c r="D76" s="101" t="e">
        <f>#REF!</f>
        <v>#REF!</v>
      </c>
      <c r="E76" s="101" t="e">
        <f>#REF!</f>
        <v>#REF!</v>
      </c>
      <c r="F76" s="101" t="e">
        <f>#REF!</f>
        <v>#REF!</v>
      </c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79" t="e">
        <f>#REF!/AE13</f>
        <v>#REF!</v>
      </c>
      <c r="AF76" s="79"/>
      <c r="AG76" s="79"/>
      <c r="AH76" s="105" t="e">
        <f>#REF!/AH13</f>
        <v>#REF!</v>
      </c>
      <c r="AI76" s="79"/>
      <c r="AJ76" s="79"/>
      <c r="AK76" s="105" t="e">
        <f>+'QTY '!#REF!</f>
        <v>#REF!</v>
      </c>
      <c r="AL76" s="105" t="e">
        <f>+'QTY '!#REF!</f>
        <v>#REF!</v>
      </c>
      <c r="AM76" s="105" t="e">
        <f>+'QTY '!#REF!</f>
        <v>#REF!</v>
      </c>
      <c r="AN76" s="105" t="e">
        <f>+'QTY '!#REF!</f>
        <v>#REF!</v>
      </c>
      <c r="AO76" s="105" t="e">
        <f>+'QTY '!#REF!</f>
        <v>#REF!</v>
      </c>
      <c r="AP76" s="8" t="s">
        <v>82</v>
      </c>
      <c r="AQ76" s="98">
        <v>0</v>
      </c>
      <c r="AR76" s="98">
        <v>0</v>
      </c>
      <c r="AS76" s="98">
        <v>0</v>
      </c>
      <c r="AT76" s="98">
        <v>0</v>
      </c>
      <c r="AU76" s="98"/>
      <c r="AV76" s="98"/>
      <c r="AW76" s="98">
        <v>0</v>
      </c>
      <c r="AX76" s="98">
        <v>0</v>
      </c>
      <c r="AY76" s="98"/>
      <c r="AZ76" s="98"/>
      <c r="BA76" s="98">
        <v>0</v>
      </c>
      <c r="BB76" s="98"/>
      <c r="BC76" s="98"/>
      <c r="BD76" s="98">
        <v>0</v>
      </c>
      <c r="BE76" s="98"/>
      <c r="BF76" s="98"/>
      <c r="BG76" s="98">
        <v>0</v>
      </c>
      <c r="BH76" s="8" t="e">
        <f t="shared" si="6"/>
        <v>#REF!</v>
      </c>
      <c r="BI76" s="8" t="e">
        <f t="shared" si="7"/>
        <v>#REF!</v>
      </c>
      <c r="BJ76" s="8" t="e">
        <f t="shared" si="8"/>
        <v>#REF!</v>
      </c>
      <c r="BK76" s="8" t="e">
        <f t="shared" si="9"/>
        <v>#REF!</v>
      </c>
      <c r="BL76" s="8" t="e">
        <f t="shared" si="10"/>
        <v>#REF!</v>
      </c>
      <c r="BM76" s="8">
        <f t="shared" ref="BM76:BM97" si="11">+BM75+1</f>
        <v>67</v>
      </c>
    </row>
    <row r="77" spans="1:65" ht="13.5" customHeight="1" thickBot="1">
      <c r="A77" s="359"/>
      <c r="B77" s="118" t="e">
        <f>'QTY '!#REF!</f>
        <v>#REF!</v>
      </c>
      <c r="C77" s="101" t="e">
        <f>#REF!</f>
        <v>#REF!</v>
      </c>
      <c r="D77" s="101" t="e">
        <f>#REF!</f>
        <v>#REF!</v>
      </c>
      <c r="E77" s="101" t="e">
        <f>#REF!</f>
        <v>#REF!</v>
      </c>
      <c r="F77" s="101" t="e">
        <f>#REF!</f>
        <v>#REF!</v>
      </c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79" t="e">
        <f>#REF!/AE13</f>
        <v>#REF!</v>
      </c>
      <c r="AF77" s="79"/>
      <c r="AG77" s="79"/>
      <c r="AH77" s="105" t="e">
        <f>#REF!/AH13</f>
        <v>#REF!</v>
      </c>
      <c r="AI77" s="79"/>
      <c r="AJ77" s="79"/>
      <c r="AK77" s="105" t="e">
        <f>+'QTY '!#REF!</f>
        <v>#REF!</v>
      </c>
      <c r="AL77" s="105" t="e">
        <f>+'QTY '!#REF!</f>
        <v>#REF!</v>
      </c>
      <c r="AM77" s="105" t="e">
        <f>+'QTY '!#REF!</f>
        <v>#REF!</v>
      </c>
      <c r="AN77" s="105" t="e">
        <f>+'QTY '!#REF!</f>
        <v>#REF!</v>
      </c>
      <c r="AO77" s="105" t="e">
        <f>+'QTY '!#REF!</f>
        <v>#REF!</v>
      </c>
      <c r="AP77" s="8" t="s">
        <v>83</v>
      </c>
      <c r="AQ77" s="98">
        <v>0</v>
      </c>
      <c r="AR77" s="98">
        <v>0</v>
      </c>
      <c r="AS77" s="98">
        <v>0</v>
      </c>
      <c r="AT77" s="98">
        <v>0</v>
      </c>
      <c r="AU77" s="98"/>
      <c r="AV77" s="98"/>
      <c r="AW77" s="98">
        <v>0</v>
      </c>
      <c r="AX77" s="98">
        <v>0</v>
      </c>
      <c r="AY77" s="98"/>
      <c r="AZ77" s="98"/>
      <c r="BA77" s="98">
        <v>0</v>
      </c>
      <c r="BB77" s="98"/>
      <c r="BC77" s="98"/>
      <c r="BD77" s="98">
        <v>0</v>
      </c>
      <c r="BE77" s="98"/>
      <c r="BF77" s="98"/>
      <c r="BG77" s="98">
        <v>0</v>
      </c>
      <c r="BH77" s="8" t="e">
        <f t="shared" si="6"/>
        <v>#REF!</v>
      </c>
      <c r="BI77" s="8" t="e">
        <f t="shared" si="7"/>
        <v>#REF!</v>
      </c>
      <c r="BJ77" s="8" t="e">
        <f t="shared" si="8"/>
        <v>#REF!</v>
      </c>
      <c r="BK77" s="8" t="e">
        <f t="shared" si="9"/>
        <v>#REF!</v>
      </c>
      <c r="BL77" s="8" t="e">
        <f t="shared" si="10"/>
        <v>#REF!</v>
      </c>
      <c r="BM77" s="8">
        <f t="shared" si="11"/>
        <v>68</v>
      </c>
    </row>
    <row r="78" spans="1:65" ht="13.5" customHeight="1" thickBot="1">
      <c r="A78" s="359"/>
      <c r="B78" s="118" t="e">
        <f>'QTY '!#REF!</f>
        <v>#REF!</v>
      </c>
      <c r="C78" s="101" t="e">
        <f>#REF!</f>
        <v>#REF!</v>
      </c>
      <c r="D78" s="101" t="e">
        <f>#REF!</f>
        <v>#REF!</v>
      </c>
      <c r="E78" s="101" t="e">
        <f>#REF!</f>
        <v>#REF!</v>
      </c>
      <c r="F78" s="101" t="e">
        <f>#REF!</f>
        <v>#REF!</v>
      </c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79" t="e">
        <f>#REF!/AE17</f>
        <v>#REF!</v>
      </c>
      <c r="AF78" s="79"/>
      <c r="AG78" s="79"/>
      <c r="AH78" s="105" t="e">
        <f>#REF!/AH17</f>
        <v>#REF!</v>
      </c>
      <c r="AI78" s="79"/>
      <c r="AJ78" s="79"/>
      <c r="AK78" s="105" t="e">
        <f>+'QTY '!#REF!</f>
        <v>#REF!</v>
      </c>
      <c r="AL78" s="105" t="e">
        <f>+'QTY '!#REF!</f>
        <v>#REF!</v>
      </c>
      <c r="AM78" s="105" t="e">
        <f>+'QTY '!#REF!</f>
        <v>#REF!</v>
      </c>
      <c r="AN78" s="105" t="e">
        <f>+'QTY '!#REF!</f>
        <v>#REF!</v>
      </c>
      <c r="AO78" s="105" t="e">
        <f>+'QTY '!#REF!</f>
        <v>#REF!</v>
      </c>
      <c r="AP78" s="8" t="s">
        <v>80</v>
      </c>
      <c r="AQ78" s="98">
        <v>0</v>
      </c>
      <c r="AR78" s="98">
        <v>0</v>
      </c>
      <c r="AS78" s="98">
        <v>0</v>
      </c>
      <c r="AT78" s="98">
        <v>0</v>
      </c>
      <c r="AU78" s="98"/>
      <c r="AV78" s="98"/>
      <c r="AW78" s="98">
        <v>0</v>
      </c>
      <c r="AX78" s="98">
        <v>0</v>
      </c>
      <c r="AY78" s="98"/>
      <c r="AZ78" s="98"/>
      <c r="BA78" s="98">
        <v>0</v>
      </c>
      <c r="BB78" s="98"/>
      <c r="BC78" s="98"/>
      <c r="BD78" s="98">
        <v>0</v>
      </c>
      <c r="BE78" s="98"/>
      <c r="BF78" s="98"/>
      <c r="BG78" s="98">
        <v>0</v>
      </c>
      <c r="BH78" s="8" t="e">
        <f t="shared" si="6"/>
        <v>#REF!</v>
      </c>
      <c r="BI78" s="8" t="e">
        <f t="shared" si="7"/>
        <v>#REF!</v>
      </c>
      <c r="BJ78" s="8" t="e">
        <f t="shared" si="8"/>
        <v>#REF!</v>
      </c>
      <c r="BK78" s="8" t="e">
        <f t="shared" si="9"/>
        <v>#REF!</v>
      </c>
      <c r="BL78" s="8" t="e">
        <f t="shared" si="10"/>
        <v>#REF!</v>
      </c>
      <c r="BM78" s="8">
        <f t="shared" si="11"/>
        <v>69</v>
      </c>
    </row>
    <row r="79" spans="1:65" ht="13.5" customHeight="1" thickBot="1">
      <c r="A79" s="359"/>
      <c r="B79" s="118" t="e">
        <f>'QTY '!#REF!</f>
        <v>#REF!</v>
      </c>
      <c r="C79" s="101" t="e">
        <f>#REF!</f>
        <v>#REF!</v>
      </c>
      <c r="D79" s="101" t="e">
        <f>#REF!</f>
        <v>#REF!</v>
      </c>
      <c r="E79" s="101" t="e">
        <f>#REF!</f>
        <v>#REF!</v>
      </c>
      <c r="F79" s="101" t="e">
        <f>#REF!</f>
        <v>#REF!</v>
      </c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79" t="e">
        <f>#REF!/AE17</f>
        <v>#REF!</v>
      </c>
      <c r="AF79" s="79"/>
      <c r="AG79" s="79"/>
      <c r="AH79" s="105" t="e">
        <f>#REF!/AH17</f>
        <v>#REF!</v>
      </c>
      <c r="AI79" s="79"/>
      <c r="AJ79" s="79"/>
      <c r="AK79" s="105" t="e">
        <f>+'QTY '!#REF!</f>
        <v>#REF!</v>
      </c>
      <c r="AL79" s="105" t="e">
        <f>+'QTY '!#REF!</f>
        <v>#REF!</v>
      </c>
      <c r="AM79" s="105" t="e">
        <f>+'QTY '!#REF!</f>
        <v>#REF!</v>
      </c>
      <c r="AN79" s="105" t="e">
        <f>+'QTY '!#REF!</f>
        <v>#REF!</v>
      </c>
      <c r="AO79" s="105" t="e">
        <f>+'QTY '!#REF!</f>
        <v>#REF!</v>
      </c>
      <c r="AP79" s="8" t="s">
        <v>81</v>
      </c>
      <c r="AQ79" s="98">
        <v>0</v>
      </c>
      <c r="AR79" s="98">
        <v>0</v>
      </c>
      <c r="AS79" s="98">
        <v>0</v>
      </c>
      <c r="AT79" s="98">
        <v>0</v>
      </c>
      <c r="AU79" s="98"/>
      <c r="AV79" s="98"/>
      <c r="AW79" s="98">
        <v>0</v>
      </c>
      <c r="AX79" s="98">
        <v>0</v>
      </c>
      <c r="AY79" s="98"/>
      <c r="AZ79" s="98"/>
      <c r="BA79" s="98">
        <v>0</v>
      </c>
      <c r="BB79" s="98"/>
      <c r="BC79" s="98"/>
      <c r="BD79" s="98">
        <v>19.5</v>
      </c>
      <c r="BE79" s="98"/>
      <c r="BF79" s="98"/>
      <c r="BG79" s="98">
        <v>19.5</v>
      </c>
      <c r="BH79" s="8" t="e">
        <f t="shared" si="6"/>
        <v>#REF!</v>
      </c>
      <c r="BI79" s="8" t="e">
        <f t="shared" si="7"/>
        <v>#REF!</v>
      </c>
      <c r="BJ79" s="8" t="e">
        <f t="shared" si="8"/>
        <v>#REF!</v>
      </c>
      <c r="BK79" s="8" t="e">
        <f t="shared" si="9"/>
        <v>#REF!</v>
      </c>
      <c r="BL79" s="8" t="e">
        <f t="shared" si="10"/>
        <v>#REF!</v>
      </c>
      <c r="BM79" s="8">
        <f t="shared" si="11"/>
        <v>70</v>
      </c>
    </row>
    <row r="80" spans="1:65" ht="13.5" customHeight="1" thickBot="1">
      <c r="A80" s="359"/>
      <c r="B80" s="118" t="e">
        <f>'QTY '!#REF!</f>
        <v>#REF!</v>
      </c>
      <c r="C80" s="101" t="e">
        <f>#REF!</f>
        <v>#REF!</v>
      </c>
      <c r="D80" s="101" t="e">
        <f>#REF!</f>
        <v>#REF!</v>
      </c>
      <c r="E80" s="101" t="e">
        <f>#REF!</f>
        <v>#REF!</v>
      </c>
      <c r="F80" s="101" t="e">
        <f>#REF!</f>
        <v>#REF!</v>
      </c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79" t="e">
        <f>#REF!/AE17</f>
        <v>#REF!</v>
      </c>
      <c r="AF80" s="79"/>
      <c r="AG80" s="79"/>
      <c r="AH80" s="105" t="e">
        <f>#REF!/AH17</f>
        <v>#REF!</v>
      </c>
      <c r="AI80" s="79"/>
      <c r="AJ80" s="79"/>
      <c r="AK80" s="105" t="e">
        <f>+'QTY '!#REF!</f>
        <v>#REF!</v>
      </c>
      <c r="AL80" s="105" t="e">
        <f>+'QTY '!#REF!</f>
        <v>#REF!</v>
      </c>
      <c r="AM80" s="105" t="e">
        <f>+'QTY '!#REF!</f>
        <v>#REF!</v>
      </c>
      <c r="AN80" s="105" t="e">
        <f>+'QTY '!#REF!</f>
        <v>#REF!</v>
      </c>
      <c r="AO80" s="105" t="e">
        <f>+'QTY '!#REF!</f>
        <v>#REF!</v>
      </c>
      <c r="AP80" s="8" t="s">
        <v>82</v>
      </c>
      <c r="AQ80" s="98">
        <v>0</v>
      </c>
      <c r="AR80" s="98">
        <v>0</v>
      </c>
      <c r="AS80" s="98">
        <v>0</v>
      </c>
      <c r="AT80" s="98">
        <v>0</v>
      </c>
      <c r="AU80" s="98"/>
      <c r="AV80" s="98"/>
      <c r="AW80" s="98">
        <v>0</v>
      </c>
      <c r="AX80" s="98">
        <v>0</v>
      </c>
      <c r="AY80" s="98"/>
      <c r="AZ80" s="98"/>
      <c r="BA80" s="98">
        <v>0</v>
      </c>
      <c r="BB80" s="98"/>
      <c r="BC80" s="98"/>
      <c r="BD80" s="98">
        <v>0</v>
      </c>
      <c r="BE80" s="98"/>
      <c r="BF80" s="98"/>
      <c r="BG80" s="98">
        <v>0</v>
      </c>
      <c r="BH80" s="8" t="e">
        <f t="shared" si="6"/>
        <v>#REF!</v>
      </c>
      <c r="BI80" s="8" t="e">
        <f t="shared" si="7"/>
        <v>#REF!</v>
      </c>
      <c r="BJ80" s="8" t="e">
        <f t="shared" si="8"/>
        <v>#REF!</v>
      </c>
      <c r="BK80" s="8" t="e">
        <f t="shared" si="9"/>
        <v>#REF!</v>
      </c>
      <c r="BL80" s="8" t="e">
        <f t="shared" si="10"/>
        <v>#REF!</v>
      </c>
      <c r="BM80" s="8">
        <f t="shared" si="11"/>
        <v>71</v>
      </c>
    </row>
    <row r="81" spans="1:65" ht="13.5" customHeight="1" thickBot="1">
      <c r="A81" s="359"/>
      <c r="B81" s="118" t="e">
        <f>'QTY '!#REF!</f>
        <v>#REF!</v>
      </c>
      <c r="C81" s="121" t="e">
        <f>#REF!</f>
        <v>#REF!</v>
      </c>
      <c r="D81" s="121" t="e">
        <f>#REF!</f>
        <v>#REF!</v>
      </c>
      <c r="E81" s="121" t="e">
        <f>#REF!</f>
        <v>#REF!</v>
      </c>
      <c r="F81" s="121" t="e">
        <f>#REF!</f>
        <v>#REF!</v>
      </c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3" t="e">
        <f>#REF!/AE17</f>
        <v>#REF!</v>
      </c>
      <c r="AF81" s="123"/>
      <c r="AG81" s="123"/>
      <c r="AH81" s="124" t="e">
        <f>#REF!/AH17</f>
        <v>#REF!</v>
      </c>
      <c r="AI81" s="123"/>
      <c r="AJ81" s="123"/>
      <c r="AK81" s="105" t="e">
        <f>+'QTY '!#REF!</f>
        <v>#REF!</v>
      </c>
      <c r="AL81" s="105" t="e">
        <f>+'QTY '!#REF!</f>
        <v>#REF!</v>
      </c>
      <c r="AM81" s="105" t="e">
        <f>+'QTY '!#REF!</f>
        <v>#REF!</v>
      </c>
      <c r="AN81" s="105" t="e">
        <f>+'QTY '!#REF!</f>
        <v>#REF!</v>
      </c>
      <c r="AO81" s="105" t="e">
        <f>+'QTY '!#REF!</f>
        <v>#REF!</v>
      </c>
      <c r="AP81" s="8" t="s">
        <v>83</v>
      </c>
      <c r="AQ81" s="98">
        <v>0</v>
      </c>
      <c r="AR81" s="98">
        <v>0</v>
      </c>
      <c r="AS81" s="98">
        <v>0</v>
      </c>
      <c r="AT81" s="98">
        <v>0</v>
      </c>
      <c r="AU81" s="98"/>
      <c r="AV81" s="98"/>
      <c r="AW81" s="98">
        <v>0</v>
      </c>
      <c r="AX81" s="98">
        <v>0</v>
      </c>
      <c r="AY81" s="98"/>
      <c r="AZ81" s="98"/>
      <c r="BA81" s="98">
        <v>0</v>
      </c>
      <c r="BB81" s="98"/>
      <c r="BC81" s="98"/>
      <c r="BD81" s="98">
        <v>0</v>
      </c>
      <c r="BE81" s="98"/>
      <c r="BF81" s="98"/>
      <c r="BG81" s="98">
        <v>0</v>
      </c>
      <c r="BH81" s="8" t="e">
        <f t="shared" si="6"/>
        <v>#REF!</v>
      </c>
      <c r="BI81" s="8" t="e">
        <f t="shared" si="7"/>
        <v>#REF!</v>
      </c>
      <c r="BJ81" s="8" t="e">
        <f t="shared" si="8"/>
        <v>#REF!</v>
      </c>
      <c r="BK81" s="8" t="e">
        <f t="shared" si="9"/>
        <v>#REF!</v>
      </c>
      <c r="BL81" s="8" t="e">
        <f t="shared" si="10"/>
        <v>#REF!</v>
      </c>
      <c r="BM81" s="8">
        <f t="shared" si="11"/>
        <v>72</v>
      </c>
    </row>
    <row r="82" spans="1:65" ht="13.5" thickBot="1">
      <c r="A82" s="359"/>
      <c r="B82" s="118" t="e">
        <f>'QTY '!#REF!</f>
        <v>#REF!</v>
      </c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  <c r="AE82" s="126"/>
      <c r="AF82" s="126"/>
      <c r="AG82" s="126"/>
      <c r="AH82" s="126"/>
      <c r="AI82" s="126"/>
      <c r="AJ82" s="126"/>
      <c r="AK82" s="105" t="e">
        <f>+'QTY '!#REF!</f>
        <v>#REF!</v>
      </c>
      <c r="AL82" s="105" t="e">
        <f>+'QTY '!#REF!</f>
        <v>#REF!</v>
      </c>
      <c r="AM82" s="105" t="e">
        <f>+'QTY '!#REF!</f>
        <v>#REF!</v>
      </c>
      <c r="AN82" s="105" t="e">
        <f>+'QTY '!#REF!</f>
        <v>#REF!</v>
      </c>
      <c r="AO82" s="105" t="e">
        <f>+'QTY '!#REF!</f>
        <v>#REF!</v>
      </c>
      <c r="BH82" s="8" t="e">
        <f t="shared" si="6"/>
        <v>#REF!</v>
      </c>
      <c r="BI82" s="8" t="e">
        <f t="shared" si="7"/>
        <v>#REF!</v>
      </c>
      <c r="BJ82" s="8" t="e">
        <f t="shared" si="8"/>
        <v>#REF!</v>
      </c>
      <c r="BK82" s="8" t="e">
        <f t="shared" si="9"/>
        <v>#REF!</v>
      </c>
      <c r="BL82" s="8" t="e">
        <f t="shared" si="10"/>
        <v>#REF!</v>
      </c>
      <c r="BM82" s="8">
        <f t="shared" si="11"/>
        <v>73</v>
      </c>
    </row>
    <row r="83" spans="1:65" ht="13.5" thickBot="1">
      <c r="A83" s="359"/>
      <c r="B83" s="118" t="e">
        <f>'QTY '!#REF!</f>
        <v>#REF!</v>
      </c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6"/>
      <c r="AF83" s="126"/>
      <c r="AG83" s="126"/>
      <c r="AH83" s="126"/>
      <c r="AI83" s="126"/>
      <c r="AJ83" s="126"/>
      <c r="AK83" s="105" t="e">
        <f>+'QTY '!#REF!</f>
        <v>#REF!</v>
      </c>
      <c r="AL83" s="105" t="e">
        <f>+'QTY '!#REF!</f>
        <v>#REF!</v>
      </c>
      <c r="AM83" s="105" t="e">
        <f>+'QTY '!#REF!</f>
        <v>#REF!</v>
      </c>
      <c r="AN83" s="105" t="e">
        <f>+'QTY '!#REF!</f>
        <v>#REF!</v>
      </c>
      <c r="AO83" s="105" t="e">
        <f>+'QTY '!#REF!</f>
        <v>#REF!</v>
      </c>
      <c r="BH83" s="8" t="e">
        <f t="shared" si="6"/>
        <v>#REF!</v>
      </c>
      <c r="BI83" s="8" t="e">
        <f t="shared" si="7"/>
        <v>#REF!</v>
      </c>
      <c r="BJ83" s="8" t="e">
        <f t="shared" si="8"/>
        <v>#REF!</v>
      </c>
      <c r="BK83" s="8" t="e">
        <f t="shared" si="9"/>
        <v>#REF!</v>
      </c>
      <c r="BL83" s="8" t="e">
        <f t="shared" si="10"/>
        <v>#REF!</v>
      </c>
      <c r="BM83" s="8">
        <f t="shared" si="11"/>
        <v>74</v>
      </c>
    </row>
    <row r="84" spans="1:65" ht="13.5" thickBot="1">
      <c r="A84" s="359"/>
      <c r="B84" s="118" t="e">
        <f>'QTY '!#REF!</f>
        <v>#REF!</v>
      </c>
      <c r="AK84" s="105" t="e">
        <f>+'QTY '!#REF!</f>
        <v>#REF!</v>
      </c>
      <c r="AL84" s="105" t="e">
        <f>+'QTY '!#REF!</f>
        <v>#REF!</v>
      </c>
      <c r="AM84" s="105" t="e">
        <f>+'QTY '!#REF!</f>
        <v>#REF!</v>
      </c>
      <c r="AN84" s="105" t="e">
        <f>+'QTY '!#REF!</f>
        <v>#REF!</v>
      </c>
      <c r="AO84" s="105" t="e">
        <f>+'QTY '!#REF!</f>
        <v>#REF!</v>
      </c>
      <c r="BH84" s="8" t="e">
        <f t="shared" si="6"/>
        <v>#REF!</v>
      </c>
      <c r="BI84" s="8" t="e">
        <f t="shared" si="7"/>
        <v>#REF!</v>
      </c>
      <c r="BJ84" s="8" t="e">
        <f t="shared" si="8"/>
        <v>#REF!</v>
      </c>
      <c r="BK84" s="8" t="e">
        <f t="shared" si="9"/>
        <v>#REF!</v>
      </c>
      <c r="BL84" s="8" t="e">
        <f t="shared" si="10"/>
        <v>#REF!</v>
      </c>
      <c r="BM84" s="8">
        <f t="shared" si="11"/>
        <v>75</v>
      </c>
    </row>
    <row r="85" spans="1:65" ht="13.5" thickBot="1">
      <c r="A85" s="359"/>
      <c r="B85" s="118" t="e">
        <f>'QTY '!#REF!</f>
        <v>#REF!</v>
      </c>
      <c r="AK85" s="105" t="e">
        <f>+'QTY '!#REF!</f>
        <v>#REF!</v>
      </c>
      <c r="AL85" s="105" t="e">
        <f>+'QTY '!#REF!</f>
        <v>#REF!</v>
      </c>
      <c r="AM85" s="105" t="e">
        <f>+'QTY '!#REF!</f>
        <v>#REF!</v>
      </c>
      <c r="AN85" s="105" t="e">
        <f>+'QTY '!#REF!</f>
        <v>#REF!</v>
      </c>
      <c r="AO85" s="105" t="e">
        <f>+'QTY '!#REF!</f>
        <v>#REF!</v>
      </c>
      <c r="BH85" s="8" t="e">
        <f t="shared" si="6"/>
        <v>#REF!</v>
      </c>
      <c r="BI85" s="8" t="e">
        <f t="shared" si="7"/>
        <v>#REF!</v>
      </c>
      <c r="BJ85" s="8" t="e">
        <f t="shared" si="8"/>
        <v>#REF!</v>
      </c>
      <c r="BK85" s="8" t="e">
        <f t="shared" si="9"/>
        <v>#REF!</v>
      </c>
      <c r="BL85" s="8" t="e">
        <f t="shared" si="10"/>
        <v>#REF!</v>
      </c>
      <c r="BM85" s="8">
        <f t="shared" si="11"/>
        <v>76</v>
      </c>
    </row>
    <row r="86" spans="1:65" ht="13.5" thickBot="1">
      <c r="A86" s="359"/>
      <c r="B86" s="118" t="e">
        <f>'QTY '!#REF!</f>
        <v>#REF!</v>
      </c>
      <c r="AK86" s="105" t="e">
        <f>+'QTY '!#REF!</f>
        <v>#REF!</v>
      </c>
      <c r="AL86" s="105" t="e">
        <f>+'QTY '!#REF!</f>
        <v>#REF!</v>
      </c>
      <c r="AM86" s="105" t="e">
        <f>+'QTY '!#REF!</f>
        <v>#REF!</v>
      </c>
      <c r="AN86" s="105" t="e">
        <f>+'QTY '!#REF!</f>
        <v>#REF!</v>
      </c>
      <c r="AO86" s="105" t="e">
        <f>+'QTY '!#REF!</f>
        <v>#REF!</v>
      </c>
      <c r="BH86" s="8" t="e">
        <f t="shared" si="6"/>
        <v>#REF!</v>
      </c>
      <c r="BI86" s="8" t="e">
        <f t="shared" si="7"/>
        <v>#REF!</v>
      </c>
      <c r="BJ86" s="8" t="e">
        <f t="shared" si="8"/>
        <v>#REF!</v>
      </c>
      <c r="BK86" s="8" t="e">
        <f t="shared" si="9"/>
        <v>#REF!</v>
      </c>
      <c r="BL86" s="8" t="e">
        <f t="shared" si="10"/>
        <v>#REF!</v>
      </c>
      <c r="BM86" s="8">
        <f t="shared" si="11"/>
        <v>77</v>
      </c>
    </row>
    <row r="87" spans="1:65" ht="13.5" thickBot="1">
      <c r="A87" s="359"/>
      <c r="B87" s="118" t="e">
        <f>'QTY '!#REF!</f>
        <v>#REF!</v>
      </c>
      <c r="AK87" s="105" t="e">
        <f>+'QTY '!#REF!</f>
        <v>#REF!</v>
      </c>
      <c r="AL87" s="105" t="e">
        <f>+'QTY '!#REF!</f>
        <v>#REF!</v>
      </c>
      <c r="AM87" s="105" t="e">
        <f>+'QTY '!#REF!</f>
        <v>#REF!</v>
      </c>
      <c r="AN87" s="105" t="e">
        <f>+'QTY '!#REF!</f>
        <v>#REF!</v>
      </c>
      <c r="AO87" s="105" t="e">
        <f>+'QTY '!#REF!</f>
        <v>#REF!</v>
      </c>
      <c r="BH87" s="8" t="e">
        <f t="shared" si="6"/>
        <v>#REF!</v>
      </c>
      <c r="BI87" s="8" t="e">
        <f t="shared" si="7"/>
        <v>#REF!</v>
      </c>
      <c r="BJ87" s="8" t="e">
        <f t="shared" si="8"/>
        <v>#REF!</v>
      </c>
      <c r="BK87" s="8" t="e">
        <f t="shared" si="9"/>
        <v>#REF!</v>
      </c>
      <c r="BL87" s="8" t="e">
        <f t="shared" si="10"/>
        <v>#REF!</v>
      </c>
      <c r="BM87" s="8">
        <f t="shared" si="11"/>
        <v>78</v>
      </c>
    </row>
    <row r="88" spans="1:65" ht="13.5" thickBot="1">
      <c r="A88" s="359"/>
      <c r="B88" s="118" t="e">
        <f>'QTY '!#REF!</f>
        <v>#REF!</v>
      </c>
      <c r="AK88" s="105" t="e">
        <f>+'QTY '!#REF!</f>
        <v>#REF!</v>
      </c>
      <c r="AL88" s="105" t="e">
        <f>+'QTY '!#REF!</f>
        <v>#REF!</v>
      </c>
      <c r="AM88" s="105" t="e">
        <f>+'QTY '!#REF!</f>
        <v>#REF!</v>
      </c>
      <c r="AN88" s="105" t="e">
        <f>+'QTY '!#REF!</f>
        <v>#REF!</v>
      </c>
      <c r="AO88" s="105" t="e">
        <f>+'QTY '!#REF!</f>
        <v>#REF!</v>
      </c>
      <c r="BH88" s="8" t="e">
        <f t="shared" si="6"/>
        <v>#REF!</v>
      </c>
      <c r="BI88" s="8" t="e">
        <f t="shared" si="7"/>
        <v>#REF!</v>
      </c>
      <c r="BJ88" s="8" t="e">
        <f t="shared" si="8"/>
        <v>#REF!</v>
      </c>
      <c r="BK88" s="8" t="e">
        <f t="shared" si="9"/>
        <v>#REF!</v>
      </c>
      <c r="BL88" s="8" t="e">
        <f t="shared" si="10"/>
        <v>#REF!</v>
      </c>
      <c r="BM88" s="8">
        <f t="shared" si="11"/>
        <v>79</v>
      </c>
    </row>
    <row r="89" spans="1:65" ht="13.5" thickBot="1">
      <c r="A89" s="359"/>
      <c r="B89" s="118" t="e">
        <f>'QTY '!#REF!</f>
        <v>#REF!</v>
      </c>
      <c r="AK89" s="105" t="e">
        <f>+'QTY '!#REF!</f>
        <v>#REF!</v>
      </c>
      <c r="AL89" s="105" t="e">
        <f>+'QTY '!#REF!</f>
        <v>#REF!</v>
      </c>
      <c r="AM89" s="105" t="e">
        <f>+'QTY '!#REF!</f>
        <v>#REF!</v>
      </c>
      <c r="AN89" s="105" t="e">
        <f>+'QTY '!#REF!</f>
        <v>#REF!</v>
      </c>
      <c r="AO89" s="105" t="e">
        <f>+'QTY '!#REF!</f>
        <v>#REF!</v>
      </c>
      <c r="BH89" s="8" t="e">
        <f t="shared" si="6"/>
        <v>#REF!</v>
      </c>
      <c r="BI89" s="8" t="e">
        <f t="shared" si="7"/>
        <v>#REF!</v>
      </c>
      <c r="BJ89" s="8" t="e">
        <f t="shared" si="8"/>
        <v>#REF!</v>
      </c>
      <c r="BK89" s="8" t="e">
        <f t="shared" si="9"/>
        <v>#REF!</v>
      </c>
      <c r="BL89" s="8" t="e">
        <f t="shared" si="10"/>
        <v>#REF!</v>
      </c>
      <c r="BM89" s="8">
        <f t="shared" si="11"/>
        <v>80</v>
      </c>
    </row>
    <row r="90" spans="1:65" ht="13.5" thickBot="1">
      <c r="A90" s="359"/>
      <c r="B90" s="118" t="e">
        <f>'QTY '!#REF!</f>
        <v>#REF!</v>
      </c>
      <c r="AK90" s="105" t="e">
        <f>+'QTY '!#REF!</f>
        <v>#REF!</v>
      </c>
      <c r="AL90" s="105" t="e">
        <f>+'QTY '!#REF!</f>
        <v>#REF!</v>
      </c>
      <c r="AM90" s="105" t="e">
        <f>+'QTY '!#REF!</f>
        <v>#REF!</v>
      </c>
      <c r="AN90" s="105" t="e">
        <f>+'QTY '!#REF!</f>
        <v>#REF!</v>
      </c>
      <c r="AO90" s="105" t="e">
        <f>+'QTY '!#REF!</f>
        <v>#REF!</v>
      </c>
      <c r="BH90" s="8" t="e">
        <f t="shared" si="6"/>
        <v>#REF!</v>
      </c>
      <c r="BI90" s="8" t="e">
        <f t="shared" si="7"/>
        <v>#REF!</v>
      </c>
      <c r="BJ90" s="8" t="e">
        <f t="shared" si="8"/>
        <v>#REF!</v>
      </c>
      <c r="BK90" s="8" t="e">
        <f t="shared" si="9"/>
        <v>#REF!</v>
      </c>
      <c r="BL90" s="8" t="e">
        <f t="shared" si="10"/>
        <v>#REF!</v>
      </c>
      <c r="BM90" s="8">
        <f t="shared" si="11"/>
        <v>81</v>
      </c>
    </row>
    <row r="91" spans="1:65" ht="13.5" thickBot="1">
      <c r="A91" s="359"/>
      <c r="B91" s="118" t="e">
        <f>'QTY '!#REF!</f>
        <v>#REF!</v>
      </c>
      <c r="AK91" s="105" t="e">
        <f>+'QTY '!#REF!</f>
        <v>#REF!</v>
      </c>
      <c r="AL91" s="105" t="e">
        <f>+'QTY '!#REF!</f>
        <v>#REF!</v>
      </c>
      <c r="AM91" s="105" t="e">
        <f>+'QTY '!#REF!</f>
        <v>#REF!</v>
      </c>
      <c r="AN91" s="105" t="e">
        <f>+'QTY '!#REF!</f>
        <v>#REF!</v>
      </c>
      <c r="AO91" s="105" t="e">
        <f>+'QTY '!#REF!</f>
        <v>#REF!</v>
      </c>
      <c r="BH91" s="8" t="e">
        <f t="shared" si="6"/>
        <v>#REF!</v>
      </c>
      <c r="BI91" s="8" t="e">
        <f t="shared" si="7"/>
        <v>#REF!</v>
      </c>
      <c r="BJ91" s="8" t="e">
        <f t="shared" si="8"/>
        <v>#REF!</v>
      </c>
      <c r="BK91" s="8" t="e">
        <f t="shared" si="9"/>
        <v>#REF!</v>
      </c>
      <c r="BL91" s="8" t="e">
        <f t="shared" si="10"/>
        <v>#REF!</v>
      </c>
      <c r="BM91" s="8">
        <f t="shared" si="11"/>
        <v>82</v>
      </c>
    </row>
    <row r="92" spans="1:65" ht="13.5" thickBot="1">
      <c r="A92" s="359"/>
      <c r="B92" s="118" t="e">
        <f>'QTY '!#REF!</f>
        <v>#REF!</v>
      </c>
      <c r="AK92" s="105" t="e">
        <f>+'QTY '!#REF!</f>
        <v>#REF!</v>
      </c>
      <c r="AL92" s="105" t="e">
        <f>+'QTY '!#REF!</f>
        <v>#REF!</v>
      </c>
      <c r="AM92" s="105" t="e">
        <f>+'QTY '!#REF!</f>
        <v>#REF!</v>
      </c>
      <c r="AN92" s="105" t="e">
        <f>+'QTY '!#REF!</f>
        <v>#REF!</v>
      </c>
      <c r="AO92" s="105" t="e">
        <f>+'QTY '!#REF!</f>
        <v>#REF!</v>
      </c>
      <c r="BH92" s="8" t="e">
        <f t="shared" si="6"/>
        <v>#REF!</v>
      </c>
      <c r="BI92" s="8" t="e">
        <f t="shared" si="7"/>
        <v>#REF!</v>
      </c>
      <c r="BJ92" s="8" t="e">
        <f t="shared" si="8"/>
        <v>#REF!</v>
      </c>
      <c r="BK92" s="8" t="e">
        <f t="shared" si="9"/>
        <v>#REF!</v>
      </c>
      <c r="BL92" s="8" t="e">
        <f t="shared" si="10"/>
        <v>#REF!</v>
      </c>
      <c r="BM92" s="8">
        <f t="shared" si="11"/>
        <v>83</v>
      </c>
    </row>
    <row r="93" spans="1:65" ht="13.5" thickBot="1">
      <c r="A93" s="359"/>
      <c r="B93" s="118" t="e">
        <f>'QTY '!#REF!</f>
        <v>#REF!</v>
      </c>
      <c r="AK93" s="105" t="e">
        <f>+'QTY '!#REF!</f>
        <v>#REF!</v>
      </c>
      <c r="AL93" s="105" t="e">
        <f>+'QTY '!#REF!</f>
        <v>#REF!</v>
      </c>
      <c r="AM93" s="105" t="e">
        <f>+'QTY '!#REF!</f>
        <v>#REF!</v>
      </c>
      <c r="AN93" s="105" t="e">
        <f>+'QTY '!#REF!</f>
        <v>#REF!</v>
      </c>
      <c r="AO93" s="105" t="e">
        <f>+'QTY '!#REF!</f>
        <v>#REF!</v>
      </c>
      <c r="BH93" s="8" t="e">
        <f t="shared" si="6"/>
        <v>#REF!</v>
      </c>
      <c r="BI93" s="8" t="e">
        <f t="shared" si="7"/>
        <v>#REF!</v>
      </c>
      <c r="BJ93" s="8" t="e">
        <f t="shared" si="8"/>
        <v>#REF!</v>
      </c>
      <c r="BK93" s="8" t="e">
        <f t="shared" si="9"/>
        <v>#REF!</v>
      </c>
      <c r="BL93" s="8" t="e">
        <f t="shared" si="10"/>
        <v>#REF!</v>
      </c>
      <c r="BM93" s="8">
        <f t="shared" si="11"/>
        <v>84</v>
      </c>
    </row>
    <row r="94" spans="1:65" ht="13.5" thickBot="1">
      <c r="A94" s="359"/>
      <c r="B94" s="118" t="e">
        <f>'QTY '!#REF!</f>
        <v>#REF!</v>
      </c>
      <c r="AK94" s="105" t="e">
        <f>+'QTY '!#REF!</f>
        <v>#REF!</v>
      </c>
      <c r="AL94" s="105" t="e">
        <f>+'QTY '!#REF!</f>
        <v>#REF!</v>
      </c>
      <c r="AM94" s="105" t="e">
        <f>+'QTY '!#REF!</f>
        <v>#REF!</v>
      </c>
      <c r="AN94" s="105" t="e">
        <f>+'QTY '!#REF!</f>
        <v>#REF!</v>
      </c>
      <c r="AO94" s="105" t="e">
        <f>+'QTY '!#REF!</f>
        <v>#REF!</v>
      </c>
      <c r="BH94" s="8" t="e">
        <f t="shared" si="6"/>
        <v>#REF!</v>
      </c>
      <c r="BI94" s="8" t="e">
        <f t="shared" si="7"/>
        <v>#REF!</v>
      </c>
      <c r="BJ94" s="8" t="e">
        <f t="shared" si="8"/>
        <v>#REF!</v>
      </c>
      <c r="BK94" s="8" t="e">
        <f t="shared" si="9"/>
        <v>#REF!</v>
      </c>
      <c r="BL94" s="8" t="e">
        <f t="shared" si="10"/>
        <v>#REF!</v>
      </c>
      <c r="BM94" s="8">
        <f t="shared" si="11"/>
        <v>85</v>
      </c>
    </row>
    <row r="95" spans="1:65" ht="13.5" thickBot="1">
      <c r="A95" s="360"/>
      <c r="B95" s="118" t="e">
        <f>'QTY '!#REF!</f>
        <v>#REF!</v>
      </c>
      <c r="AK95" s="105" t="e">
        <f>+'QTY '!#REF!</f>
        <v>#REF!</v>
      </c>
      <c r="AL95" s="105" t="e">
        <f>+'QTY '!#REF!</f>
        <v>#REF!</v>
      </c>
      <c r="AM95" s="105" t="e">
        <f>+'QTY '!#REF!</f>
        <v>#REF!</v>
      </c>
      <c r="AN95" s="105" t="e">
        <f>+'QTY '!#REF!</f>
        <v>#REF!</v>
      </c>
      <c r="AO95" s="105" t="e">
        <f>+'QTY '!#REF!</f>
        <v>#REF!</v>
      </c>
      <c r="BH95" s="8" t="e">
        <f t="shared" si="6"/>
        <v>#REF!</v>
      </c>
      <c r="BI95" s="8" t="e">
        <f t="shared" si="7"/>
        <v>#REF!</v>
      </c>
      <c r="BJ95" s="8" t="e">
        <f t="shared" si="8"/>
        <v>#REF!</v>
      </c>
      <c r="BK95" s="8" t="e">
        <f t="shared" si="9"/>
        <v>#REF!</v>
      </c>
      <c r="BL95" s="8" t="e">
        <f t="shared" si="10"/>
        <v>#REF!</v>
      </c>
      <c r="BM95" s="8">
        <f t="shared" si="11"/>
        <v>86</v>
      </c>
    </row>
    <row r="96" spans="1:65" ht="13.5" thickBot="1">
      <c r="A96" s="367" t="s">
        <v>93</v>
      </c>
      <c r="B96" s="118" t="e">
        <f>'QTY '!#REF!</f>
        <v>#REF!</v>
      </c>
      <c r="AK96" s="105" t="e">
        <f>+'QTY '!#REF!</f>
        <v>#REF!</v>
      </c>
      <c r="AL96" s="105" t="e">
        <f>+'QTY '!#REF!</f>
        <v>#REF!</v>
      </c>
      <c r="AM96" s="105" t="e">
        <f>+'QTY '!#REF!</f>
        <v>#REF!</v>
      </c>
      <c r="AN96" s="105" t="e">
        <f>+'QTY '!#REF!</f>
        <v>#REF!</v>
      </c>
      <c r="AO96" s="105" t="e">
        <f>+'QTY '!#REF!</f>
        <v>#REF!</v>
      </c>
      <c r="BH96" s="8" t="e">
        <f t="shared" si="6"/>
        <v>#REF!</v>
      </c>
      <c r="BI96" s="8" t="e">
        <f t="shared" si="7"/>
        <v>#REF!</v>
      </c>
      <c r="BJ96" s="8" t="e">
        <f t="shared" si="8"/>
        <v>#REF!</v>
      </c>
      <c r="BK96" s="8" t="e">
        <f t="shared" si="9"/>
        <v>#REF!</v>
      </c>
      <c r="BL96" s="8" t="e">
        <f t="shared" si="10"/>
        <v>#REF!</v>
      </c>
      <c r="BM96" s="8">
        <f t="shared" si="11"/>
        <v>87</v>
      </c>
    </row>
    <row r="97" spans="1:65" ht="13.5" thickBot="1">
      <c r="A97" s="368"/>
      <c r="B97" s="118" t="e">
        <f>'QTY '!#REF!</f>
        <v>#REF!</v>
      </c>
      <c r="AK97" s="105" t="e">
        <f>+'QTY '!#REF!</f>
        <v>#REF!</v>
      </c>
      <c r="AL97" s="105" t="e">
        <f>+'QTY '!#REF!</f>
        <v>#REF!</v>
      </c>
      <c r="AM97" s="105" t="e">
        <f>+'QTY '!#REF!</f>
        <v>#REF!</v>
      </c>
      <c r="AN97" s="105" t="e">
        <f>+'QTY '!#REF!</f>
        <v>#REF!</v>
      </c>
      <c r="AO97" s="105" t="e">
        <f>+'QTY '!#REF!</f>
        <v>#REF!</v>
      </c>
      <c r="BH97" s="8" t="e">
        <f t="shared" si="6"/>
        <v>#REF!</v>
      </c>
      <c r="BI97" s="8" t="e">
        <f t="shared" si="7"/>
        <v>#REF!</v>
      </c>
      <c r="BJ97" s="8" t="e">
        <f t="shared" si="8"/>
        <v>#REF!</v>
      </c>
      <c r="BK97" s="8" t="e">
        <f t="shared" si="9"/>
        <v>#REF!</v>
      </c>
      <c r="BL97" s="8" t="e">
        <f t="shared" si="10"/>
        <v>#REF!</v>
      </c>
      <c r="BM97" s="8">
        <f t="shared" si="11"/>
        <v>88</v>
      </c>
    </row>
    <row r="98" spans="1:65" ht="13.5" thickBot="1">
      <c r="A98" s="369"/>
      <c r="B98" s="118" t="e">
        <f>'QTY '!#REF!</f>
        <v>#REF!</v>
      </c>
      <c r="AK98" s="105" t="e">
        <f>+'QTY '!#REF!</f>
        <v>#REF!</v>
      </c>
      <c r="AL98" s="105" t="e">
        <f>+'QTY '!#REF!</f>
        <v>#REF!</v>
      </c>
      <c r="AM98" s="105" t="e">
        <f>+'QTY '!#REF!</f>
        <v>#REF!</v>
      </c>
      <c r="AN98" s="105" t="e">
        <f>+'QTY '!#REF!</f>
        <v>#REF!</v>
      </c>
      <c r="AO98" s="105" t="e">
        <f>+'QTY '!#REF!</f>
        <v>#REF!</v>
      </c>
      <c r="BH98" s="8" t="e">
        <f t="shared" si="6"/>
        <v>#REF!</v>
      </c>
      <c r="BI98" s="8" t="e">
        <f t="shared" si="7"/>
        <v>#REF!</v>
      </c>
      <c r="BJ98" s="8" t="e">
        <f t="shared" si="8"/>
        <v>#REF!</v>
      </c>
      <c r="BK98" s="8" t="e">
        <f t="shared" si="9"/>
        <v>#REF!</v>
      </c>
      <c r="BL98" s="8" t="e">
        <f t="shared" si="10"/>
        <v>#REF!</v>
      </c>
    </row>
    <row r="99" spans="1:65" ht="13.5" thickBot="1">
      <c r="A99" s="367" t="s">
        <v>30</v>
      </c>
      <c r="B99" s="118" t="e">
        <f>'QTY '!#REF!</f>
        <v>#REF!</v>
      </c>
      <c r="AK99" s="105" t="e">
        <f>+'QTY '!#REF!</f>
        <v>#REF!</v>
      </c>
      <c r="AL99" s="105" t="e">
        <f>+'QTY '!#REF!</f>
        <v>#REF!</v>
      </c>
      <c r="AM99" s="105" t="e">
        <f>+'QTY '!#REF!</f>
        <v>#REF!</v>
      </c>
      <c r="AN99" s="105" t="e">
        <f>+'QTY '!#REF!</f>
        <v>#REF!</v>
      </c>
      <c r="AO99" s="105" t="e">
        <f>+'QTY '!#REF!</f>
        <v>#REF!</v>
      </c>
      <c r="BH99" s="8" t="e">
        <f t="shared" si="6"/>
        <v>#REF!</v>
      </c>
      <c r="BI99" s="8" t="e">
        <f t="shared" si="7"/>
        <v>#REF!</v>
      </c>
      <c r="BJ99" s="8" t="e">
        <f t="shared" si="8"/>
        <v>#REF!</v>
      </c>
      <c r="BK99" s="8" t="e">
        <f t="shared" si="9"/>
        <v>#REF!</v>
      </c>
      <c r="BL99" s="8" t="e">
        <f t="shared" si="10"/>
        <v>#REF!</v>
      </c>
    </row>
    <row r="100" spans="1:65" ht="13.5" thickBot="1">
      <c r="A100" s="368"/>
      <c r="B100" s="118" t="e">
        <f>'QTY '!#REF!</f>
        <v>#REF!</v>
      </c>
      <c r="AK100" s="105" t="e">
        <f>+'QTY '!#REF!</f>
        <v>#REF!</v>
      </c>
      <c r="AL100" s="105" t="e">
        <f>+'QTY '!#REF!</f>
        <v>#REF!</v>
      </c>
      <c r="AM100" s="105" t="e">
        <f>+'QTY '!#REF!</f>
        <v>#REF!</v>
      </c>
      <c r="AN100" s="105" t="e">
        <f>+'QTY '!#REF!</f>
        <v>#REF!</v>
      </c>
      <c r="AO100" s="105" t="e">
        <f>+'QTY '!#REF!</f>
        <v>#REF!</v>
      </c>
      <c r="BH100" s="8" t="e">
        <f t="shared" si="6"/>
        <v>#REF!</v>
      </c>
      <c r="BI100" s="8" t="e">
        <f t="shared" si="7"/>
        <v>#REF!</v>
      </c>
      <c r="BJ100" s="8" t="e">
        <f t="shared" si="8"/>
        <v>#REF!</v>
      </c>
      <c r="BK100" s="8" t="e">
        <f t="shared" si="9"/>
        <v>#REF!</v>
      </c>
      <c r="BL100" s="8" t="e">
        <f t="shared" si="10"/>
        <v>#REF!</v>
      </c>
    </row>
    <row r="101" spans="1:65" ht="13.5" thickBot="1">
      <c r="A101" s="368"/>
      <c r="B101" s="118" t="e">
        <f>'QTY '!#REF!</f>
        <v>#REF!</v>
      </c>
      <c r="AK101" s="105" t="e">
        <f>+'QTY '!#REF!</f>
        <v>#REF!</v>
      </c>
      <c r="AL101" s="105" t="e">
        <f>+'QTY '!#REF!</f>
        <v>#REF!</v>
      </c>
      <c r="AM101" s="105" t="e">
        <f>+'QTY '!#REF!</f>
        <v>#REF!</v>
      </c>
      <c r="AN101" s="105" t="e">
        <f>+'QTY '!#REF!</f>
        <v>#REF!</v>
      </c>
      <c r="AO101" s="105" t="e">
        <f>+'QTY '!#REF!</f>
        <v>#REF!</v>
      </c>
      <c r="BH101" s="8" t="e">
        <f t="shared" si="6"/>
        <v>#REF!</v>
      </c>
      <c r="BI101" s="8" t="e">
        <f t="shared" si="7"/>
        <v>#REF!</v>
      </c>
      <c r="BJ101" s="8" t="e">
        <f t="shared" si="8"/>
        <v>#REF!</v>
      </c>
      <c r="BK101" s="8" t="e">
        <f t="shared" si="9"/>
        <v>#REF!</v>
      </c>
      <c r="BL101" s="8" t="e">
        <f t="shared" si="10"/>
        <v>#REF!</v>
      </c>
    </row>
    <row r="102" spans="1:65" ht="13.5" thickBot="1">
      <c r="A102" s="368"/>
      <c r="B102" s="118" t="e">
        <f>'QTY '!#REF!</f>
        <v>#REF!</v>
      </c>
      <c r="AK102" s="105" t="e">
        <f>+'QTY '!#REF!</f>
        <v>#REF!</v>
      </c>
      <c r="AL102" s="105" t="e">
        <f>+'QTY '!#REF!</f>
        <v>#REF!</v>
      </c>
      <c r="AM102" s="105" t="e">
        <f>+'QTY '!#REF!</f>
        <v>#REF!</v>
      </c>
      <c r="AN102" s="105" t="e">
        <f>+'QTY '!#REF!</f>
        <v>#REF!</v>
      </c>
      <c r="AO102" s="105" t="e">
        <f>+'QTY '!#REF!</f>
        <v>#REF!</v>
      </c>
      <c r="BH102" s="8" t="e">
        <f t="shared" si="6"/>
        <v>#REF!</v>
      </c>
      <c r="BI102" s="8" t="e">
        <f t="shared" si="7"/>
        <v>#REF!</v>
      </c>
      <c r="BJ102" s="8" t="e">
        <f t="shared" si="8"/>
        <v>#REF!</v>
      </c>
      <c r="BK102" s="8" t="e">
        <f t="shared" si="9"/>
        <v>#REF!</v>
      </c>
      <c r="BL102" s="8" t="e">
        <f t="shared" si="10"/>
        <v>#REF!</v>
      </c>
    </row>
    <row r="103" spans="1:65" ht="13.5" thickBot="1">
      <c r="A103" s="368"/>
      <c r="B103" s="118" t="e">
        <f>'QTY '!#REF!</f>
        <v>#REF!</v>
      </c>
      <c r="AK103" s="105" t="e">
        <f>+'QTY '!#REF!</f>
        <v>#REF!</v>
      </c>
      <c r="AL103" s="105" t="e">
        <f>+'QTY '!#REF!</f>
        <v>#REF!</v>
      </c>
      <c r="AM103" s="105" t="e">
        <f>+'QTY '!#REF!</f>
        <v>#REF!</v>
      </c>
      <c r="AN103" s="105" t="e">
        <f>+'QTY '!#REF!</f>
        <v>#REF!</v>
      </c>
      <c r="AO103" s="105" t="e">
        <f>+'QTY '!#REF!</f>
        <v>#REF!</v>
      </c>
      <c r="BH103" s="8" t="e">
        <f t="shared" si="6"/>
        <v>#REF!</v>
      </c>
      <c r="BI103" s="8" t="e">
        <f t="shared" si="7"/>
        <v>#REF!</v>
      </c>
      <c r="BJ103" s="8" t="e">
        <f t="shared" si="8"/>
        <v>#REF!</v>
      </c>
      <c r="BK103" s="8" t="e">
        <f t="shared" si="9"/>
        <v>#REF!</v>
      </c>
      <c r="BL103" s="8" t="e">
        <f t="shared" si="10"/>
        <v>#REF!</v>
      </c>
    </row>
    <row r="104" spans="1:65" ht="13.5" thickBot="1">
      <c r="A104" s="368"/>
      <c r="B104" s="118" t="e">
        <f>'QTY '!#REF!</f>
        <v>#REF!</v>
      </c>
      <c r="AK104" s="105" t="e">
        <f>+'QTY '!#REF!</f>
        <v>#REF!</v>
      </c>
      <c r="AL104" s="105" t="e">
        <f>+'QTY '!#REF!</f>
        <v>#REF!</v>
      </c>
      <c r="AM104" s="105" t="e">
        <f>+'QTY '!#REF!</f>
        <v>#REF!</v>
      </c>
      <c r="AN104" s="105" t="e">
        <f>+'QTY '!#REF!</f>
        <v>#REF!</v>
      </c>
      <c r="AO104" s="105" t="e">
        <f>+'QTY '!#REF!</f>
        <v>#REF!</v>
      </c>
      <c r="BH104" s="8" t="e">
        <f t="shared" si="6"/>
        <v>#REF!</v>
      </c>
      <c r="BI104" s="8" t="e">
        <f t="shared" si="7"/>
        <v>#REF!</v>
      </c>
      <c r="BJ104" s="8" t="e">
        <f t="shared" si="8"/>
        <v>#REF!</v>
      </c>
      <c r="BK104" s="8" t="e">
        <f t="shared" si="9"/>
        <v>#REF!</v>
      </c>
      <c r="BL104" s="8" t="e">
        <f t="shared" si="10"/>
        <v>#REF!</v>
      </c>
    </row>
    <row r="105" spans="1:65" ht="13.5" thickBot="1">
      <c r="A105" s="368"/>
      <c r="B105" s="27" t="e">
        <f>'QTY '!#REF!</f>
        <v>#REF!</v>
      </c>
      <c r="AK105" s="105" t="e">
        <f>+'QTY '!#REF!</f>
        <v>#REF!</v>
      </c>
      <c r="AL105" s="105" t="e">
        <f>+'QTY '!#REF!</f>
        <v>#REF!</v>
      </c>
      <c r="AM105" s="105" t="e">
        <f>+'QTY '!#REF!</f>
        <v>#REF!</v>
      </c>
      <c r="AN105" s="105" t="e">
        <f>+'QTY '!#REF!</f>
        <v>#REF!</v>
      </c>
      <c r="AO105" s="105" t="e">
        <f>+'QTY '!#REF!</f>
        <v>#REF!</v>
      </c>
      <c r="BH105" s="8" t="e">
        <f t="shared" ref="BH105:BH168" si="12">AK105*$AK$7</f>
        <v>#REF!</v>
      </c>
      <c r="BI105" s="8" t="e">
        <f t="shared" ref="BI105:BI168" si="13">AL105*$AL$7</f>
        <v>#REF!</v>
      </c>
      <c r="BJ105" s="8" t="e">
        <f t="shared" ref="BJ105:BJ168" si="14">AM105*$AM$7</f>
        <v>#REF!</v>
      </c>
      <c r="BK105" s="8" t="e">
        <f t="shared" ref="BK105:BK168" si="15">AN105*$AN$7</f>
        <v>#REF!</v>
      </c>
      <c r="BL105" s="8" t="e">
        <f t="shared" ref="BL105:BL168" si="16">AO105*$AO$7</f>
        <v>#REF!</v>
      </c>
    </row>
    <row r="106" spans="1:65" ht="13.5" thickBot="1">
      <c r="A106" s="368"/>
      <c r="B106" s="27" t="e">
        <f>'QTY '!#REF!</f>
        <v>#REF!</v>
      </c>
      <c r="AK106" s="105" t="e">
        <f>+'QTY '!#REF!</f>
        <v>#REF!</v>
      </c>
      <c r="AL106" s="105" t="e">
        <f>+'QTY '!#REF!</f>
        <v>#REF!</v>
      </c>
      <c r="AM106" s="105" t="e">
        <f>+'QTY '!#REF!</f>
        <v>#REF!</v>
      </c>
      <c r="AN106" s="105" t="e">
        <f>+'QTY '!#REF!</f>
        <v>#REF!</v>
      </c>
      <c r="AO106" s="105" t="e">
        <f>+'QTY '!#REF!</f>
        <v>#REF!</v>
      </c>
      <c r="BH106" s="8" t="e">
        <f t="shared" si="12"/>
        <v>#REF!</v>
      </c>
      <c r="BI106" s="8" t="e">
        <f t="shared" si="13"/>
        <v>#REF!</v>
      </c>
      <c r="BJ106" s="8" t="e">
        <f t="shared" si="14"/>
        <v>#REF!</v>
      </c>
      <c r="BK106" s="8" t="e">
        <f t="shared" si="15"/>
        <v>#REF!</v>
      </c>
      <c r="BL106" s="8" t="e">
        <f t="shared" si="16"/>
        <v>#REF!</v>
      </c>
    </row>
    <row r="107" spans="1:65" ht="13.5" thickBot="1">
      <c r="A107" s="368"/>
      <c r="B107" s="27" t="e">
        <f>'QTY '!#REF!</f>
        <v>#REF!</v>
      </c>
      <c r="AK107" s="105" t="e">
        <f>+'QTY '!#REF!</f>
        <v>#REF!</v>
      </c>
      <c r="AL107" s="105" t="e">
        <f>+'QTY '!#REF!</f>
        <v>#REF!</v>
      </c>
      <c r="AM107" s="105" t="e">
        <f>+'QTY '!#REF!</f>
        <v>#REF!</v>
      </c>
      <c r="AN107" s="105" t="e">
        <f>+'QTY '!#REF!</f>
        <v>#REF!</v>
      </c>
      <c r="AO107" s="105" t="e">
        <f>+'QTY '!#REF!</f>
        <v>#REF!</v>
      </c>
      <c r="BH107" s="8" t="e">
        <f t="shared" si="12"/>
        <v>#REF!</v>
      </c>
      <c r="BI107" s="8" t="e">
        <f t="shared" si="13"/>
        <v>#REF!</v>
      </c>
      <c r="BJ107" s="8" t="e">
        <f t="shared" si="14"/>
        <v>#REF!</v>
      </c>
      <c r="BK107" s="8" t="e">
        <f t="shared" si="15"/>
        <v>#REF!</v>
      </c>
      <c r="BL107" s="8" t="e">
        <f t="shared" si="16"/>
        <v>#REF!</v>
      </c>
    </row>
    <row r="108" spans="1:65" ht="13.5" thickBot="1">
      <c r="A108" s="368"/>
      <c r="B108" s="27" t="e">
        <f>'QTY '!#REF!</f>
        <v>#REF!</v>
      </c>
      <c r="AK108" s="105" t="e">
        <f>+'QTY '!#REF!</f>
        <v>#REF!</v>
      </c>
      <c r="AL108" s="105" t="e">
        <f>+'QTY '!#REF!</f>
        <v>#REF!</v>
      </c>
      <c r="AM108" s="105" t="e">
        <f>+'QTY '!#REF!</f>
        <v>#REF!</v>
      </c>
      <c r="AN108" s="105" t="e">
        <f>+'QTY '!#REF!</f>
        <v>#REF!</v>
      </c>
      <c r="AO108" s="105" t="e">
        <f>+'QTY '!#REF!</f>
        <v>#REF!</v>
      </c>
      <c r="BH108" s="8" t="e">
        <f t="shared" si="12"/>
        <v>#REF!</v>
      </c>
      <c r="BI108" s="8" t="e">
        <f t="shared" si="13"/>
        <v>#REF!</v>
      </c>
      <c r="BJ108" s="8" t="e">
        <f t="shared" si="14"/>
        <v>#REF!</v>
      </c>
      <c r="BK108" s="8" t="e">
        <f t="shared" si="15"/>
        <v>#REF!</v>
      </c>
      <c r="BL108" s="8" t="e">
        <f t="shared" si="16"/>
        <v>#REF!</v>
      </c>
    </row>
    <row r="109" spans="1:65" ht="13.5" thickBot="1">
      <c r="A109" s="368"/>
      <c r="B109" s="27" t="e">
        <f>'QTY '!#REF!</f>
        <v>#REF!</v>
      </c>
      <c r="AK109" s="105" t="e">
        <f>+'QTY '!#REF!</f>
        <v>#REF!</v>
      </c>
      <c r="AL109" s="105" t="e">
        <f>+'QTY '!#REF!</f>
        <v>#REF!</v>
      </c>
      <c r="AM109" s="105" t="e">
        <f>+'QTY '!#REF!</f>
        <v>#REF!</v>
      </c>
      <c r="AN109" s="105" t="e">
        <f>+'QTY '!#REF!</f>
        <v>#REF!</v>
      </c>
      <c r="AO109" s="105" t="e">
        <f>+'QTY '!#REF!</f>
        <v>#REF!</v>
      </c>
      <c r="BH109" s="8" t="e">
        <f t="shared" si="12"/>
        <v>#REF!</v>
      </c>
      <c r="BI109" s="8" t="e">
        <f t="shared" si="13"/>
        <v>#REF!</v>
      </c>
      <c r="BJ109" s="8" t="e">
        <f t="shared" si="14"/>
        <v>#REF!</v>
      </c>
      <c r="BK109" s="8" t="e">
        <f t="shared" si="15"/>
        <v>#REF!</v>
      </c>
      <c r="BL109" s="8" t="e">
        <f t="shared" si="16"/>
        <v>#REF!</v>
      </c>
    </row>
    <row r="110" spans="1:65" ht="13.5" thickBot="1">
      <c r="A110" s="368"/>
      <c r="B110" s="27" t="e">
        <f>'QTY '!#REF!</f>
        <v>#REF!</v>
      </c>
      <c r="AK110" s="105" t="e">
        <f>+'QTY '!#REF!</f>
        <v>#REF!</v>
      </c>
      <c r="AL110" s="105" t="e">
        <f>+'QTY '!#REF!</f>
        <v>#REF!</v>
      </c>
      <c r="AM110" s="105" t="e">
        <f>+'QTY '!#REF!</f>
        <v>#REF!</v>
      </c>
      <c r="AN110" s="105" t="e">
        <f>+'QTY '!#REF!</f>
        <v>#REF!</v>
      </c>
      <c r="AO110" s="105" t="e">
        <f>+'QTY '!#REF!</f>
        <v>#REF!</v>
      </c>
      <c r="BH110" s="8" t="e">
        <f t="shared" si="12"/>
        <v>#REF!</v>
      </c>
      <c r="BI110" s="8" t="e">
        <f t="shared" si="13"/>
        <v>#REF!</v>
      </c>
      <c r="BJ110" s="8" t="e">
        <f t="shared" si="14"/>
        <v>#REF!</v>
      </c>
      <c r="BK110" s="8" t="e">
        <f t="shared" si="15"/>
        <v>#REF!</v>
      </c>
      <c r="BL110" s="8" t="e">
        <f t="shared" si="16"/>
        <v>#REF!</v>
      </c>
    </row>
    <row r="111" spans="1:65" ht="13.5" thickBot="1">
      <c r="A111" s="368"/>
      <c r="B111" s="27" t="e">
        <f>'QTY '!#REF!</f>
        <v>#REF!</v>
      </c>
      <c r="AK111" s="105" t="e">
        <f>+'QTY '!#REF!</f>
        <v>#REF!</v>
      </c>
      <c r="AL111" s="105" t="e">
        <f>+'QTY '!#REF!</f>
        <v>#REF!</v>
      </c>
      <c r="AM111" s="105" t="e">
        <f>+'QTY '!#REF!</f>
        <v>#REF!</v>
      </c>
      <c r="AN111" s="105" t="e">
        <f>+'QTY '!#REF!</f>
        <v>#REF!</v>
      </c>
      <c r="AO111" s="105" t="e">
        <f>+'QTY '!#REF!</f>
        <v>#REF!</v>
      </c>
      <c r="BH111" s="8" t="e">
        <f t="shared" si="12"/>
        <v>#REF!</v>
      </c>
      <c r="BI111" s="8" t="e">
        <f t="shared" si="13"/>
        <v>#REF!</v>
      </c>
      <c r="BJ111" s="8" t="e">
        <f t="shared" si="14"/>
        <v>#REF!</v>
      </c>
      <c r="BK111" s="8" t="e">
        <f t="shared" si="15"/>
        <v>#REF!</v>
      </c>
      <c r="BL111" s="8" t="e">
        <f t="shared" si="16"/>
        <v>#REF!</v>
      </c>
    </row>
    <row r="112" spans="1:65" ht="13.5" thickBot="1">
      <c r="A112" s="368"/>
      <c r="B112" s="27" t="e">
        <f>'QTY '!#REF!</f>
        <v>#REF!</v>
      </c>
      <c r="AK112" s="105" t="e">
        <f>+'QTY '!#REF!</f>
        <v>#REF!</v>
      </c>
      <c r="AL112" s="105" t="e">
        <f>+'QTY '!#REF!</f>
        <v>#REF!</v>
      </c>
      <c r="AM112" s="105" t="e">
        <f>+'QTY '!#REF!</f>
        <v>#REF!</v>
      </c>
      <c r="AN112" s="105" t="e">
        <f>+'QTY '!#REF!</f>
        <v>#REF!</v>
      </c>
      <c r="AO112" s="105" t="e">
        <f>+'QTY '!#REF!</f>
        <v>#REF!</v>
      </c>
      <c r="BH112" s="8" t="e">
        <f t="shared" si="12"/>
        <v>#REF!</v>
      </c>
      <c r="BI112" s="8" t="e">
        <f t="shared" si="13"/>
        <v>#REF!</v>
      </c>
      <c r="BJ112" s="8" t="e">
        <f t="shared" si="14"/>
        <v>#REF!</v>
      </c>
      <c r="BK112" s="8" t="e">
        <f t="shared" si="15"/>
        <v>#REF!</v>
      </c>
      <c r="BL112" s="8" t="e">
        <f t="shared" si="16"/>
        <v>#REF!</v>
      </c>
    </row>
    <row r="113" spans="1:64" ht="13.5" thickBot="1">
      <c r="A113" s="368"/>
      <c r="B113" s="27" t="e">
        <f>'QTY '!#REF!</f>
        <v>#REF!</v>
      </c>
      <c r="AK113" s="105" t="e">
        <f>+'QTY '!#REF!</f>
        <v>#REF!</v>
      </c>
      <c r="AL113" s="105" t="e">
        <f>+'QTY '!#REF!</f>
        <v>#REF!</v>
      </c>
      <c r="AM113" s="105" t="e">
        <f>+'QTY '!#REF!</f>
        <v>#REF!</v>
      </c>
      <c r="AN113" s="105" t="e">
        <f>+'QTY '!#REF!</f>
        <v>#REF!</v>
      </c>
      <c r="AO113" s="105" t="e">
        <f>+'QTY '!#REF!</f>
        <v>#REF!</v>
      </c>
      <c r="BH113" s="8" t="e">
        <f t="shared" si="12"/>
        <v>#REF!</v>
      </c>
      <c r="BI113" s="8" t="e">
        <f t="shared" si="13"/>
        <v>#REF!</v>
      </c>
      <c r="BJ113" s="8" t="e">
        <f t="shared" si="14"/>
        <v>#REF!</v>
      </c>
      <c r="BK113" s="8" t="e">
        <f t="shared" si="15"/>
        <v>#REF!</v>
      </c>
      <c r="BL113" s="8" t="e">
        <f t="shared" si="16"/>
        <v>#REF!</v>
      </c>
    </row>
    <row r="114" spans="1:64" ht="13.5" thickBot="1">
      <c r="A114" s="368"/>
      <c r="B114" s="27" t="e">
        <f>'QTY '!#REF!</f>
        <v>#REF!</v>
      </c>
      <c r="AK114" s="105" t="e">
        <f>+'QTY '!#REF!</f>
        <v>#REF!</v>
      </c>
      <c r="AL114" s="105" t="e">
        <f>+'QTY '!#REF!</f>
        <v>#REF!</v>
      </c>
      <c r="AM114" s="105" t="e">
        <f>+'QTY '!#REF!</f>
        <v>#REF!</v>
      </c>
      <c r="AN114" s="105" t="e">
        <f>+'QTY '!#REF!</f>
        <v>#REF!</v>
      </c>
      <c r="AO114" s="105" t="e">
        <f>+'QTY '!#REF!</f>
        <v>#REF!</v>
      </c>
      <c r="BH114" s="8" t="e">
        <f t="shared" si="12"/>
        <v>#REF!</v>
      </c>
      <c r="BI114" s="8" t="e">
        <f t="shared" si="13"/>
        <v>#REF!</v>
      </c>
      <c r="BJ114" s="8" t="e">
        <f t="shared" si="14"/>
        <v>#REF!</v>
      </c>
      <c r="BK114" s="8" t="e">
        <f t="shared" si="15"/>
        <v>#REF!</v>
      </c>
      <c r="BL114" s="8" t="e">
        <f t="shared" si="16"/>
        <v>#REF!</v>
      </c>
    </row>
    <row r="115" spans="1:64" ht="13.5" thickBot="1">
      <c r="A115" s="368"/>
      <c r="B115" s="27" t="e">
        <f>'QTY '!#REF!</f>
        <v>#REF!</v>
      </c>
      <c r="AK115" s="105" t="e">
        <f>+'QTY '!#REF!</f>
        <v>#REF!</v>
      </c>
      <c r="AL115" s="105" t="e">
        <f>+'QTY '!#REF!</f>
        <v>#REF!</v>
      </c>
      <c r="AM115" s="105" t="e">
        <f>+'QTY '!#REF!</f>
        <v>#REF!</v>
      </c>
      <c r="AN115" s="105" t="e">
        <f>+'QTY '!#REF!</f>
        <v>#REF!</v>
      </c>
      <c r="AO115" s="105" t="e">
        <f>+'QTY '!#REF!</f>
        <v>#REF!</v>
      </c>
      <c r="BH115" s="8" t="e">
        <f t="shared" si="12"/>
        <v>#REF!</v>
      </c>
      <c r="BI115" s="8" t="e">
        <f t="shared" si="13"/>
        <v>#REF!</v>
      </c>
      <c r="BJ115" s="8" t="e">
        <f t="shared" si="14"/>
        <v>#REF!</v>
      </c>
      <c r="BK115" s="8" t="e">
        <f t="shared" si="15"/>
        <v>#REF!</v>
      </c>
      <c r="BL115" s="8" t="e">
        <f t="shared" si="16"/>
        <v>#REF!</v>
      </c>
    </row>
    <row r="116" spans="1:64" ht="13.5" thickBot="1">
      <c r="A116" s="368"/>
      <c r="B116" s="27" t="e">
        <f>'QTY '!#REF!</f>
        <v>#REF!</v>
      </c>
      <c r="AK116" s="105" t="e">
        <f>+'QTY '!#REF!</f>
        <v>#REF!</v>
      </c>
      <c r="AL116" s="105" t="e">
        <f>+'QTY '!#REF!</f>
        <v>#REF!</v>
      </c>
      <c r="AM116" s="105" t="e">
        <f>+'QTY '!#REF!</f>
        <v>#REF!</v>
      </c>
      <c r="AN116" s="105" t="e">
        <f>+'QTY '!#REF!</f>
        <v>#REF!</v>
      </c>
      <c r="AO116" s="105" t="e">
        <f>+'QTY '!#REF!</f>
        <v>#REF!</v>
      </c>
      <c r="BH116" s="8" t="e">
        <f t="shared" si="12"/>
        <v>#REF!</v>
      </c>
      <c r="BI116" s="8" t="e">
        <f t="shared" si="13"/>
        <v>#REF!</v>
      </c>
      <c r="BJ116" s="8" t="e">
        <f t="shared" si="14"/>
        <v>#REF!</v>
      </c>
      <c r="BK116" s="8" t="e">
        <f t="shared" si="15"/>
        <v>#REF!</v>
      </c>
      <c r="BL116" s="8" t="e">
        <f t="shared" si="16"/>
        <v>#REF!</v>
      </c>
    </row>
    <row r="117" spans="1:64" ht="13.5" thickBot="1">
      <c r="A117" s="368"/>
      <c r="B117" s="27" t="e">
        <f>'QTY '!#REF!</f>
        <v>#REF!</v>
      </c>
      <c r="AK117" s="105" t="e">
        <f>+'QTY '!#REF!</f>
        <v>#REF!</v>
      </c>
      <c r="AL117" s="105" t="e">
        <f>+'QTY '!#REF!</f>
        <v>#REF!</v>
      </c>
      <c r="AM117" s="105" t="e">
        <f>+'QTY '!#REF!</f>
        <v>#REF!</v>
      </c>
      <c r="AN117" s="105" t="e">
        <f>+'QTY '!#REF!</f>
        <v>#REF!</v>
      </c>
      <c r="AO117" s="105" t="e">
        <f>+'QTY '!#REF!</f>
        <v>#REF!</v>
      </c>
      <c r="BH117" s="8" t="e">
        <f t="shared" si="12"/>
        <v>#REF!</v>
      </c>
      <c r="BI117" s="8" t="e">
        <f t="shared" si="13"/>
        <v>#REF!</v>
      </c>
      <c r="BJ117" s="8" t="e">
        <f t="shared" si="14"/>
        <v>#REF!</v>
      </c>
      <c r="BK117" s="8" t="e">
        <f t="shared" si="15"/>
        <v>#REF!</v>
      </c>
      <c r="BL117" s="8" t="e">
        <f t="shared" si="16"/>
        <v>#REF!</v>
      </c>
    </row>
    <row r="118" spans="1:64" ht="13.5" thickBot="1">
      <c r="A118" s="368"/>
      <c r="B118" s="27" t="e">
        <f>'QTY '!#REF!</f>
        <v>#REF!</v>
      </c>
      <c r="AK118" s="105" t="e">
        <f>+'QTY '!#REF!</f>
        <v>#REF!</v>
      </c>
      <c r="AL118" s="105" t="e">
        <f>+'QTY '!#REF!</f>
        <v>#REF!</v>
      </c>
      <c r="AM118" s="105" t="e">
        <f>+'QTY '!#REF!</f>
        <v>#REF!</v>
      </c>
      <c r="AN118" s="105" t="e">
        <f>+'QTY '!#REF!</f>
        <v>#REF!</v>
      </c>
      <c r="AO118" s="105" t="e">
        <f>+'QTY '!#REF!</f>
        <v>#REF!</v>
      </c>
      <c r="BH118" s="8" t="e">
        <f t="shared" si="12"/>
        <v>#REF!</v>
      </c>
      <c r="BI118" s="8" t="e">
        <f t="shared" si="13"/>
        <v>#REF!</v>
      </c>
      <c r="BJ118" s="8" t="e">
        <f t="shared" si="14"/>
        <v>#REF!</v>
      </c>
      <c r="BK118" s="8" t="e">
        <f t="shared" si="15"/>
        <v>#REF!</v>
      </c>
      <c r="BL118" s="8" t="e">
        <f t="shared" si="16"/>
        <v>#REF!</v>
      </c>
    </row>
    <row r="119" spans="1:64" ht="13.5" thickBot="1">
      <c r="A119" s="368"/>
      <c r="B119" s="27" t="e">
        <f>'QTY '!#REF!</f>
        <v>#REF!</v>
      </c>
      <c r="AK119" s="105" t="e">
        <f>+'QTY '!#REF!</f>
        <v>#REF!</v>
      </c>
      <c r="AL119" s="105" t="e">
        <f>+'QTY '!#REF!</f>
        <v>#REF!</v>
      </c>
      <c r="AM119" s="105" t="e">
        <f>+'QTY '!#REF!</f>
        <v>#REF!</v>
      </c>
      <c r="AN119" s="105" t="e">
        <f>+'QTY '!#REF!</f>
        <v>#REF!</v>
      </c>
      <c r="AO119" s="105" t="e">
        <f>+'QTY '!#REF!</f>
        <v>#REF!</v>
      </c>
      <c r="BH119" s="8" t="e">
        <f t="shared" si="12"/>
        <v>#REF!</v>
      </c>
      <c r="BI119" s="8" t="e">
        <f t="shared" si="13"/>
        <v>#REF!</v>
      </c>
      <c r="BJ119" s="8" t="e">
        <f t="shared" si="14"/>
        <v>#REF!</v>
      </c>
      <c r="BK119" s="8" t="e">
        <f t="shared" si="15"/>
        <v>#REF!</v>
      </c>
      <c r="BL119" s="8" t="e">
        <f t="shared" si="16"/>
        <v>#REF!</v>
      </c>
    </row>
    <row r="120" spans="1:64" ht="13.5" thickBot="1">
      <c r="A120" s="368"/>
      <c r="B120" s="27" t="e">
        <f>'QTY '!#REF!</f>
        <v>#REF!</v>
      </c>
      <c r="AK120" s="105" t="e">
        <f>+'QTY '!#REF!</f>
        <v>#REF!</v>
      </c>
      <c r="AL120" s="105" t="e">
        <f>+'QTY '!#REF!</f>
        <v>#REF!</v>
      </c>
      <c r="AM120" s="105" t="e">
        <f>+'QTY '!#REF!</f>
        <v>#REF!</v>
      </c>
      <c r="AN120" s="105" t="e">
        <f>+'QTY '!#REF!</f>
        <v>#REF!</v>
      </c>
      <c r="AO120" s="105" t="e">
        <f>+'QTY '!#REF!</f>
        <v>#REF!</v>
      </c>
      <c r="BH120" s="8" t="e">
        <f t="shared" si="12"/>
        <v>#REF!</v>
      </c>
      <c r="BI120" s="8" t="e">
        <f t="shared" si="13"/>
        <v>#REF!</v>
      </c>
      <c r="BJ120" s="8" t="e">
        <f t="shared" si="14"/>
        <v>#REF!</v>
      </c>
      <c r="BK120" s="8" t="e">
        <f t="shared" si="15"/>
        <v>#REF!</v>
      </c>
      <c r="BL120" s="8" t="e">
        <f t="shared" si="16"/>
        <v>#REF!</v>
      </c>
    </row>
    <row r="121" spans="1:64" ht="13.5" thickBot="1">
      <c r="A121" s="368"/>
      <c r="B121" s="27" t="e">
        <f>'QTY '!#REF!</f>
        <v>#REF!</v>
      </c>
      <c r="AK121" s="105" t="e">
        <f>+'QTY '!#REF!</f>
        <v>#REF!</v>
      </c>
      <c r="AL121" s="105" t="e">
        <f>+'QTY '!#REF!</f>
        <v>#REF!</v>
      </c>
      <c r="AM121" s="105" t="e">
        <f>+'QTY '!#REF!</f>
        <v>#REF!</v>
      </c>
      <c r="AN121" s="105" t="e">
        <f>+'QTY '!#REF!</f>
        <v>#REF!</v>
      </c>
      <c r="AO121" s="105" t="e">
        <f>+'QTY '!#REF!</f>
        <v>#REF!</v>
      </c>
      <c r="BH121" s="8" t="e">
        <f t="shared" si="12"/>
        <v>#REF!</v>
      </c>
      <c r="BI121" s="8" t="e">
        <f t="shared" si="13"/>
        <v>#REF!</v>
      </c>
      <c r="BJ121" s="8" t="e">
        <f t="shared" si="14"/>
        <v>#REF!</v>
      </c>
      <c r="BK121" s="8" t="e">
        <f t="shared" si="15"/>
        <v>#REF!</v>
      </c>
      <c r="BL121" s="8" t="e">
        <f t="shared" si="16"/>
        <v>#REF!</v>
      </c>
    </row>
    <row r="122" spans="1:64" ht="13.5" thickBot="1">
      <c r="A122" s="368"/>
      <c r="B122" s="27" t="e">
        <f>'QTY '!#REF!</f>
        <v>#REF!</v>
      </c>
      <c r="AK122" s="105" t="e">
        <f>+'QTY '!#REF!</f>
        <v>#REF!</v>
      </c>
      <c r="AL122" s="105" t="e">
        <f>+'QTY '!#REF!</f>
        <v>#REF!</v>
      </c>
      <c r="AM122" s="105" t="e">
        <f>+'QTY '!#REF!</f>
        <v>#REF!</v>
      </c>
      <c r="AN122" s="105" t="e">
        <f>+'QTY '!#REF!</f>
        <v>#REF!</v>
      </c>
      <c r="AO122" s="105" t="e">
        <f>+'QTY '!#REF!</f>
        <v>#REF!</v>
      </c>
      <c r="BH122" s="8" t="e">
        <f t="shared" si="12"/>
        <v>#REF!</v>
      </c>
      <c r="BI122" s="8" t="e">
        <f t="shared" si="13"/>
        <v>#REF!</v>
      </c>
      <c r="BJ122" s="8" t="e">
        <f t="shared" si="14"/>
        <v>#REF!</v>
      </c>
      <c r="BK122" s="8" t="e">
        <f t="shared" si="15"/>
        <v>#REF!</v>
      </c>
      <c r="BL122" s="8" t="e">
        <f t="shared" si="16"/>
        <v>#REF!</v>
      </c>
    </row>
    <row r="123" spans="1:64" ht="13.5" thickBot="1">
      <c r="A123" s="368"/>
      <c r="B123" s="27" t="e">
        <f>'QTY '!#REF!</f>
        <v>#REF!</v>
      </c>
      <c r="AK123" s="105" t="e">
        <f>+'QTY '!#REF!</f>
        <v>#REF!</v>
      </c>
      <c r="AL123" s="105" t="e">
        <f>+'QTY '!#REF!</f>
        <v>#REF!</v>
      </c>
      <c r="AM123" s="105" t="e">
        <f>+'QTY '!#REF!</f>
        <v>#REF!</v>
      </c>
      <c r="AN123" s="105" t="e">
        <f>+'QTY '!#REF!</f>
        <v>#REF!</v>
      </c>
      <c r="AO123" s="105" t="e">
        <f>+'QTY '!#REF!</f>
        <v>#REF!</v>
      </c>
      <c r="BH123" s="8" t="e">
        <f t="shared" si="12"/>
        <v>#REF!</v>
      </c>
      <c r="BI123" s="8" t="e">
        <f t="shared" si="13"/>
        <v>#REF!</v>
      </c>
      <c r="BJ123" s="8" t="e">
        <f t="shared" si="14"/>
        <v>#REF!</v>
      </c>
      <c r="BK123" s="8" t="e">
        <f t="shared" si="15"/>
        <v>#REF!</v>
      </c>
      <c r="BL123" s="8" t="e">
        <f t="shared" si="16"/>
        <v>#REF!</v>
      </c>
    </row>
    <row r="124" spans="1:64" ht="13.5" thickBot="1">
      <c r="A124" s="368"/>
      <c r="B124" s="27" t="e">
        <f>'QTY '!#REF!</f>
        <v>#REF!</v>
      </c>
      <c r="AK124" s="105" t="e">
        <f>+'QTY '!#REF!</f>
        <v>#REF!</v>
      </c>
      <c r="AL124" s="105" t="e">
        <f>+'QTY '!#REF!</f>
        <v>#REF!</v>
      </c>
      <c r="AM124" s="105" t="e">
        <f>+'QTY '!#REF!</f>
        <v>#REF!</v>
      </c>
      <c r="AN124" s="105" t="e">
        <f>+'QTY '!#REF!</f>
        <v>#REF!</v>
      </c>
      <c r="AO124" s="105" t="e">
        <f>+'QTY '!#REF!</f>
        <v>#REF!</v>
      </c>
      <c r="BH124" s="8" t="e">
        <f t="shared" si="12"/>
        <v>#REF!</v>
      </c>
      <c r="BI124" s="8" t="e">
        <f t="shared" si="13"/>
        <v>#REF!</v>
      </c>
      <c r="BJ124" s="8" t="e">
        <f t="shared" si="14"/>
        <v>#REF!</v>
      </c>
      <c r="BK124" s="8" t="e">
        <f t="shared" si="15"/>
        <v>#REF!</v>
      </c>
      <c r="BL124" s="8" t="e">
        <f t="shared" si="16"/>
        <v>#REF!</v>
      </c>
    </row>
    <row r="125" spans="1:64" ht="13.5" thickBot="1">
      <c r="A125" s="368"/>
      <c r="B125" s="27" t="e">
        <f>'QTY '!#REF!</f>
        <v>#REF!</v>
      </c>
      <c r="AK125" s="105" t="e">
        <f>+'QTY '!#REF!</f>
        <v>#REF!</v>
      </c>
      <c r="AL125" s="105" t="e">
        <f>+'QTY '!#REF!</f>
        <v>#REF!</v>
      </c>
      <c r="AM125" s="105" t="e">
        <f>+'QTY '!#REF!</f>
        <v>#REF!</v>
      </c>
      <c r="AN125" s="105" t="e">
        <f>+'QTY '!#REF!</f>
        <v>#REF!</v>
      </c>
      <c r="AO125" s="105" t="e">
        <f>+'QTY '!#REF!</f>
        <v>#REF!</v>
      </c>
      <c r="BH125" s="8" t="e">
        <f t="shared" si="12"/>
        <v>#REF!</v>
      </c>
      <c r="BI125" s="8" t="e">
        <f t="shared" si="13"/>
        <v>#REF!</v>
      </c>
      <c r="BJ125" s="8" t="e">
        <f t="shared" si="14"/>
        <v>#REF!</v>
      </c>
      <c r="BK125" s="8" t="e">
        <f t="shared" si="15"/>
        <v>#REF!</v>
      </c>
      <c r="BL125" s="8" t="e">
        <f t="shared" si="16"/>
        <v>#REF!</v>
      </c>
    </row>
    <row r="126" spans="1:64" ht="13.5" thickBot="1">
      <c r="A126" s="368"/>
      <c r="B126" s="27" t="e">
        <f>'QTY '!#REF!</f>
        <v>#REF!</v>
      </c>
      <c r="AK126" s="105" t="e">
        <f>+'QTY '!#REF!</f>
        <v>#REF!</v>
      </c>
      <c r="AL126" s="105" t="e">
        <f>+'QTY '!#REF!</f>
        <v>#REF!</v>
      </c>
      <c r="AM126" s="105" t="e">
        <f>+'QTY '!#REF!</f>
        <v>#REF!</v>
      </c>
      <c r="AN126" s="105" t="e">
        <f>+'QTY '!#REF!</f>
        <v>#REF!</v>
      </c>
      <c r="AO126" s="105" t="e">
        <f>+'QTY '!#REF!</f>
        <v>#REF!</v>
      </c>
      <c r="BH126" s="8" t="e">
        <f t="shared" si="12"/>
        <v>#REF!</v>
      </c>
      <c r="BI126" s="8" t="e">
        <f t="shared" si="13"/>
        <v>#REF!</v>
      </c>
      <c r="BJ126" s="8" t="e">
        <f t="shared" si="14"/>
        <v>#REF!</v>
      </c>
      <c r="BK126" s="8" t="e">
        <f t="shared" si="15"/>
        <v>#REF!</v>
      </c>
      <c r="BL126" s="8" t="e">
        <f t="shared" si="16"/>
        <v>#REF!</v>
      </c>
    </row>
    <row r="127" spans="1:64" ht="13.5" thickBot="1">
      <c r="A127" s="369"/>
      <c r="B127" s="27" t="e">
        <f>'QTY '!#REF!</f>
        <v>#REF!</v>
      </c>
      <c r="AK127" s="105" t="e">
        <f>+'QTY '!#REF!</f>
        <v>#REF!</v>
      </c>
      <c r="AL127" s="105" t="e">
        <f>+'QTY '!#REF!</f>
        <v>#REF!</v>
      </c>
      <c r="AM127" s="105" t="e">
        <f>+'QTY '!#REF!</f>
        <v>#REF!</v>
      </c>
      <c r="AN127" s="105" t="e">
        <f>+'QTY '!#REF!</f>
        <v>#REF!</v>
      </c>
      <c r="AO127" s="105" t="e">
        <f>+'QTY '!#REF!</f>
        <v>#REF!</v>
      </c>
      <c r="BH127" s="8" t="e">
        <f t="shared" si="12"/>
        <v>#REF!</v>
      </c>
      <c r="BI127" s="8" t="e">
        <f t="shared" si="13"/>
        <v>#REF!</v>
      </c>
      <c r="BJ127" s="8" t="e">
        <f t="shared" si="14"/>
        <v>#REF!</v>
      </c>
      <c r="BK127" s="8" t="e">
        <f t="shared" si="15"/>
        <v>#REF!</v>
      </c>
      <c r="BL127" s="8" t="e">
        <f t="shared" si="16"/>
        <v>#REF!</v>
      </c>
    </row>
    <row r="128" spans="1:64" ht="13.5" thickBot="1">
      <c r="A128" s="367" t="s">
        <v>31</v>
      </c>
      <c r="B128" s="27" t="e">
        <f>'QTY '!#REF!</f>
        <v>#REF!</v>
      </c>
      <c r="AK128" s="105" t="e">
        <f>+'QTY '!#REF!</f>
        <v>#REF!</v>
      </c>
      <c r="AL128" s="105" t="e">
        <f>+'QTY '!#REF!</f>
        <v>#REF!</v>
      </c>
      <c r="AM128" s="105" t="e">
        <f>+'QTY '!#REF!</f>
        <v>#REF!</v>
      </c>
      <c r="AN128" s="105" t="e">
        <f>+'QTY '!#REF!</f>
        <v>#REF!</v>
      </c>
      <c r="AO128" s="105" t="e">
        <f>+'QTY '!#REF!</f>
        <v>#REF!</v>
      </c>
      <c r="BH128" s="8" t="e">
        <f t="shared" si="12"/>
        <v>#REF!</v>
      </c>
      <c r="BI128" s="8" t="e">
        <f t="shared" si="13"/>
        <v>#REF!</v>
      </c>
      <c r="BJ128" s="8" t="e">
        <f t="shared" si="14"/>
        <v>#REF!</v>
      </c>
      <c r="BK128" s="8" t="e">
        <f t="shared" si="15"/>
        <v>#REF!</v>
      </c>
      <c r="BL128" s="8" t="e">
        <f t="shared" si="16"/>
        <v>#REF!</v>
      </c>
    </row>
    <row r="129" spans="1:64" ht="13.5" thickBot="1">
      <c r="A129" s="368"/>
      <c r="B129" s="27" t="e">
        <f>'QTY '!#REF!</f>
        <v>#REF!</v>
      </c>
      <c r="AK129" s="105" t="e">
        <f>+'QTY '!#REF!</f>
        <v>#REF!</v>
      </c>
      <c r="AL129" s="105" t="e">
        <f>+'QTY '!#REF!</f>
        <v>#REF!</v>
      </c>
      <c r="AM129" s="105" t="e">
        <f>+'QTY '!#REF!</f>
        <v>#REF!</v>
      </c>
      <c r="AN129" s="105" t="e">
        <f>+'QTY '!#REF!</f>
        <v>#REF!</v>
      </c>
      <c r="AO129" s="105" t="e">
        <f>+'QTY '!#REF!</f>
        <v>#REF!</v>
      </c>
      <c r="BH129" s="8" t="e">
        <f t="shared" si="12"/>
        <v>#REF!</v>
      </c>
      <c r="BI129" s="8" t="e">
        <f t="shared" si="13"/>
        <v>#REF!</v>
      </c>
      <c r="BJ129" s="8" t="e">
        <f t="shared" si="14"/>
        <v>#REF!</v>
      </c>
      <c r="BK129" s="8" t="e">
        <f t="shared" si="15"/>
        <v>#REF!</v>
      </c>
      <c r="BL129" s="8" t="e">
        <f t="shared" si="16"/>
        <v>#REF!</v>
      </c>
    </row>
    <row r="130" spans="1:64" ht="13.5" thickBot="1">
      <c r="A130" s="368"/>
      <c r="B130" s="27" t="e">
        <f>'QTY '!#REF!</f>
        <v>#REF!</v>
      </c>
      <c r="AK130" s="105" t="e">
        <f>+'QTY '!#REF!</f>
        <v>#REF!</v>
      </c>
      <c r="AL130" s="105" t="e">
        <f>+'QTY '!#REF!</f>
        <v>#REF!</v>
      </c>
      <c r="AM130" s="105" t="e">
        <f>+'QTY '!#REF!</f>
        <v>#REF!</v>
      </c>
      <c r="AN130" s="105" t="e">
        <f>+'QTY '!#REF!</f>
        <v>#REF!</v>
      </c>
      <c r="AO130" s="105" t="e">
        <f>+'QTY '!#REF!</f>
        <v>#REF!</v>
      </c>
      <c r="BH130" s="8" t="e">
        <f t="shared" si="12"/>
        <v>#REF!</v>
      </c>
      <c r="BI130" s="8" t="e">
        <f t="shared" si="13"/>
        <v>#REF!</v>
      </c>
      <c r="BJ130" s="8" t="e">
        <f t="shared" si="14"/>
        <v>#REF!</v>
      </c>
      <c r="BK130" s="8" t="e">
        <f t="shared" si="15"/>
        <v>#REF!</v>
      </c>
      <c r="BL130" s="8" t="e">
        <f t="shared" si="16"/>
        <v>#REF!</v>
      </c>
    </row>
    <row r="131" spans="1:64" ht="13.5" thickBot="1">
      <c r="A131" s="368"/>
      <c r="B131" s="27" t="e">
        <f>'QTY '!#REF!</f>
        <v>#REF!</v>
      </c>
      <c r="AK131" s="105" t="e">
        <f>+'QTY '!#REF!</f>
        <v>#REF!</v>
      </c>
      <c r="AL131" s="105" t="e">
        <f>+'QTY '!#REF!</f>
        <v>#REF!</v>
      </c>
      <c r="AM131" s="105" t="e">
        <f>+'QTY '!#REF!</f>
        <v>#REF!</v>
      </c>
      <c r="AN131" s="105" t="e">
        <f>+'QTY '!#REF!</f>
        <v>#REF!</v>
      </c>
      <c r="AO131" s="105" t="e">
        <f>+'QTY '!#REF!</f>
        <v>#REF!</v>
      </c>
      <c r="BH131" s="8" t="e">
        <f t="shared" si="12"/>
        <v>#REF!</v>
      </c>
      <c r="BI131" s="8" t="e">
        <f t="shared" si="13"/>
        <v>#REF!</v>
      </c>
      <c r="BJ131" s="8" t="e">
        <f t="shared" si="14"/>
        <v>#REF!</v>
      </c>
      <c r="BK131" s="8" t="e">
        <f t="shared" si="15"/>
        <v>#REF!</v>
      </c>
      <c r="BL131" s="8" t="e">
        <f t="shared" si="16"/>
        <v>#REF!</v>
      </c>
    </row>
    <row r="132" spans="1:64" ht="13.5" thickBot="1">
      <c r="A132" s="368"/>
      <c r="B132" s="27" t="e">
        <f>'QTY '!#REF!</f>
        <v>#REF!</v>
      </c>
      <c r="AK132" s="105" t="e">
        <f>+'QTY '!#REF!</f>
        <v>#REF!</v>
      </c>
      <c r="AL132" s="105" t="e">
        <f>+'QTY '!#REF!</f>
        <v>#REF!</v>
      </c>
      <c r="AM132" s="105" t="e">
        <f>+'QTY '!#REF!</f>
        <v>#REF!</v>
      </c>
      <c r="AN132" s="105" t="e">
        <f>+'QTY '!#REF!</f>
        <v>#REF!</v>
      </c>
      <c r="AO132" s="105" t="e">
        <f>+'QTY '!#REF!</f>
        <v>#REF!</v>
      </c>
      <c r="BH132" s="8" t="e">
        <f t="shared" si="12"/>
        <v>#REF!</v>
      </c>
      <c r="BI132" s="8" t="e">
        <f t="shared" si="13"/>
        <v>#REF!</v>
      </c>
      <c r="BJ132" s="8" t="e">
        <f t="shared" si="14"/>
        <v>#REF!</v>
      </c>
      <c r="BK132" s="8" t="e">
        <f t="shared" si="15"/>
        <v>#REF!</v>
      </c>
      <c r="BL132" s="8" t="e">
        <f t="shared" si="16"/>
        <v>#REF!</v>
      </c>
    </row>
    <row r="133" spans="1:64" ht="13.5" thickBot="1">
      <c r="A133" s="368"/>
      <c r="B133" s="27" t="e">
        <f>'QTY '!#REF!</f>
        <v>#REF!</v>
      </c>
      <c r="AK133" s="105" t="e">
        <f>+'QTY '!#REF!</f>
        <v>#REF!</v>
      </c>
      <c r="AL133" s="105" t="e">
        <f>+'QTY '!#REF!</f>
        <v>#REF!</v>
      </c>
      <c r="AM133" s="105" t="e">
        <f>+'QTY '!#REF!</f>
        <v>#REF!</v>
      </c>
      <c r="AN133" s="105" t="e">
        <f>+'QTY '!#REF!</f>
        <v>#REF!</v>
      </c>
      <c r="AO133" s="105" t="e">
        <f>+'QTY '!#REF!</f>
        <v>#REF!</v>
      </c>
      <c r="BH133" s="8" t="e">
        <f t="shared" si="12"/>
        <v>#REF!</v>
      </c>
      <c r="BI133" s="8" t="e">
        <f t="shared" si="13"/>
        <v>#REF!</v>
      </c>
      <c r="BJ133" s="8" t="e">
        <f t="shared" si="14"/>
        <v>#REF!</v>
      </c>
      <c r="BK133" s="8" t="e">
        <f t="shared" si="15"/>
        <v>#REF!</v>
      </c>
      <c r="BL133" s="8" t="e">
        <f t="shared" si="16"/>
        <v>#REF!</v>
      </c>
    </row>
    <row r="134" spans="1:64" ht="13.5" thickBot="1">
      <c r="A134" s="368"/>
      <c r="B134" s="27" t="e">
        <f>'QTY '!#REF!</f>
        <v>#REF!</v>
      </c>
      <c r="AK134" s="105" t="e">
        <f>+'QTY '!#REF!</f>
        <v>#REF!</v>
      </c>
      <c r="AL134" s="105" t="e">
        <f>+'QTY '!#REF!</f>
        <v>#REF!</v>
      </c>
      <c r="AM134" s="105" t="e">
        <f>+'QTY '!#REF!</f>
        <v>#REF!</v>
      </c>
      <c r="AN134" s="105" t="e">
        <f>+'QTY '!#REF!</f>
        <v>#REF!</v>
      </c>
      <c r="AO134" s="105" t="e">
        <f>+'QTY '!#REF!</f>
        <v>#REF!</v>
      </c>
      <c r="BH134" s="8" t="e">
        <f t="shared" si="12"/>
        <v>#REF!</v>
      </c>
      <c r="BI134" s="8" t="e">
        <f t="shared" si="13"/>
        <v>#REF!</v>
      </c>
      <c r="BJ134" s="8" t="e">
        <f t="shared" si="14"/>
        <v>#REF!</v>
      </c>
      <c r="BK134" s="8" t="e">
        <f t="shared" si="15"/>
        <v>#REF!</v>
      </c>
      <c r="BL134" s="8" t="e">
        <f t="shared" si="16"/>
        <v>#REF!</v>
      </c>
    </row>
    <row r="135" spans="1:64" ht="13.5" thickBot="1">
      <c r="A135" s="368"/>
      <c r="B135" s="27" t="e">
        <f>'QTY '!#REF!</f>
        <v>#REF!</v>
      </c>
      <c r="AK135" s="105" t="e">
        <f>+'QTY '!#REF!</f>
        <v>#REF!</v>
      </c>
      <c r="AL135" s="105" t="e">
        <f>+'QTY '!#REF!</f>
        <v>#REF!</v>
      </c>
      <c r="AM135" s="105" t="e">
        <f>+'QTY '!#REF!</f>
        <v>#REF!</v>
      </c>
      <c r="AN135" s="105" t="e">
        <f>+'QTY '!#REF!</f>
        <v>#REF!</v>
      </c>
      <c r="AO135" s="105" t="e">
        <f>+'QTY '!#REF!</f>
        <v>#REF!</v>
      </c>
      <c r="BH135" s="8" t="e">
        <f t="shared" si="12"/>
        <v>#REF!</v>
      </c>
      <c r="BI135" s="8" t="e">
        <f t="shared" si="13"/>
        <v>#REF!</v>
      </c>
      <c r="BJ135" s="8" t="e">
        <f t="shared" si="14"/>
        <v>#REF!</v>
      </c>
      <c r="BK135" s="8" t="e">
        <f t="shared" si="15"/>
        <v>#REF!</v>
      </c>
      <c r="BL135" s="8" t="e">
        <f t="shared" si="16"/>
        <v>#REF!</v>
      </c>
    </row>
    <row r="136" spans="1:64" ht="13.5" thickBot="1">
      <c r="A136" s="368"/>
      <c r="B136" s="27" t="e">
        <f>'QTY '!#REF!</f>
        <v>#REF!</v>
      </c>
      <c r="AK136" s="105" t="e">
        <f>+'QTY '!#REF!</f>
        <v>#REF!</v>
      </c>
      <c r="AL136" s="105" t="e">
        <f>+'QTY '!#REF!</f>
        <v>#REF!</v>
      </c>
      <c r="AM136" s="105" t="e">
        <f>+'QTY '!#REF!</f>
        <v>#REF!</v>
      </c>
      <c r="AN136" s="105" t="e">
        <f>+'QTY '!#REF!</f>
        <v>#REF!</v>
      </c>
      <c r="AO136" s="105" t="e">
        <f>+'QTY '!#REF!</f>
        <v>#REF!</v>
      </c>
      <c r="BH136" s="8" t="e">
        <f t="shared" si="12"/>
        <v>#REF!</v>
      </c>
      <c r="BI136" s="8" t="e">
        <f t="shared" si="13"/>
        <v>#REF!</v>
      </c>
      <c r="BJ136" s="8" t="e">
        <f t="shared" si="14"/>
        <v>#REF!</v>
      </c>
      <c r="BK136" s="8" t="e">
        <f t="shared" si="15"/>
        <v>#REF!</v>
      </c>
      <c r="BL136" s="8" t="e">
        <f t="shared" si="16"/>
        <v>#REF!</v>
      </c>
    </row>
    <row r="137" spans="1:64" ht="13.5" thickBot="1">
      <c r="A137" s="368"/>
      <c r="B137" s="27" t="e">
        <f>'QTY '!#REF!</f>
        <v>#REF!</v>
      </c>
      <c r="AK137" s="105" t="e">
        <f>+'QTY '!#REF!</f>
        <v>#REF!</v>
      </c>
      <c r="AL137" s="105" t="e">
        <f>+'QTY '!#REF!</f>
        <v>#REF!</v>
      </c>
      <c r="AM137" s="105" t="e">
        <f>+'QTY '!#REF!</f>
        <v>#REF!</v>
      </c>
      <c r="AN137" s="105" t="e">
        <f>+'QTY '!#REF!</f>
        <v>#REF!</v>
      </c>
      <c r="AO137" s="105" t="e">
        <f>+'QTY '!#REF!</f>
        <v>#REF!</v>
      </c>
      <c r="BH137" s="8" t="e">
        <f t="shared" si="12"/>
        <v>#REF!</v>
      </c>
      <c r="BI137" s="8" t="e">
        <f t="shared" si="13"/>
        <v>#REF!</v>
      </c>
      <c r="BJ137" s="8" t="e">
        <f t="shared" si="14"/>
        <v>#REF!</v>
      </c>
      <c r="BK137" s="8" t="e">
        <f t="shared" si="15"/>
        <v>#REF!</v>
      </c>
      <c r="BL137" s="8" t="e">
        <f t="shared" si="16"/>
        <v>#REF!</v>
      </c>
    </row>
    <row r="138" spans="1:64" ht="13.5" thickBot="1">
      <c r="A138" s="368"/>
      <c r="B138" s="27" t="e">
        <f>'QTY '!#REF!</f>
        <v>#REF!</v>
      </c>
      <c r="AK138" s="105" t="e">
        <f>+'QTY '!#REF!</f>
        <v>#REF!</v>
      </c>
      <c r="AL138" s="105" t="e">
        <f>+'QTY '!#REF!</f>
        <v>#REF!</v>
      </c>
      <c r="AM138" s="105" t="e">
        <f>+'QTY '!#REF!</f>
        <v>#REF!</v>
      </c>
      <c r="AN138" s="105" t="e">
        <f>+'QTY '!#REF!</f>
        <v>#REF!</v>
      </c>
      <c r="AO138" s="105" t="e">
        <f>+'QTY '!#REF!</f>
        <v>#REF!</v>
      </c>
      <c r="BH138" s="8" t="e">
        <f t="shared" si="12"/>
        <v>#REF!</v>
      </c>
      <c r="BI138" s="8" t="e">
        <f t="shared" si="13"/>
        <v>#REF!</v>
      </c>
      <c r="BJ138" s="8" t="e">
        <f t="shared" si="14"/>
        <v>#REF!</v>
      </c>
      <c r="BK138" s="8" t="e">
        <f t="shared" si="15"/>
        <v>#REF!</v>
      </c>
      <c r="BL138" s="8" t="e">
        <f t="shared" si="16"/>
        <v>#REF!</v>
      </c>
    </row>
    <row r="139" spans="1:64" ht="13.5" thickBot="1">
      <c r="A139" s="368"/>
      <c r="B139" s="27" t="e">
        <f>'QTY '!#REF!</f>
        <v>#REF!</v>
      </c>
      <c r="AK139" s="105" t="e">
        <f>+'QTY '!#REF!</f>
        <v>#REF!</v>
      </c>
      <c r="AL139" s="105" t="e">
        <f>+'QTY '!#REF!</f>
        <v>#REF!</v>
      </c>
      <c r="AM139" s="105" t="e">
        <f>+'QTY '!#REF!</f>
        <v>#REF!</v>
      </c>
      <c r="AN139" s="105" t="e">
        <f>+'QTY '!#REF!</f>
        <v>#REF!</v>
      </c>
      <c r="AO139" s="105" t="e">
        <f>+'QTY '!#REF!</f>
        <v>#REF!</v>
      </c>
      <c r="BH139" s="8" t="e">
        <f t="shared" si="12"/>
        <v>#REF!</v>
      </c>
      <c r="BI139" s="8" t="e">
        <f t="shared" si="13"/>
        <v>#REF!</v>
      </c>
      <c r="BJ139" s="8" t="e">
        <f t="shared" si="14"/>
        <v>#REF!</v>
      </c>
      <c r="BK139" s="8" t="e">
        <f t="shared" si="15"/>
        <v>#REF!</v>
      </c>
      <c r="BL139" s="8" t="e">
        <f t="shared" si="16"/>
        <v>#REF!</v>
      </c>
    </row>
    <row r="140" spans="1:64" ht="13.5" thickBot="1">
      <c r="A140" s="368"/>
      <c r="B140" s="27" t="e">
        <f>'QTY '!#REF!</f>
        <v>#REF!</v>
      </c>
      <c r="AK140" s="105" t="e">
        <f>+'QTY '!#REF!</f>
        <v>#REF!</v>
      </c>
      <c r="AL140" s="105" t="e">
        <f>+'QTY '!#REF!</f>
        <v>#REF!</v>
      </c>
      <c r="AM140" s="105" t="e">
        <f>+'QTY '!#REF!</f>
        <v>#REF!</v>
      </c>
      <c r="AN140" s="105" t="e">
        <f>+'QTY '!#REF!</f>
        <v>#REF!</v>
      </c>
      <c r="AO140" s="105" t="e">
        <f>+'QTY '!#REF!</f>
        <v>#REF!</v>
      </c>
      <c r="BH140" s="8" t="e">
        <f t="shared" si="12"/>
        <v>#REF!</v>
      </c>
      <c r="BI140" s="8" t="e">
        <f t="shared" si="13"/>
        <v>#REF!</v>
      </c>
      <c r="BJ140" s="8" t="e">
        <f t="shared" si="14"/>
        <v>#REF!</v>
      </c>
      <c r="BK140" s="8" t="e">
        <f t="shared" si="15"/>
        <v>#REF!</v>
      </c>
      <c r="BL140" s="8" t="e">
        <f t="shared" si="16"/>
        <v>#REF!</v>
      </c>
    </row>
    <row r="141" spans="1:64" ht="13.5" thickBot="1">
      <c r="A141" s="368"/>
      <c r="B141" s="27" t="e">
        <f>'QTY '!#REF!</f>
        <v>#REF!</v>
      </c>
      <c r="AK141" s="105" t="e">
        <f>+'QTY '!#REF!</f>
        <v>#REF!</v>
      </c>
      <c r="AL141" s="105" t="e">
        <f>+'QTY '!#REF!</f>
        <v>#REF!</v>
      </c>
      <c r="AM141" s="105" t="e">
        <f>+'QTY '!#REF!</f>
        <v>#REF!</v>
      </c>
      <c r="AN141" s="105" t="e">
        <f>+'QTY '!#REF!</f>
        <v>#REF!</v>
      </c>
      <c r="AO141" s="105" t="e">
        <f>+'QTY '!#REF!</f>
        <v>#REF!</v>
      </c>
      <c r="BH141" s="8" t="e">
        <f t="shared" si="12"/>
        <v>#REF!</v>
      </c>
      <c r="BI141" s="8" t="e">
        <f t="shared" si="13"/>
        <v>#REF!</v>
      </c>
      <c r="BJ141" s="8" t="e">
        <f t="shared" si="14"/>
        <v>#REF!</v>
      </c>
      <c r="BK141" s="8" t="e">
        <f t="shared" si="15"/>
        <v>#REF!</v>
      </c>
      <c r="BL141" s="8" t="e">
        <f t="shared" si="16"/>
        <v>#REF!</v>
      </c>
    </row>
    <row r="142" spans="1:64" ht="13.5" thickBot="1">
      <c r="A142" s="369"/>
      <c r="B142" s="27" t="e">
        <f>'QTY '!#REF!</f>
        <v>#REF!</v>
      </c>
      <c r="AK142" s="105" t="e">
        <f>+'QTY '!#REF!</f>
        <v>#REF!</v>
      </c>
      <c r="AL142" s="105" t="e">
        <f>+'QTY '!#REF!</f>
        <v>#REF!</v>
      </c>
      <c r="AM142" s="105" t="e">
        <f>+'QTY '!#REF!</f>
        <v>#REF!</v>
      </c>
      <c r="AN142" s="105" t="e">
        <f>+'QTY '!#REF!</f>
        <v>#REF!</v>
      </c>
      <c r="AO142" s="105" t="e">
        <f>+'QTY '!#REF!</f>
        <v>#REF!</v>
      </c>
      <c r="BH142" s="8" t="e">
        <f t="shared" si="12"/>
        <v>#REF!</v>
      </c>
      <c r="BI142" s="8" t="e">
        <f t="shared" si="13"/>
        <v>#REF!</v>
      </c>
      <c r="BJ142" s="8" t="e">
        <f t="shared" si="14"/>
        <v>#REF!</v>
      </c>
      <c r="BK142" s="8" t="e">
        <f t="shared" si="15"/>
        <v>#REF!</v>
      </c>
      <c r="BL142" s="8" t="e">
        <f t="shared" si="16"/>
        <v>#REF!</v>
      </c>
    </row>
    <row r="143" spans="1:64" ht="13.5" thickBot="1">
      <c r="A143" s="355" t="s">
        <v>84</v>
      </c>
      <c r="B143" s="27" t="e">
        <f>'QTY '!#REF!</f>
        <v>#REF!</v>
      </c>
      <c r="AK143" s="105" t="e">
        <f>+'QTY '!#REF!</f>
        <v>#REF!</v>
      </c>
      <c r="AL143" s="105" t="e">
        <f>+'QTY '!#REF!</f>
        <v>#REF!</v>
      </c>
      <c r="AM143" s="105" t="e">
        <f>+'QTY '!#REF!</f>
        <v>#REF!</v>
      </c>
      <c r="AN143" s="105" t="e">
        <f>+'QTY '!#REF!</f>
        <v>#REF!</v>
      </c>
      <c r="AO143" s="105" t="e">
        <f>+'QTY '!#REF!</f>
        <v>#REF!</v>
      </c>
      <c r="BH143" s="8" t="e">
        <f t="shared" si="12"/>
        <v>#REF!</v>
      </c>
      <c r="BI143" s="8" t="e">
        <f t="shared" si="13"/>
        <v>#REF!</v>
      </c>
      <c r="BJ143" s="8" t="e">
        <f t="shared" si="14"/>
        <v>#REF!</v>
      </c>
      <c r="BK143" s="8" t="e">
        <f t="shared" si="15"/>
        <v>#REF!</v>
      </c>
      <c r="BL143" s="8" t="e">
        <f t="shared" si="16"/>
        <v>#REF!</v>
      </c>
    </row>
    <row r="144" spans="1:64" ht="13.5" thickBot="1">
      <c r="A144" s="356"/>
      <c r="B144" s="27" t="e">
        <f>'QTY '!#REF!</f>
        <v>#REF!</v>
      </c>
      <c r="AK144" s="105" t="e">
        <f>+'QTY '!#REF!</f>
        <v>#REF!</v>
      </c>
      <c r="AL144" s="105" t="e">
        <f>+'QTY '!#REF!</f>
        <v>#REF!</v>
      </c>
      <c r="AM144" s="105" t="e">
        <f>+'QTY '!#REF!</f>
        <v>#REF!</v>
      </c>
      <c r="AN144" s="105" t="e">
        <f>+'QTY '!#REF!</f>
        <v>#REF!</v>
      </c>
      <c r="AO144" s="105" t="e">
        <f>+'QTY '!#REF!</f>
        <v>#REF!</v>
      </c>
      <c r="BH144" s="8" t="e">
        <f t="shared" si="12"/>
        <v>#REF!</v>
      </c>
      <c r="BI144" s="8" t="e">
        <f t="shared" si="13"/>
        <v>#REF!</v>
      </c>
      <c r="BJ144" s="8" t="e">
        <f t="shared" si="14"/>
        <v>#REF!</v>
      </c>
      <c r="BK144" s="8" t="e">
        <f t="shared" si="15"/>
        <v>#REF!</v>
      </c>
      <c r="BL144" s="8" t="e">
        <f t="shared" si="16"/>
        <v>#REF!</v>
      </c>
    </row>
    <row r="145" spans="1:64" ht="13.5" thickBot="1">
      <c r="A145" s="356"/>
      <c r="B145" s="27" t="e">
        <f>'QTY '!#REF!</f>
        <v>#REF!</v>
      </c>
      <c r="AK145" s="105" t="e">
        <f>+'QTY '!#REF!</f>
        <v>#REF!</v>
      </c>
      <c r="AL145" s="105" t="e">
        <f>+'QTY '!#REF!</f>
        <v>#REF!</v>
      </c>
      <c r="AM145" s="105" t="e">
        <f>+'QTY '!#REF!</f>
        <v>#REF!</v>
      </c>
      <c r="AN145" s="105" t="e">
        <f>+'QTY '!#REF!</f>
        <v>#REF!</v>
      </c>
      <c r="AO145" s="105" t="e">
        <f>+'QTY '!#REF!</f>
        <v>#REF!</v>
      </c>
      <c r="BH145" s="8" t="e">
        <f t="shared" si="12"/>
        <v>#REF!</v>
      </c>
      <c r="BI145" s="8" t="e">
        <f t="shared" si="13"/>
        <v>#REF!</v>
      </c>
      <c r="BJ145" s="8" t="e">
        <f t="shared" si="14"/>
        <v>#REF!</v>
      </c>
      <c r="BK145" s="8" t="e">
        <f t="shared" si="15"/>
        <v>#REF!</v>
      </c>
      <c r="BL145" s="8" t="e">
        <f t="shared" si="16"/>
        <v>#REF!</v>
      </c>
    </row>
    <row r="146" spans="1:64" ht="13.5" thickBot="1">
      <c r="A146" s="357"/>
      <c r="B146" s="27" t="e">
        <f>'QTY '!#REF!</f>
        <v>#REF!</v>
      </c>
      <c r="AK146" s="105" t="e">
        <f>+'QTY '!#REF!</f>
        <v>#REF!</v>
      </c>
      <c r="AL146" s="105" t="e">
        <f>+'QTY '!#REF!</f>
        <v>#REF!</v>
      </c>
      <c r="AM146" s="105" t="e">
        <f>+'QTY '!#REF!</f>
        <v>#REF!</v>
      </c>
      <c r="AN146" s="105" t="e">
        <f>+'QTY '!#REF!</f>
        <v>#REF!</v>
      </c>
      <c r="AO146" s="105" t="e">
        <f>+'QTY '!#REF!</f>
        <v>#REF!</v>
      </c>
      <c r="BH146" s="8" t="e">
        <f t="shared" si="12"/>
        <v>#REF!</v>
      </c>
      <c r="BI146" s="8" t="e">
        <f t="shared" si="13"/>
        <v>#REF!</v>
      </c>
      <c r="BJ146" s="8" t="e">
        <f t="shared" si="14"/>
        <v>#REF!</v>
      </c>
      <c r="BK146" s="8" t="e">
        <f t="shared" si="15"/>
        <v>#REF!</v>
      </c>
      <c r="BL146" s="8" t="e">
        <f t="shared" si="16"/>
        <v>#REF!</v>
      </c>
    </row>
    <row r="147" spans="1:64" ht="13.5" thickBot="1">
      <c r="A147" s="144" t="s">
        <v>91</v>
      </c>
      <c r="B147" s="27" t="e">
        <f>'QTY '!#REF!</f>
        <v>#REF!</v>
      </c>
      <c r="AK147" s="105" t="e">
        <f>+'QTY '!#REF!</f>
        <v>#REF!</v>
      </c>
      <c r="AL147" s="105" t="e">
        <f>+'QTY '!#REF!</f>
        <v>#REF!</v>
      </c>
      <c r="AM147" s="105" t="e">
        <f>+'QTY '!#REF!</f>
        <v>#REF!</v>
      </c>
      <c r="AN147" s="105" t="e">
        <f>+'QTY '!#REF!</f>
        <v>#REF!</v>
      </c>
      <c r="AO147" s="105" t="e">
        <f>+'QTY '!#REF!</f>
        <v>#REF!</v>
      </c>
      <c r="BH147" s="8" t="e">
        <f t="shared" si="12"/>
        <v>#REF!</v>
      </c>
      <c r="BI147" s="8" t="e">
        <f t="shared" si="13"/>
        <v>#REF!</v>
      </c>
      <c r="BJ147" s="8" t="e">
        <f t="shared" si="14"/>
        <v>#REF!</v>
      </c>
      <c r="BK147" s="8" t="e">
        <f t="shared" si="15"/>
        <v>#REF!</v>
      </c>
      <c r="BL147" s="8" t="e">
        <f t="shared" si="16"/>
        <v>#REF!</v>
      </c>
    </row>
    <row r="148" spans="1:64" ht="13.5" thickBot="1">
      <c r="A148" s="358" t="s">
        <v>28</v>
      </c>
      <c r="B148" s="27" t="e">
        <f>'QTY '!#REF!</f>
        <v>#REF!</v>
      </c>
      <c r="AK148" s="105" t="e">
        <f>+'QTY '!#REF!</f>
        <v>#REF!</v>
      </c>
      <c r="AL148" s="105" t="e">
        <f>+'QTY '!#REF!</f>
        <v>#REF!</v>
      </c>
      <c r="AM148" s="105" t="e">
        <f>+'QTY '!#REF!</f>
        <v>#REF!</v>
      </c>
      <c r="AN148" s="105" t="e">
        <f>+'QTY '!#REF!</f>
        <v>#REF!</v>
      </c>
      <c r="AO148" s="105" t="e">
        <f>+'QTY '!#REF!</f>
        <v>#REF!</v>
      </c>
      <c r="BH148" s="8" t="e">
        <f t="shared" si="12"/>
        <v>#REF!</v>
      </c>
      <c r="BI148" s="8" t="e">
        <f t="shared" si="13"/>
        <v>#REF!</v>
      </c>
      <c r="BJ148" s="8" t="e">
        <f t="shared" si="14"/>
        <v>#REF!</v>
      </c>
      <c r="BK148" s="8" t="e">
        <f t="shared" si="15"/>
        <v>#REF!</v>
      </c>
      <c r="BL148" s="8" t="e">
        <f t="shared" si="16"/>
        <v>#REF!</v>
      </c>
    </row>
    <row r="149" spans="1:64" ht="13.5" thickBot="1">
      <c r="A149" s="359"/>
      <c r="B149" s="27" t="e">
        <f>'QTY '!#REF!</f>
        <v>#REF!</v>
      </c>
      <c r="AK149" s="105" t="e">
        <f>+'QTY '!#REF!</f>
        <v>#REF!</v>
      </c>
      <c r="AL149" s="105" t="e">
        <f>+'QTY '!#REF!</f>
        <v>#REF!</v>
      </c>
      <c r="AM149" s="105" t="e">
        <f>+'QTY '!#REF!</f>
        <v>#REF!</v>
      </c>
      <c r="AN149" s="105" t="e">
        <f>+'QTY '!#REF!</f>
        <v>#REF!</v>
      </c>
      <c r="AO149" s="105" t="e">
        <f>+'QTY '!#REF!</f>
        <v>#REF!</v>
      </c>
      <c r="BH149" s="8" t="e">
        <f t="shared" si="12"/>
        <v>#REF!</v>
      </c>
      <c r="BI149" s="8" t="e">
        <f t="shared" si="13"/>
        <v>#REF!</v>
      </c>
      <c r="BJ149" s="8" t="e">
        <f t="shared" si="14"/>
        <v>#REF!</v>
      </c>
      <c r="BK149" s="8" t="e">
        <f t="shared" si="15"/>
        <v>#REF!</v>
      </c>
      <c r="BL149" s="8" t="e">
        <f t="shared" si="16"/>
        <v>#REF!</v>
      </c>
    </row>
    <row r="150" spans="1:64" ht="13.5" thickBot="1">
      <c r="A150" s="359"/>
      <c r="B150" s="27" t="e">
        <f>'QTY '!#REF!</f>
        <v>#REF!</v>
      </c>
      <c r="AK150" s="105" t="e">
        <f>+'QTY '!#REF!</f>
        <v>#REF!</v>
      </c>
      <c r="AL150" s="105" t="e">
        <f>+'QTY '!#REF!</f>
        <v>#REF!</v>
      </c>
      <c r="AM150" s="105" t="e">
        <f>+'QTY '!#REF!</f>
        <v>#REF!</v>
      </c>
      <c r="AN150" s="105" t="e">
        <f>+'QTY '!#REF!</f>
        <v>#REF!</v>
      </c>
      <c r="AO150" s="105" t="e">
        <f>+'QTY '!#REF!</f>
        <v>#REF!</v>
      </c>
      <c r="BH150" s="8" t="e">
        <f t="shared" si="12"/>
        <v>#REF!</v>
      </c>
      <c r="BI150" s="8" t="e">
        <f t="shared" si="13"/>
        <v>#REF!</v>
      </c>
      <c r="BJ150" s="8" t="e">
        <f t="shared" si="14"/>
        <v>#REF!</v>
      </c>
      <c r="BK150" s="8" t="e">
        <f t="shared" si="15"/>
        <v>#REF!</v>
      </c>
      <c r="BL150" s="8" t="e">
        <f t="shared" si="16"/>
        <v>#REF!</v>
      </c>
    </row>
    <row r="151" spans="1:64" ht="13.5" thickBot="1">
      <c r="A151" s="359"/>
      <c r="B151" s="27" t="e">
        <f>'QTY '!#REF!</f>
        <v>#REF!</v>
      </c>
      <c r="AK151" s="105" t="e">
        <f>+'QTY '!#REF!</f>
        <v>#REF!</v>
      </c>
      <c r="AL151" s="105" t="e">
        <f>+'QTY '!#REF!</f>
        <v>#REF!</v>
      </c>
      <c r="AM151" s="105" t="e">
        <f>+'QTY '!#REF!</f>
        <v>#REF!</v>
      </c>
      <c r="AN151" s="105" t="e">
        <f>+'QTY '!#REF!</f>
        <v>#REF!</v>
      </c>
      <c r="AO151" s="105" t="e">
        <f>+'QTY '!#REF!</f>
        <v>#REF!</v>
      </c>
      <c r="BH151" s="8" t="e">
        <f t="shared" si="12"/>
        <v>#REF!</v>
      </c>
      <c r="BI151" s="8" t="e">
        <f t="shared" si="13"/>
        <v>#REF!</v>
      </c>
      <c r="BJ151" s="8" t="e">
        <f t="shared" si="14"/>
        <v>#REF!</v>
      </c>
      <c r="BK151" s="8" t="e">
        <f t="shared" si="15"/>
        <v>#REF!</v>
      </c>
      <c r="BL151" s="8" t="e">
        <f t="shared" si="16"/>
        <v>#REF!</v>
      </c>
    </row>
    <row r="152" spans="1:64" ht="13.5" thickBot="1">
      <c r="A152" s="359"/>
      <c r="B152" s="27" t="e">
        <f>'QTY '!#REF!</f>
        <v>#REF!</v>
      </c>
      <c r="AK152" s="105" t="e">
        <f>+'QTY '!#REF!</f>
        <v>#REF!</v>
      </c>
      <c r="AL152" s="105" t="e">
        <f>+'QTY '!#REF!</f>
        <v>#REF!</v>
      </c>
      <c r="AM152" s="105" t="e">
        <f>+'QTY '!#REF!</f>
        <v>#REF!</v>
      </c>
      <c r="AN152" s="105" t="e">
        <f>+'QTY '!#REF!</f>
        <v>#REF!</v>
      </c>
      <c r="AO152" s="105" t="e">
        <f>+'QTY '!#REF!</f>
        <v>#REF!</v>
      </c>
      <c r="BH152" s="8" t="e">
        <f t="shared" si="12"/>
        <v>#REF!</v>
      </c>
      <c r="BI152" s="8" t="e">
        <f t="shared" si="13"/>
        <v>#REF!</v>
      </c>
      <c r="BJ152" s="8" t="e">
        <f t="shared" si="14"/>
        <v>#REF!</v>
      </c>
      <c r="BK152" s="8" t="e">
        <f t="shared" si="15"/>
        <v>#REF!</v>
      </c>
      <c r="BL152" s="8" t="e">
        <f t="shared" si="16"/>
        <v>#REF!</v>
      </c>
    </row>
    <row r="153" spans="1:64" ht="13.5" thickBot="1">
      <c r="A153" s="359"/>
      <c r="B153" s="27" t="e">
        <f>'QTY '!#REF!</f>
        <v>#REF!</v>
      </c>
      <c r="AK153" s="105" t="e">
        <f>+'QTY '!#REF!</f>
        <v>#REF!</v>
      </c>
      <c r="AL153" s="105" t="e">
        <f>+'QTY '!#REF!</f>
        <v>#REF!</v>
      </c>
      <c r="AM153" s="105" t="e">
        <f>+'QTY '!#REF!</f>
        <v>#REF!</v>
      </c>
      <c r="AN153" s="105" t="e">
        <f>+'QTY '!#REF!</f>
        <v>#REF!</v>
      </c>
      <c r="AO153" s="105" t="e">
        <f>+'QTY '!#REF!</f>
        <v>#REF!</v>
      </c>
      <c r="BH153" s="8" t="e">
        <f t="shared" si="12"/>
        <v>#REF!</v>
      </c>
      <c r="BI153" s="8" t="e">
        <f t="shared" si="13"/>
        <v>#REF!</v>
      </c>
      <c r="BJ153" s="8" t="e">
        <f t="shared" si="14"/>
        <v>#REF!</v>
      </c>
      <c r="BK153" s="8" t="e">
        <f t="shared" si="15"/>
        <v>#REF!</v>
      </c>
      <c r="BL153" s="8" t="e">
        <f t="shared" si="16"/>
        <v>#REF!</v>
      </c>
    </row>
    <row r="154" spans="1:64" ht="13.5" thickBot="1">
      <c r="A154" s="359"/>
      <c r="B154" s="27" t="e">
        <f>'QTY '!#REF!</f>
        <v>#REF!</v>
      </c>
      <c r="AK154" s="105" t="e">
        <f>+'QTY '!#REF!</f>
        <v>#REF!</v>
      </c>
      <c r="AL154" s="105" t="e">
        <f>+'QTY '!#REF!</f>
        <v>#REF!</v>
      </c>
      <c r="AM154" s="105" t="e">
        <f>+'QTY '!#REF!</f>
        <v>#REF!</v>
      </c>
      <c r="AN154" s="105" t="e">
        <f>+'QTY '!#REF!</f>
        <v>#REF!</v>
      </c>
      <c r="AO154" s="105" t="e">
        <f>+'QTY '!#REF!</f>
        <v>#REF!</v>
      </c>
      <c r="BH154" s="8" t="e">
        <f t="shared" si="12"/>
        <v>#REF!</v>
      </c>
      <c r="BI154" s="8" t="e">
        <f t="shared" si="13"/>
        <v>#REF!</v>
      </c>
      <c r="BJ154" s="8" t="e">
        <f t="shared" si="14"/>
        <v>#REF!</v>
      </c>
      <c r="BK154" s="8" t="e">
        <f t="shared" si="15"/>
        <v>#REF!</v>
      </c>
      <c r="BL154" s="8" t="e">
        <f t="shared" si="16"/>
        <v>#REF!</v>
      </c>
    </row>
    <row r="155" spans="1:64" ht="13.5" thickBot="1">
      <c r="A155" s="359"/>
      <c r="B155" s="27" t="e">
        <f>'QTY '!#REF!</f>
        <v>#REF!</v>
      </c>
      <c r="AK155" s="105" t="e">
        <f>+'QTY '!#REF!</f>
        <v>#REF!</v>
      </c>
      <c r="AL155" s="105" t="e">
        <f>+'QTY '!#REF!</f>
        <v>#REF!</v>
      </c>
      <c r="AM155" s="105" t="e">
        <f>+'QTY '!#REF!</f>
        <v>#REF!</v>
      </c>
      <c r="AN155" s="105" t="e">
        <f>+'QTY '!#REF!</f>
        <v>#REF!</v>
      </c>
      <c r="AO155" s="105" t="e">
        <f>+'QTY '!#REF!</f>
        <v>#REF!</v>
      </c>
      <c r="BH155" s="8" t="e">
        <f t="shared" si="12"/>
        <v>#REF!</v>
      </c>
      <c r="BI155" s="8" t="e">
        <f t="shared" si="13"/>
        <v>#REF!</v>
      </c>
      <c r="BJ155" s="8" t="e">
        <f t="shared" si="14"/>
        <v>#REF!</v>
      </c>
      <c r="BK155" s="8" t="e">
        <f t="shared" si="15"/>
        <v>#REF!</v>
      </c>
      <c r="BL155" s="8" t="e">
        <f t="shared" si="16"/>
        <v>#REF!</v>
      </c>
    </row>
    <row r="156" spans="1:64" ht="13.5" thickBot="1">
      <c r="A156" s="359"/>
      <c r="B156" s="27" t="e">
        <f>'QTY '!#REF!</f>
        <v>#REF!</v>
      </c>
      <c r="AK156" s="105" t="e">
        <f>+'QTY '!#REF!</f>
        <v>#REF!</v>
      </c>
      <c r="AL156" s="105" t="e">
        <f>+'QTY '!#REF!</f>
        <v>#REF!</v>
      </c>
      <c r="AM156" s="105" t="e">
        <f>+'QTY '!#REF!</f>
        <v>#REF!</v>
      </c>
      <c r="AN156" s="105" t="e">
        <f>+'QTY '!#REF!</f>
        <v>#REF!</v>
      </c>
      <c r="AO156" s="105" t="e">
        <f>+'QTY '!#REF!</f>
        <v>#REF!</v>
      </c>
      <c r="BH156" s="8" t="e">
        <f t="shared" si="12"/>
        <v>#REF!</v>
      </c>
      <c r="BI156" s="8" t="e">
        <f t="shared" si="13"/>
        <v>#REF!</v>
      </c>
      <c r="BJ156" s="8" t="e">
        <f t="shared" si="14"/>
        <v>#REF!</v>
      </c>
      <c r="BK156" s="8" t="e">
        <f t="shared" si="15"/>
        <v>#REF!</v>
      </c>
      <c r="BL156" s="8" t="e">
        <f t="shared" si="16"/>
        <v>#REF!</v>
      </c>
    </row>
    <row r="157" spans="1:64" ht="13.5" thickBot="1">
      <c r="A157" s="359"/>
      <c r="B157" s="27" t="e">
        <f>'QTY '!#REF!</f>
        <v>#REF!</v>
      </c>
      <c r="AK157" s="105" t="e">
        <f>+'QTY '!#REF!</f>
        <v>#REF!</v>
      </c>
      <c r="AL157" s="105" t="e">
        <f>+'QTY '!#REF!</f>
        <v>#REF!</v>
      </c>
      <c r="AM157" s="105" t="e">
        <f>+'QTY '!#REF!</f>
        <v>#REF!</v>
      </c>
      <c r="AN157" s="105" t="e">
        <f>+'QTY '!#REF!</f>
        <v>#REF!</v>
      </c>
      <c r="AO157" s="105" t="e">
        <f>+'QTY '!#REF!</f>
        <v>#REF!</v>
      </c>
      <c r="BH157" s="8" t="e">
        <f t="shared" si="12"/>
        <v>#REF!</v>
      </c>
      <c r="BI157" s="8" t="e">
        <f t="shared" si="13"/>
        <v>#REF!</v>
      </c>
      <c r="BJ157" s="8" t="e">
        <f t="shared" si="14"/>
        <v>#REF!</v>
      </c>
      <c r="BK157" s="8" t="e">
        <f t="shared" si="15"/>
        <v>#REF!</v>
      </c>
      <c r="BL157" s="8" t="e">
        <f t="shared" si="16"/>
        <v>#REF!</v>
      </c>
    </row>
    <row r="158" spans="1:64" ht="13.5" thickBot="1">
      <c r="A158" s="359"/>
      <c r="B158" s="27" t="e">
        <f>'QTY '!#REF!</f>
        <v>#REF!</v>
      </c>
      <c r="AK158" s="105" t="e">
        <f>+'QTY '!#REF!</f>
        <v>#REF!</v>
      </c>
      <c r="AL158" s="105" t="e">
        <f>+'QTY '!#REF!</f>
        <v>#REF!</v>
      </c>
      <c r="AM158" s="105" t="e">
        <f>+'QTY '!#REF!</f>
        <v>#REF!</v>
      </c>
      <c r="AN158" s="105" t="e">
        <f>+'QTY '!#REF!</f>
        <v>#REF!</v>
      </c>
      <c r="AO158" s="105" t="e">
        <f>+'QTY '!#REF!</f>
        <v>#REF!</v>
      </c>
      <c r="BH158" s="8" t="e">
        <f t="shared" si="12"/>
        <v>#REF!</v>
      </c>
      <c r="BI158" s="8" t="e">
        <f t="shared" si="13"/>
        <v>#REF!</v>
      </c>
      <c r="BJ158" s="8" t="e">
        <f t="shared" si="14"/>
        <v>#REF!</v>
      </c>
      <c r="BK158" s="8" t="e">
        <f t="shared" si="15"/>
        <v>#REF!</v>
      </c>
      <c r="BL158" s="8" t="e">
        <f t="shared" si="16"/>
        <v>#REF!</v>
      </c>
    </row>
    <row r="159" spans="1:64" ht="13.5" thickBot="1">
      <c r="A159" s="359"/>
      <c r="B159" s="27" t="e">
        <f>'QTY '!#REF!</f>
        <v>#REF!</v>
      </c>
      <c r="AK159" s="105" t="e">
        <f>+'QTY '!#REF!</f>
        <v>#REF!</v>
      </c>
      <c r="AL159" s="105" t="e">
        <f>+'QTY '!#REF!</f>
        <v>#REF!</v>
      </c>
      <c r="AM159" s="105" t="e">
        <f>+'QTY '!#REF!</f>
        <v>#REF!</v>
      </c>
      <c r="AN159" s="105" t="e">
        <f>+'QTY '!#REF!</f>
        <v>#REF!</v>
      </c>
      <c r="AO159" s="105" t="e">
        <f>+'QTY '!#REF!</f>
        <v>#REF!</v>
      </c>
      <c r="BH159" s="8" t="e">
        <f t="shared" si="12"/>
        <v>#REF!</v>
      </c>
      <c r="BI159" s="8" t="e">
        <f t="shared" si="13"/>
        <v>#REF!</v>
      </c>
      <c r="BJ159" s="8" t="e">
        <f t="shared" si="14"/>
        <v>#REF!</v>
      </c>
      <c r="BK159" s="8" t="e">
        <f t="shared" si="15"/>
        <v>#REF!</v>
      </c>
      <c r="BL159" s="8" t="e">
        <f t="shared" si="16"/>
        <v>#REF!</v>
      </c>
    </row>
    <row r="160" spans="1:64" ht="13.5" thickBot="1">
      <c r="A160" s="359"/>
      <c r="B160" s="27" t="e">
        <f>'QTY '!#REF!</f>
        <v>#REF!</v>
      </c>
      <c r="AK160" s="105" t="e">
        <f>+'QTY '!#REF!</f>
        <v>#REF!</v>
      </c>
      <c r="AL160" s="105" t="e">
        <f>+'QTY '!#REF!</f>
        <v>#REF!</v>
      </c>
      <c r="AM160" s="105" t="e">
        <f>+'QTY '!#REF!</f>
        <v>#REF!</v>
      </c>
      <c r="AN160" s="105" t="e">
        <f>+'QTY '!#REF!</f>
        <v>#REF!</v>
      </c>
      <c r="AO160" s="105" t="e">
        <f>+'QTY '!#REF!</f>
        <v>#REF!</v>
      </c>
      <c r="BH160" s="8" t="e">
        <f t="shared" si="12"/>
        <v>#REF!</v>
      </c>
      <c r="BI160" s="8" t="e">
        <f t="shared" si="13"/>
        <v>#REF!</v>
      </c>
      <c r="BJ160" s="8" t="e">
        <f t="shared" si="14"/>
        <v>#REF!</v>
      </c>
      <c r="BK160" s="8" t="e">
        <f t="shared" si="15"/>
        <v>#REF!</v>
      </c>
      <c r="BL160" s="8" t="e">
        <f t="shared" si="16"/>
        <v>#REF!</v>
      </c>
    </row>
    <row r="161" spans="1:64" ht="13.5" thickBot="1">
      <c r="A161" s="359"/>
      <c r="B161" s="27" t="e">
        <f>'QTY '!#REF!</f>
        <v>#REF!</v>
      </c>
      <c r="AK161" s="105" t="e">
        <f>+'QTY '!#REF!</f>
        <v>#REF!</v>
      </c>
      <c r="AL161" s="105" t="e">
        <f>+'QTY '!#REF!</f>
        <v>#REF!</v>
      </c>
      <c r="AM161" s="105" t="e">
        <f>+'QTY '!#REF!</f>
        <v>#REF!</v>
      </c>
      <c r="AN161" s="105" t="e">
        <f>+'QTY '!#REF!</f>
        <v>#REF!</v>
      </c>
      <c r="AO161" s="105" t="e">
        <f>+'QTY '!#REF!</f>
        <v>#REF!</v>
      </c>
      <c r="BH161" s="8" t="e">
        <f t="shared" si="12"/>
        <v>#REF!</v>
      </c>
      <c r="BI161" s="8" t="e">
        <f t="shared" si="13"/>
        <v>#REF!</v>
      </c>
      <c r="BJ161" s="8" t="e">
        <f t="shared" si="14"/>
        <v>#REF!</v>
      </c>
      <c r="BK161" s="8" t="e">
        <f t="shared" si="15"/>
        <v>#REF!</v>
      </c>
      <c r="BL161" s="8" t="e">
        <f t="shared" si="16"/>
        <v>#REF!</v>
      </c>
    </row>
    <row r="162" spans="1:64" ht="13.5" thickBot="1">
      <c r="A162" s="359"/>
      <c r="B162" s="27" t="e">
        <f>'QTY '!#REF!</f>
        <v>#REF!</v>
      </c>
      <c r="AK162" s="105" t="e">
        <f>+'QTY '!#REF!</f>
        <v>#REF!</v>
      </c>
      <c r="AL162" s="105" t="e">
        <f>+'QTY '!#REF!</f>
        <v>#REF!</v>
      </c>
      <c r="AM162" s="105" t="e">
        <f>+'QTY '!#REF!</f>
        <v>#REF!</v>
      </c>
      <c r="AN162" s="105" t="e">
        <f>+'QTY '!#REF!</f>
        <v>#REF!</v>
      </c>
      <c r="AO162" s="105" t="e">
        <f>+'QTY '!#REF!</f>
        <v>#REF!</v>
      </c>
      <c r="BH162" s="8" t="e">
        <f t="shared" si="12"/>
        <v>#REF!</v>
      </c>
      <c r="BI162" s="8" t="e">
        <f t="shared" si="13"/>
        <v>#REF!</v>
      </c>
      <c r="BJ162" s="8" t="e">
        <f t="shared" si="14"/>
        <v>#REF!</v>
      </c>
      <c r="BK162" s="8" t="e">
        <f t="shared" si="15"/>
        <v>#REF!</v>
      </c>
      <c r="BL162" s="8" t="e">
        <f t="shared" si="16"/>
        <v>#REF!</v>
      </c>
    </row>
    <row r="163" spans="1:64" ht="13.5" thickBot="1">
      <c r="A163" s="359"/>
      <c r="B163" s="27" t="e">
        <f>'QTY '!#REF!</f>
        <v>#REF!</v>
      </c>
      <c r="AK163" s="105" t="e">
        <f>+'QTY '!#REF!</f>
        <v>#REF!</v>
      </c>
      <c r="AL163" s="105" t="e">
        <f>+'QTY '!#REF!</f>
        <v>#REF!</v>
      </c>
      <c r="AM163" s="105" t="e">
        <f>+'QTY '!#REF!</f>
        <v>#REF!</v>
      </c>
      <c r="AN163" s="105" t="e">
        <f>+'QTY '!#REF!</f>
        <v>#REF!</v>
      </c>
      <c r="AO163" s="105" t="e">
        <f>+'QTY '!#REF!</f>
        <v>#REF!</v>
      </c>
      <c r="BH163" s="8" t="e">
        <f t="shared" si="12"/>
        <v>#REF!</v>
      </c>
      <c r="BI163" s="8" t="e">
        <f t="shared" si="13"/>
        <v>#REF!</v>
      </c>
      <c r="BJ163" s="8" t="e">
        <f t="shared" si="14"/>
        <v>#REF!</v>
      </c>
      <c r="BK163" s="8" t="e">
        <f t="shared" si="15"/>
        <v>#REF!</v>
      </c>
      <c r="BL163" s="8" t="e">
        <f t="shared" si="16"/>
        <v>#REF!</v>
      </c>
    </row>
    <row r="164" spans="1:64" ht="13.5" thickBot="1">
      <c r="A164" s="359"/>
      <c r="B164" s="27" t="e">
        <f>'QTY '!#REF!</f>
        <v>#REF!</v>
      </c>
      <c r="AK164" s="105" t="e">
        <f>+'QTY '!#REF!</f>
        <v>#REF!</v>
      </c>
      <c r="AL164" s="105" t="e">
        <f>+'QTY '!#REF!</f>
        <v>#REF!</v>
      </c>
      <c r="AM164" s="105" t="e">
        <f>+'QTY '!#REF!</f>
        <v>#REF!</v>
      </c>
      <c r="AN164" s="105" t="e">
        <f>+'QTY '!#REF!</f>
        <v>#REF!</v>
      </c>
      <c r="AO164" s="105" t="e">
        <f>+'QTY '!#REF!</f>
        <v>#REF!</v>
      </c>
      <c r="BH164" s="8" t="e">
        <f t="shared" si="12"/>
        <v>#REF!</v>
      </c>
      <c r="BI164" s="8" t="e">
        <f t="shared" si="13"/>
        <v>#REF!</v>
      </c>
      <c r="BJ164" s="8" t="e">
        <f t="shared" si="14"/>
        <v>#REF!</v>
      </c>
      <c r="BK164" s="8" t="e">
        <f t="shared" si="15"/>
        <v>#REF!</v>
      </c>
      <c r="BL164" s="8" t="e">
        <f t="shared" si="16"/>
        <v>#REF!</v>
      </c>
    </row>
    <row r="165" spans="1:64" ht="13.5" thickBot="1">
      <c r="A165" s="359"/>
      <c r="B165" s="27" t="e">
        <f>'QTY '!#REF!</f>
        <v>#REF!</v>
      </c>
      <c r="AK165" s="105" t="e">
        <f>+'QTY '!#REF!</f>
        <v>#REF!</v>
      </c>
      <c r="AL165" s="105" t="e">
        <f>+'QTY '!#REF!</f>
        <v>#REF!</v>
      </c>
      <c r="AM165" s="105" t="e">
        <f>+'QTY '!#REF!</f>
        <v>#REF!</v>
      </c>
      <c r="AN165" s="105" t="e">
        <f>+'QTY '!#REF!</f>
        <v>#REF!</v>
      </c>
      <c r="AO165" s="105" t="e">
        <f>+'QTY '!#REF!</f>
        <v>#REF!</v>
      </c>
      <c r="BH165" s="8" t="e">
        <f t="shared" si="12"/>
        <v>#REF!</v>
      </c>
      <c r="BI165" s="8" t="e">
        <f t="shared" si="13"/>
        <v>#REF!</v>
      </c>
      <c r="BJ165" s="8" t="e">
        <f t="shared" si="14"/>
        <v>#REF!</v>
      </c>
      <c r="BK165" s="8" t="e">
        <f t="shared" si="15"/>
        <v>#REF!</v>
      </c>
      <c r="BL165" s="8" t="e">
        <f t="shared" si="16"/>
        <v>#REF!</v>
      </c>
    </row>
    <row r="166" spans="1:64" ht="13.5" thickBot="1">
      <c r="A166" s="359"/>
      <c r="B166" s="27" t="e">
        <f>'QTY '!#REF!</f>
        <v>#REF!</v>
      </c>
      <c r="AK166" s="105" t="e">
        <f>+'QTY '!#REF!</f>
        <v>#REF!</v>
      </c>
      <c r="AL166" s="105" t="e">
        <f>+'QTY '!#REF!</f>
        <v>#REF!</v>
      </c>
      <c r="AM166" s="105" t="e">
        <f>+'QTY '!#REF!</f>
        <v>#REF!</v>
      </c>
      <c r="AN166" s="105" t="e">
        <f>+'QTY '!#REF!</f>
        <v>#REF!</v>
      </c>
      <c r="AO166" s="105" t="e">
        <f>+'QTY '!#REF!</f>
        <v>#REF!</v>
      </c>
      <c r="BH166" s="8" t="e">
        <f t="shared" si="12"/>
        <v>#REF!</v>
      </c>
      <c r="BI166" s="8" t="e">
        <f t="shared" si="13"/>
        <v>#REF!</v>
      </c>
      <c r="BJ166" s="8" t="e">
        <f t="shared" si="14"/>
        <v>#REF!</v>
      </c>
      <c r="BK166" s="8" t="e">
        <f t="shared" si="15"/>
        <v>#REF!</v>
      </c>
      <c r="BL166" s="8" t="e">
        <f t="shared" si="16"/>
        <v>#REF!</v>
      </c>
    </row>
    <row r="167" spans="1:64" ht="13.5" thickBot="1">
      <c r="A167" s="359"/>
      <c r="B167" s="27" t="e">
        <f>'QTY '!#REF!</f>
        <v>#REF!</v>
      </c>
      <c r="AK167" s="105" t="e">
        <f>+'QTY '!#REF!</f>
        <v>#REF!</v>
      </c>
      <c r="AL167" s="105" t="e">
        <f>+'QTY '!#REF!</f>
        <v>#REF!</v>
      </c>
      <c r="AM167" s="105" t="e">
        <f>+'QTY '!#REF!</f>
        <v>#REF!</v>
      </c>
      <c r="AN167" s="105" t="e">
        <f>+'QTY '!#REF!</f>
        <v>#REF!</v>
      </c>
      <c r="AO167" s="105" t="e">
        <f>+'QTY '!#REF!</f>
        <v>#REF!</v>
      </c>
      <c r="BH167" s="8" t="e">
        <f t="shared" si="12"/>
        <v>#REF!</v>
      </c>
      <c r="BI167" s="8" t="e">
        <f t="shared" si="13"/>
        <v>#REF!</v>
      </c>
      <c r="BJ167" s="8" t="e">
        <f t="shared" si="14"/>
        <v>#REF!</v>
      </c>
      <c r="BK167" s="8" t="e">
        <f t="shared" si="15"/>
        <v>#REF!</v>
      </c>
      <c r="BL167" s="8" t="e">
        <f t="shared" si="16"/>
        <v>#REF!</v>
      </c>
    </row>
    <row r="168" spans="1:64" ht="13.5" thickBot="1">
      <c r="A168" s="359"/>
      <c r="B168" s="27" t="e">
        <f>'QTY '!#REF!</f>
        <v>#REF!</v>
      </c>
      <c r="AK168" s="105" t="e">
        <f>+'QTY '!#REF!</f>
        <v>#REF!</v>
      </c>
      <c r="AL168" s="105" t="e">
        <f>+'QTY '!#REF!</f>
        <v>#REF!</v>
      </c>
      <c r="AM168" s="105" t="e">
        <f>+'QTY '!#REF!</f>
        <v>#REF!</v>
      </c>
      <c r="AN168" s="105" t="e">
        <f>+'QTY '!#REF!</f>
        <v>#REF!</v>
      </c>
      <c r="AO168" s="105" t="e">
        <f>+'QTY '!#REF!</f>
        <v>#REF!</v>
      </c>
      <c r="BH168" s="8" t="e">
        <f t="shared" si="12"/>
        <v>#REF!</v>
      </c>
      <c r="BI168" s="8" t="e">
        <f t="shared" si="13"/>
        <v>#REF!</v>
      </c>
      <c r="BJ168" s="8" t="e">
        <f t="shared" si="14"/>
        <v>#REF!</v>
      </c>
      <c r="BK168" s="8" t="e">
        <f t="shared" si="15"/>
        <v>#REF!</v>
      </c>
      <c r="BL168" s="8" t="e">
        <f t="shared" si="16"/>
        <v>#REF!</v>
      </c>
    </row>
    <row r="169" spans="1:64" ht="13.5" thickBot="1">
      <c r="A169" s="359"/>
      <c r="B169" s="27" t="e">
        <f>'QTY '!#REF!</f>
        <v>#REF!</v>
      </c>
      <c r="AK169" s="105" t="e">
        <f>+'QTY '!#REF!</f>
        <v>#REF!</v>
      </c>
      <c r="AL169" s="105" t="e">
        <f>+'QTY '!#REF!</f>
        <v>#REF!</v>
      </c>
      <c r="AM169" s="105" t="e">
        <f>+'QTY '!#REF!</f>
        <v>#REF!</v>
      </c>
      <c r="AN169" s="105" t="e">
        <f>+'QTY '!#REF!</f>
        <v>#REF!</v>
      </c>
      <c r="AO169" s="105" t="e">
        <f>+'QTY '!#REF!</f>
        <v>#REF!</v>
      </c>
      <c r="BH169" s="8" t="e">
        <f>AK169*$AK$7</f>
        <v>#REF!</v>
      </c>
      <c r="BI169" s="8" t="e">
        <f>AL169*$AL$7</f>
        <v>#REF!</v>
      </c>
      <c r="BJ169" s="8" t="e">
        <f>AM169*$AM$7</f>
        <v>#REF!</v>
      </c>
      <c r="BK169" s="8" t="e">
        <f>AN169*$AN$7</f>
        <v>#REF!</v>
      </c>
      <c r="BL169" s="8" t="e">
        <f>AO169*$AO$7</f>
        <v>#REF!</v>
      </c>
    </row>
    <row r="170" spans="1:64" ht="13.5" thickBot="1">
      <c r="A170" s="360"/>
      <c r="B170" s="27" t="e">
        <f>'QTY '!#REF!</f>
        <v>#REF!</v>
      </c>
      <c r="AK170" s="105" t="e">
        <f>+'QTY '!#REF!</f>
        <v>#REF!</v>
      </c>
      <c r="AL170" s="105" t="e">
        <f>+'QTY '!#REF!</f>
        <v>#REF!</v>
      </c>
      <c r="AM170" s="105" t="e">
        <f>+'QTY '!#REF!</f>
        <v>#REF!</v>
      </c>
      <c r="AN170" s="105" t="e">
        <f>+'QTY '!#REF!</f>
        <v>#REF!</v>
      </c>
      <c r="AO170" s="105" t="e">
        <f>+'QTY '!#REF!</f>
        <v>#REF!</v>
      </c>
      <c r="BH170" s="8" t="e">
        <f>AK170*$AK$7</f>
        <v>#REF!</v>
      </c>
      <c r="BI170" s="8" t="e">
        <f>AL170*$AL$7</f>
        <v>#REF!</v>
      </c>
      <c r="BJ170" s="8" t="e">
        <f>AM170*$AM$7</f>
        <v>#REF!</v>
      </c>
      <c r="BK170" s="8" t="e">
        <f>AN170*$AN$7</f>
        <v>#REF!</v>
      </c>
      <c r="BL170" s="8" t="e">
        <f>AO170*$AO$7</f>
        <v>#REF!</v>
      </c>
    </row>
    <row r="171" spans="1:64" ht="13.5" thickBot="1">
      <c r="B171" s="27" t="e">
        <f>'QTY '!#REF!</f>
        <v>#REF!</v>
      </c>
      <c r="AK171" s="105" t="e">
        <f>+'QTY '!#REF!</f>
        <v>#REF!</v>
      </c>
      <c r="AL171" s="105" t="e">
        <f>+'QTY '!#REF!</f>
        <v>#REF!</v>
      </c>
      <c r="AM171" s="105" t="e">
        <f>+'QTY '!#REF!</f>
        <v>#REF!</v>
      </c>
      <c r="AN171" s="105" t="e">
        <f>+'QTY '!#REF!</f>
        <v>#REF!</v>
      </c>
      <c r="AO171" s="105" t="e">
        <f>+'QTY '!#REF!</f>
        <v>#REF!</v>
      </c>
      <c r="BH171" s="8" t="e">
        <f>AK171*$AK$7</f>
        <v>#REF!</v>
      </c>
      <c r="BI171" s="8" t="e">
        <f>AL171*$AL$7</f>
        <v>#REF!</v>
      </c>
      <c r="BJ171" s="8" t="e">
        <f>AM171*$AM$7</f>
        <v>#REF!</v>
      </c>
      <c r="BK171" s="8" t="e">
        <f>AN171*$AN$7</f>
        <v>#REF!</v>
      </c>
      <c r="BL171" s="8" t="e">
        <f>AO171*$AO$7</f>
        <v>#REF!</v>
      </c>
    </row>
    <row r="172" spans="1:64" ht="13.5" thickBot="1">
      <c r="B172" s="27" t="e">
        <f>'QTY '!#REF!</f>
        <v>#REF!</v>
      </c>
      <c r="AK172" s="105" t="e">
        <f>+'QTY '!#REF!</f>
        <v>#REF!</v>
      </c>
      <c r="AL172" s="105" t="e">
        <f>+'QTY '!#REF!</f>
        <v>#REF!</v>
      </c>
      <c r="AM172" s="105" t="e">
        <f>+'QTY '!#REF!</f>
        <v>#REF!</v>
      </c>
      <c r="AN172" s="105" t="e">
        <f>+'QTY '!#REF!</f>
        <v>#REF!</v>
      </c>
      <c r="AO172" s="105" t="e">
        <f>+'QTY '!#REF!</f>
        <v>#REF!</v>
      </c>
    </row>
    <row r="173" spans="1:64" ht="13.5" thickBot="1">
      <c r="B173" s="27" t="e">
        <f>'QTY '!#REF!</f>
        <v>#REF!</v>
      </c>
      <c r="AK173" s="105" t="e">
        <f>+'QTY '!#REF!</f>
        <v>#REF!</v>
      </c>
      <c r="AL173" s="105" t="e">
        <f>+'QTY '!#REF!</f>
        <v>#REF!</v>
      </c>
      <c r="AM173" s="105" t="e">
        <f>+'QTY '!#REF!</f>
        <v>#REF!</v>
      </c>
      <c r="AN173" s="105" t="e">
        <f>+'QTY '!#REF!</f>
        <v>#REF!</v>
      </c>
      <c r="AO173" s="105" t="e">
        <f>+'QTY '!#REF!</f>
        <v>#REF!</v>
      </c>
    </row>
    <row r="174" spans="1:64" ht="13.5" thickBot="1">
      <c r="B174" s="27" t="e">
        <f>'QTY '!#REF!</f>
        <v>#REF!</v>
      </c>
      <c r="AK174" s="105" t="e">
        <f>+'QTY '!#REF!</f>
        <v>#REF!</v>
      </c>
      <c r="AL174" s="105" t="e">
        <f>+'QTY '!#REF!</f>
        <v>#REF!</v>
      </c>
      <c r="AM174" s="105" t="e">
        <f>+'QTY '!#REF!</f>
        <v>#REF!</v>
      </c>
      <c r="AN174" s="105" t="e">
        <f>+'QTY '!#REF!</f>
        <v>#REF!</v>
      </c>
      <c r="AO174" s="105" t="e">
        <f>+'QTY '!#REF!</f>
        <v>#REF!</v>
      </c>
    </row>
    <row r="175" spans="1:64" ht="13.5" thickBot="1">
      <c r="B175" s="27" t="e">
        <f>'QTY '!#REF!</f>
        <v>#REF!</v>
      </c>
      <c r="AK175" s="105" t="e">
        <f>+'QTY '!#REF!</f>
        <v>#REF!</v>
      </c>
      <c r="AL175" s="105" t="e">
        <f>+'QTY '!#REF!</f>
        <v>#REF!</v>
      </c>
      <c r="AM175" s="105" t="e">
        <f>+'QTY '!#REF!</f>
        <v>#REF!</v>
      </c>
      <c r="AN175" s="105" t="e">
        <f>+'QTY '!#REF!</f>
        <v>#REF!</v>
      </c>
      <c r="AO175" s="105" t="e">
        <f>+'QTY '!#REF!</f>
        <v>#REF!</v>
      </c>
    </row>
    <row r="176" spans="1:64" ht="13.5" thickBot="1">
      <c r="B176" s="27" t="e">
        <f>'QTY '!#REF!</f>
        <v>#REF!</v>
      </c>
      <c r="AK176" s="105" t="e">
        <f>+'QTY '!#REF!</f>
        <v>#REF!</v>
      </c>
      <c r="AL176" s="105" t="e">
        <f>+'QTY '!#REF!</f>
        <v>#REF!</v>
      </c>
      <c r="AM176" s="105" t="e">
        <f>+'QTY '!#REF!</f>
        <v>#REF!</v>
      </c>
      <c r="AN176" s="105" t="e">
        <f>+'QTY '!#REF!</f>
        <v>#REF!</v>
      </c>
      <c r="AO176" s="105" t="e">
        <f>+'QTY '!#REF!</f>
        <v>#REF!</v>
      </c>
    </row>
    <row r="177" spans="2:64" ht="13.5" thickBot="1">
      <c r="B177" s="27" t="e">
        <f>'QTY '!#REF!</f>
        <v>#REF!</v>
      </c>
      <c r="AK177" s="105" t="e">
        <f>+'QTY '!#REF!</f>
        <v>#REF!</v>
      </c>
      <c r="AL177" s="105" t="e">
        <f>+'QTY '!#REF!</f>
        <v>#REF!</v>
      </c>
      <c r="AM177" s="105" t="e">
        <f>+'QTY '!#REF!</f>
        <v>#REF!</v>
      </c>
      <c r="AN177" s="105" t="e">
        <f>+'QTY '!#REF!</f>
        <v>#REF!</v>
      </c>
      <c r="AO177" s="105" t="e">
        <f>+'QTY '!#REF!</f>
        <v>#REF!</v>
      </c>
    </row>
    <row r="178" spans="2:64" ht="13.5" thickBot="1">
      <c r="B178" s="27" t="e">
        <f>'QTY '!#REF!</f>
        <v>#REF!</v>
      </c>
      <c r="AK178" s="56" t="e">
        <f>+'QTY '!#REF!</f>
        <v>#REF!</v>
      </c>
      <c r="AL178" s="56" t="e">
        <f>+'QTY '!#REF!</f>
        <v>#REF!</v>
      </c>
      <c r="AM178" s="56" t="e">
        <f>+'QTY '!#REF!</f>
        <v>#REF!</v>
      </c>
      <c r="AN178" s="56" t="e">
        <f>+'QTY '!#REF!</f>
        <v>#REF!</v>
      </c>
      <c r="AO178" s="56" t="e">
        <f>+'QTY '!#REF!</f>
        <v>#REF!</v>
      </c>
    </row>
    <row r="179" spans="2:64" ht="13.5" thickBot="1">
      <c r="B179" s="145" t="e">
        <f>'QTY '!#REF!</f>
        <v>#REF!</v>
      </c>
      <c r="C179" s="146"/>
      <c r="D179" s="146"/>
      <c r="E179" s="146"/>
      <c r="F179" s="146"/>
      <c r="G179" s="146"/>
      <c r="H179" s="146"/>
      <c r="I179" s="146"/>
      <c r="J179" s="146"/>
      <c r="K179" s="146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  <c r="AA179" s="146"/>
      <c r="AB179" s="146"/>
      <c r="AC179" s="147"/>
      <c r="AD179" s="147"/>
      <c r="AE179" s="148"/>
      <c r="AF179" s="148"/>
      <c r="AG179" s="148"/>
      <c r="AH179" s="148"/>
      <c r="AI179" s="148"/>
      <c r="AJ179" s="148"/>
      <c r="AK179" s="149" t="e">
        <f>+'QTY '!#REF!</f>
        <v>#REF!</v>
      </c>
      <c r="AL179" s="149" t="e">
        <f>+'QTY '!#REF!</f>
        <v>#REF!</v>
      </c>
      <c r="AM179" s="149" t="e">
        <f>+'QTY '!#REF!</f>
        <v>#REF!</v>
      </c>
      <c r="AN179" s="149" t="e">
        <f>+'QTY '!#REF!</f>
        <v>#REF!</v>
      </c>
      <c r="AO179" s="149" t="e">
        <f>+'QTY '!#REF!</f>
        <v>#REF!</v>
      </c>
    </row>
    <row r="180" spans="2:64" ht="13.5" thickBot="1">
      <c r="B180" s="145" t="e">
        <f>'QTY '!#REF!</f>
        <v>#REF!</v>
      </c>
      <c r="C180" s="146"/>
      <c r="D180" s="146"/>
      <c r="E180" s="146"/>
      <c r="F180" s="146"/>
      <c r="G180" s="146"/>
      <c r="H180" s="146"/>
      <c r="I180" s="146"/>
      <c r="J180" s="146"/>
      <c r="K180" s="146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  <c r="AA180" s="146"/>
      <c r="AB180" s="146"/>
      <c r="AC180" s="147"/>
      <c r="AD180" s="147"/>
      <c r="AE180" s="148"/>
      <c r="AF180" s="148"/>
      <c r="AG180" s="148"/>
      <c r="AH180" s="148"/>
      <c r="AI180" s="148"/>
      <c r="AJ180" s="148"/>
      <c r="AK180" s="148" t="e">
        <f>+'QTY '!#REF!</f>
        <v>#REF!</v>
      </c>
      <c r="AL180" s="148" t="e">
        <f>+'QTY '!#REF!</f>
        <v>#REF!</v>
      </c>
      <c r="AM180" s="148" t="e">
        <f>+'QTY '!#REF!</f>
        <v>#REF!</v>
      </c>
      <c r="AN180" s="148" t="e">
        <f>+'QTY '!#REF!</f>
        <v>#REF!</v>
      </c>
      <c r="AO180" s="148" t="e">
        <f>+'QTY '!#REF!</f>
        <v>#REF!</v>
      </c>
    </row>
    <row r="181" spans="2:64" ht="13.5" thickBot="1">
      <c r="B181" s="27" t="e">
        <f>'QTY '!#REF!</f>
        <v>#REF!</v>
      </c>
      <c r="AK181" s="105" t="e">
        <f>+'QTY '!#REF!</f>
        <v>#REF!</v>
      </c>
      <c r="AL181" s="105" t="e">
        <f>+'QTY '!#REF!</f>
        <v>#REF!</v>
      </c>
      <c r="AM181" s="105" t="e">
        <f>+'QTY '!#REF!</f>
        <v>#REF!</v>
      </c>
      <c r="AN181" s="105" t="e">
        <f>+'QTY '!#REF!</f>
        <v>#REF!</v>
      </c>
      <c r="AO181" s="105" t="e">
        <f>+'QTY '!#REF!</f>
        <v>#REF!</v>
      </c>
      <c r="BH181" s="8" t="e">
        <f>AK181*$AK$7</f>
        <v>#REF!</v>
      </c>
      <c r="BI181" s="8" t="e">
        <f>AL181*$AL$7</f>
        <v>#REF!</v>
      </c>
      <c r="BJ181" s="8" t="e">
        <f>AM181*$AM$7</f>
        <v>#REF!</v>
      </c>
      <c r="BK181" s="8" t="e">
        <f>AN181*$AN$7</f>
        <v>#REF!</v>
      </c>
      <c r="BL181" s="8" t="e">
        <f>AO181*$AO$7</f>
        <v>#REF!</v>
      </c>
    </row>
    <row r="182" spans="2:64" ht="13.5" thickBot="1">
      <c r="B182" s="27" t="e">
        <f>'QTY '!#REF!</f>
        <v>#REF!</v>
      </c>
      <c r="AK182" s="105" t="e">
        <f>+'QTY '!#REF!</f>
        <v>#REF!</v>
      </c>
      <c r="AL182" s="105" t="e">
        <f>+'QTY '!#REF!</f>
        <v>#REF!</v>
      </c>
      <c r="AM182" s="105" t="e">
        <f>+'QTY '!#REF!</f>
        <v>#REF!</v>
      </c>
      <c r="AN182" s="105" t="e">
        <f>+'QTY '!#REF!</f>
        <v>#REF!</v>
      </c>
      <c r="AO182" s="105" t="e">
        <f>+'QTY '!#REF!</f>
        <v>#REF!</v>
      </c>
      <c r="BH182" s="8" t="e">
        <f>AK182*$AK$7</f>
        <v>#REF!</v>
      </c>
      <c r="BI182" s="8" t="e">
        <f>AL182*$AL$7</f>
        <v>#REF!</v>
      </c>
      <c r="BJ182" s="8" t="e">
        <f>AM182*$AM$7</f>
        <v>#REF!</v>
      </c>
      <c r="BK182" s="8" t="e">
        <f>AN182*$AN$7</f>
        <v>#REF!</v>
      </c>
      <c r="BL182" s="8" t="e">
        <f>AO182*$AO$7</f>
        <v>#REF!</v>
      </c>
    </row>
  </sheetData>
  <mergeCells count="87">
    <mergeCell ref="A6:A8"/>
    <mergeCell ref="B6:B8"/>
    <mergeCell ref="C17:F17"/>
    <mergeCell ref="C30:D30"/>
    <mergeCell ref="C19:F19"/>
    <mergeCell ref="A10:A16"/>
    <mergeCell ref="A17:A34"/>
    <mergeCell ref="S27:U27"/>
    <mergeCell ref="Y27:AA27"/>
    <mergeCell ref="M27:O27"/>
    <mergeCell ref="Y31:AA31"/>
    <mergeCell ref="G31:I31"/>
    <mergeCell ref="J31:L31"/>
    <mergeCell ref="M31:O31"/>
    <mergeCell ref="P31:R31"/>
    <mergeCell ref="S31:U31"/>
    <mergeCell ref="V31:X31"/>
    <mergeCell ref="V27:X27"/>
    <mergeCell ref="P27:R27"/>
    <mergeCell ref="J27:L27"/>
    <mergeCell ref="Y21:AA21"/>
    <mergeCell ref="Y19:AA19"/>
    <mergeCell ref="Y20:AA20"/>
    <mergeCell ref="P19:R19"/>
    <mergeCell ref="P21:R21"/>
    <mergeCell ref="V19:X19"/>
    <mergeCell ref="P20:R20"/>
    <mergeCell ref="S19:U19"/>
    <mergeCell ref="V20:X20"/>
    <mergeCell ref="V21:X21"/>
    <mergeCell ref="S21:U21"/>
    <mergeCell ref="S20:U20"/>
    <mergeCell ref="AA1:AB1"/>
    <mergeCell ref="AA4:AB4"/>
    <mergeCell ref="Y6:AA6"/>
    <mergeCell ref="V7:X7"/>
    <mergeCell ref="Y7:AA7"/>
    <mergeCell ref="Y1:Z1"/>
    <mergeCell ref="AB6:AB8"/>
    <mergeCell ref="Y4:Z4"/>
    <mergeCell ref="AA2:AB3"/>
    <mergeCell ref="Y2:Z3"/>
    <mergeCell ref="J1:Q1"/>
    <mergeCell ref="J2:Q2"/>
    <mergeCell ref="J3:Q3"/>
    <mergeCell ref="P6:R6"/>
    <mergeCell ref="J6:L6"/>
    <mergeCell ref="M6:O6"/>
    <mergeCell ref="F5:G5"/>
    <mergeCell ref="F6:F8"/>
    <mergeCell ref="AO4:AO5"/>
    <mergeCell ref="G6:I6"/>
    <mergeCell ref="E6:E8"/>
    <mergeCell ref="S6:U6"/>
    <mergeCell ref="V6:X6"/>
    <mergeCell ref="S7:U7"/>
    <mergeCell ref="P7:R7"/>
    <mergeCell ref="J7:L7"/>
    <mergeCell ref="M7:O7"/>
    <mergeCell ref="M19:O19"/>
    <mergeCell ref="G19:I19"/>
    <mergeCell ref="D6:D8"/>
    <mergeCell ref="M21:O21"/>
    <mergeCell ref="C27:F27"/>
    <mergeCell ref="J19:L19"/>
    <mergeCell ref="J21:L21"/>
    <mergeCell ref="G21:I21"/>
    <mergeCell ref="G20:I20"/>
    <mergeCell ref="J20:L20"/>
    <mergeCell ref="G7:I7"/>
    <mergeCell ref="G27:I27"/>
    <mergeCell ref="C18:F18"/>
    <mergeCell ref="C21:F21"/>
    <mergeCell ref="C20:F20"/>
    <mergeCell ref="C6:C8"/>
    <mergeCell ref="M20:O20"/>
    <mergeCell ref="A143:A146"/>
    <mergeCell ref="A148:A170"/>
    <mergeCell ref="A35:A43"/>
    <mergeCell ref="A44:A64"/>
    <mergeCell ref="A65:A95"/>
    <mergeCell ref="A96:A98"/>
    <mergeCell ref="A99:A127"/>
    <mergeCell ref="A128:A142"/>
    <mergeCell ref="C28:F28"/>
    <mergeCell ref="C33:F33"/>
    <mergeCell ref="C29:F29"/>
  </mergeCells>
  <phoneticPr fontId="5" type="noConversion"/>
  <conditionalFormatting sqref="AE10:AE81">
    <cfRule type="cellIs" dxfId="5" priority="65" stopIfTrue="1" operator="equal">
      <formula>$AQ10</formula>
    </cfRule>
  </conditionalFormatting>
  <conditionalFormatting sqref="AH10:AH81 AK10:AO104">
    <cfRule type="cellIs" dxfId="4" priority="66" stopIfTrue="1" operator="equal">
      <formula>$AT10</formula>
    </cfRule>
  </conditionalFormatting>
  <conditionalFormatting sqref="AI10:AJ81 AF10:AG81">
    <cfRule type="cellIs" dxfId="3" priority="70" stopIfTrue="1" operator="equal">
      <formula>$AQ$10</formula>
    </cfRule>
  </conditionalFormatting>
  <conditionalFormatting sqref="AK105:AO177">
    <cfRule type="cellIs" dxfId="2" priority="3" stopIfTrue="1" operator="equal">
      <formula>$AT105</formula>
    </cfRule>
  </conditionalFormatting>
  <conditionalFormatting sqref="AK179:AO179">
    <cfRule type="cellIs" dxfId="1" priority="2" stopIfTrue="1" operator="equal">
      <formula>$AT179</formula>
    </cfRule>
  </conditionalFormatting>
  <conditionalFormatting sqref="AK181:AO182">
    <cfRule type="cellIs" dxfId="0" priority="1" stopIfTrue="1" operator="equal">
      <formula>$AT181</formula>
    </cfRule>
  </conditionalFormatting>
  <printOptions horizontalCentered="1"/>
  <pageMargins left="0" right="0" top="0.5" bottom="0.25" header="0.300787401575" footer="0.25"/>
  <pageSetup paperSize="9" scale="58" orientation="portrait" r:id="rId1"/>
  <headerFooter alignWithMargins="0">
    <oddHeader>&amp;LPT. JATIM AUTOCOMP INDONESIA</oddHeader>
    <oddFooter>&amp;LSIX MONTH PRODUCTION PLAN.xls&amp;R&amp;"Times New Roman,Regular"&amp;9&amp;P / 4</oddFooter>
  </headerFooter>
  <rowBreaks count="2" manualBreakCount="2">
    <brk id="82" max="63" man="1"/>
    <brk id="182" max="6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QTY </vt:lpstr>
      <vt:lpstr>GUM UMH</vt:lpstr>
      <vt:lpstr>AS400 JEMBATAN</vt:lpstr>
      <vt:lpstr>AS400 TRANSFER</vt:lpstr>
      <vt:lpstr>WEEK</vt:lpstr>
      <vt:lpstr>AS400</vt:lpstr>
      <vt:lpstr>'AS400'!Print_Area</vt:lpstr>
      <vt:lpstr>'GUM UMH'!Print_Area</vt:lpstr>
      <vt:lpstr>'QTY '!Print_Area</vt:lpstr>
      <vt:lpstr>'AS400'!Print_Titles</vt:lpstr>
      <vt:lpstr>'GUM UMH'!Print_Titles</vt:lpstr>
      <vt:lpstr>'QTY '!Print_Titles</vt:lpstr>
    </vt:vector>
  </TitlesOfParts>
  <Company>PT. Jatim Autocomp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 Budi Susanto</dc:creator>
  <cp:lastModifiedBy>Evi Ainur R.</cp:lastModifiedBy>
  <cp:lastPrinted>2023-06-30T10:34:37Z</cp:lastPrinted>
  <dcterms:created xsi:type="dcterms:W3CDTF">1998-07-02T08:12:14Z</dcterms:created>
  <dcterms:modified xsi:type="dcterms:W3CDTF">2026-03-13T09:41:54Z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VID376910E4">
    <vt:lpwstr/>
  </property>
  <property fmtid="{D5CDD505-2E9C-101B-9397-08002B2CF9AE}" pid="3" name="IVID156518D3">
    <vt:lpwstr/>
  </property>
  <property fmtid="{D5CDD505-2E9C-101B-9397-08002B2CF9AE}" pid="4" name="IVIDE3516F7">
    <vt:lpwstr/>
  </property>
  <property fmtid="{D5CDD505-2E9C-101B-9397-08002B2CF9AE}" pid="5" name="IVID1C4A12F3">
    <vt:lpwstr/>
  </property>
  <property fmtid="{D5CDD505-2E9C-101B-9397-08002B2CF9AE}" pid="6" name="IVID25230FEC">
    <vt:lpwstr/>
  </property>
  <property fmtid="{D5CDD505-2E9C-101B-9397-08002B2CF9AE}" pid="7" name="IVID283410FE">
    <vt:lpwstr/>
  </property>
  <property fmtid="{D5CDD505-2E9C-101B-9397-08002B2CF9AE}" pid="8" name="IVID262D12F5">
    <vt:lpwstr/>
  </property>
  <property fmtid="{D5CDD505-2E9C-101B-9397-08002B2CF9AE}" pid="9" name="IVID84E1003">
    <vt:lpwstr/>
  </property>
  <property fmtid="{D5CDD505-2E9C-101B-9397-08002B2CF9AE}" pid="10" name="IVID2C4517E6">
    <vt:lpwstr/>
  </property>
  <property fmtid="{D5CDD505-2E9C-101B-9397-08002B2CF9AE}" pid="11" name="IVID206B16FC">
    <vt:lpwstr/>
  </property>
  <property fmtid="{D5CDD505-2E9C-101B-9397-08002B2CF9AE}" pid="12" name="IVID194015FA">
    <vt:lpwstr/>
  </property>
  <property fmtid="{D5CDD505-2E9C-101B-9397-08002B2CF9AE}" pid="13" name="IVID270711D3">
    <vt:lpwstr/>
  </property>
  <property fmtid="{D5CDD505-2E9C-101B-9397-08002B2CF9AE}" pid="14" name="IVID1A5907F8">
    <vt:lpwstr/>
  </property>
  <property fmtid="{D5CDD505-2E9C-101B-9397-08002B2CF9AE}" pid="15" name="IVID2B4E1807">
    <vt:lpwstr/>
  </property>
  <property fmtid="{D5CDD505-2E9C-101B-9397-08002B2CF9AE}" pid="16" name="IVID131F12D2">
    <vt:lpwstr/>
  </property>
  <property fmtid="{D5CDD505-2E9C-101B-9397-08002B2CF9AE}" pid="17" name="IVID1B1B1603">
    <vt:lpwstr/>
  </property>
  <property fmtid="{D5CDD505-2E9C-101B-9397-08002B2CF9AE}" pid="18" name="IVID1D5A0FFA">
    <vt:lpwstr/>
  </property>
  <property fmtid="{D5CDD505-2E9C-101B-9397-08002B2CF9AE}" pid="19" name="IVIDE621BDA">
    <vt:lpwstr/>
  </property>
  <property fmtid="{D5CDD505-2E9C-101B-9397-08002B2CF9AE}" pid="20" name="IVID342611F2">
    <vt:lpwstr/>
  </property>
  <property fmtid="{D5CDD505-2E9C-101B-9397-08002B2CF9AE}" pid="21" name="IVID2F1E1603">
    <vt:lpwstr/>
  </property>
  <property fmtid="{D5CDD505-2E9C-101B-9397-08002B2CF9AE}" pid="22" name="IVIDC">
    <vt:lpwstr/>
  </property>
  <property fmtid="{D5CDD505-2E9C-101B-9397-08002B2CF9AE}" pid="23" name="IVID362F13E8">
    <vt:lpwstr/>
  </property>
  <property fmtid="{D5CDD505-2E9C-101B-9397-08002B2CF9AE}" pid="24" name="IVID3A3618F1">
    <vt:lpwstr/>
  </property>
  <property fmtid="{D5CDD505-2E9C-101B-9397-08002B2CF9AE}" pid="25" name="IVID15E41318">
    <vt:lpwstr/>
  </property>
  <property fmtid="{D5CDD505-2E9C-101B-9397-08002B2CF9AE}" pid="26" name="IVID181914D9">
    <vt:lpwstr/>
  </property>
  <property fmtid="{D5CDD505-2E9C-101B-9397-08002B2CF9AE}" pid="27" name="IVID155815FB">
    <vt:lpwstr/>
  </property>
  <property fmtid="{D5CDD505-2E9C-101B-9397-08002B2CF9AE}" pid="28" name="IVIDD091BF0">
    <vt:lpwstr/>
  </property>
  <property fmtid="{D5CDD505-2E9C-101B-9397-08002B2CF9AE}" pid="29" name="IVID344CCFFC">
    <vt:lpwstr/>
  </property>
  <property fmtid="{D5CDD505-2E9C-101B-9397-08002B2CF9AE}" pid="30" name="IVID1A7D12ED">
    <vt:lpwstr/>
  </property>
  <property fmtid="{D5CDD505-2E9C-101B-9397-08002B2CF9AE}" pid="31" name="IVID1B2115FE">
    <vt:lpwstr/>
  </property>
  <property fmtid="{D5CDD505-2E9C-101B-9397-08002B2CF9AE}" pid="32" name="IVID35431BD0">
    <vt:lpwstr/>
  </property>
  <property fmtid="{D5CDD505-2E9C-101B-9397-08002B2CF9AE}" pid="33" name="IVID4637A884">
    <vt:lpwstr/>
  </property>
  <property fmtid="{D5CDD505-2E9C-101B-9397-08002B2CF9AE}" pid="34" name="IVID127C14F5">
    <vt:lpwstr/>
  </property>
  <property fmtid="{D5CDD505-2E9C-101B-9397-08002B2CF9AE}" pid="35" name="IVID1834F0DD">
    <vt:lpwstr/>
  </property>
  <property fmtid="{D5CDD505-2E9C-101B-9397-08002B2CF9AE}" pid="36" name="IVID312119E0">
    <vt:lpwstr/>
  </property>
  <property fmtid="{D5CDD505-2E9C-101B-9397-08002B2CF9AE}" pid="37" name="IVID1C5812DA">
    <vt:lpwstr/>
  </property>
  <property fmtid="{D5CDD505-2E9C-101B-9397-08002B2CF9AE}" pid="38" name="IVID173907ED">
    <vt:lpwstr/>
  </property>
  <property fmtid="{D5CDD505-2E9C-101B-9397-08002B2CF9AE}" pid="39" name="IVID1D3F17E2">
    <vt:lpwstr/>
  </property>
  <property fmtid="{D5CDD505-2E9C-101B-9397-08002B2CF9AE}" pid="40" name="IVID13451200">
    <vt:lpwstr/>
  </property>
  <property fmtid="{D5CDD505-2E9C-101B-9397-08002B2CF9AE}" pid="41" name="IVID121617DE">
    <vt:lpwstr/>
  </property>
  <property fmtid="{D5CDD505-2E9C-101B-9397-08002B2CF9AE}" pid="42" name="IVID13691AF2">
    <vt:lpwstr/>
  </property>
  <property fmtid="{D5CDD505-2E9C-101B-9397-08002B2CF9AE}" pid="43" name="IVID1A3B0AF0">
    <vt:lpwstr/>
  </property>
  <property fmtid="{D5CDD505-2E9C-101B-9397-08002B2CF9AE}" pid="44" name="IVID373F12DB">
    <vt:lpwstr/>
  </property>
  <property fmtid="{D5CDD505-2E9C-101B-9397-08002B2CF9AE}" pid="45" name="IVID274B1CF5">
    <vt:lpwstr/>
  </property>
  <property fmtid="{D5CDD505-2E9C-101B-9397-08002B2CF9AE}" pid="46" name="IVID2B4E17FA">
    <vt:lpwstr/>
  </property>
  <property fmtid="{D5CDD505-2E9C-101B-9397-08002B2CF9AE}" pid="47" name="IVID253D11EF">
    <vt:lpwstr/>
  </property>
  <property fmtid="{D5CDD505-2E9C-101B-9397-08002B2CF9AE}" pid="48" name="IVID102124BA">
    <vt:lpwstr/>
  </property>
  <property fmtid="{D5CDD505-2E9C-101B-9397-08002B2CF9AE}" pid="49" name="IVID3D1509D0">
    <vt:lpwstr/>
  </property>
  <property fmtid="{D5CDD505-2E9C-101B-9397-08002B2CF9AE}" pid="50" name="IVID35641901">
    <vt:lpwstr/>
  </property>
  <property fmtid="{D5CDD505-2E9C-101B-9397-08002B2CF9AE}" pid="51" name="IVID45E1ED9">
    <vt:lpwstr/>
  </property>
  <property fmtid="{D5CDD505-2E9C-101B-9397-08002B2CF9AE}" pid="52" name="IVID324113D1">
    <vt:lpwstr/>
  </property>
  <property fmtid="{D5CDD505-2E9C-101B-9397-08002B2CF9AE}" pid="53" name="IVID1A2D1903">
    <vt:lpwstr/>
  </property>
  <property fmtid="{D5CDD505-2E9C-101B-9397-08002B2CF9AE}" pid="54" name="IVID222F6E42">
    <vt:lpwstr/>
  </property>
  <property fmtid="{D5CDD505-2E9C-101B-9397-08002B2CF9AE}" pid="55" name="IVID137012E9">
    <vt:lpwstr/>
  </property>
  <property fmtid="{D5CDD505-2E9C-101B-9397-08002B2CF9AE}" pid="56" name="IVID17063A1C">
    <vt:lpwstr/>
  </property>
  <property fmtid="{D5CDD505-2E9C-101B-9397-08002B2CF9AE}" pid="57" name="IVID10FD1D6C">
    <vt:lpwstr/>
  </property>
  <property fmtid="{D5CDD505-2E9C-101B-9397-08002B2CF9AE}" pid="58" name="IVIDE5716EA">
    <vt:lpwstr/>
  </property>
  <property fmtid="{D5CDD505-2E9C-101B-9397-08002B2CF9AE}" pid="59" name="IVID2B470BE0">
    <vt:lpwstr/>
  </property>
  <property fmtid="{D5CDD505-2E9C-101B-9397-08002B2CF9AE}" pid="60" name="IVID272F08CF">
    <vt:lpwstr/>
  </property>
  <property fmtid="{D5CDD505-2E9C-101B-9397-08002B2CF9AE}" pid="61" name="IVID1A3517F4">
    <vt:lpwstr/>
  </property>
  <property fmtid="{D5CDD505-2E9C-101B-9397-08002B2CF9AE}" pid="62" name="IVID2B0E1302">
    <vt:lpwstr/>
  </property>
  <property fmtid="{D5CDD505-2E9C-101B-9397-08002B2CF9AE}" pid="63" name="IVID27641707">
    <vt:lpwstr/>
  </property>
  <property fmtid="{D5CDD505-2E9C-101B-9397-08002B2CF9AE}" pid="64" name="IVID193412D2">
    <vt:lpwstr/>
  </property>
  <property fmtid="{D5CDD505-2E9C-101B-9397-08002B2CF9AE}" pid="65" name="IVID304312E4">
    <vt:lpwstr/>
  </property>
  <property fmtid="{D5CDD505-2E9C-101B-9397-08002B2CF9AE}" pid="66" name="IVID173E1206">
    <vt:lpwstr/>
  </property>
  <property fmtid="{D5CDD505-2E9C-101B-9397-08002B2CF9AE}" pid="67" name="IVID1F4C07D1">
    <vt:lpwstr/>
  </property>
  <property fmtid="{D5CDD505-2E9C-101B-9397-08002B2CF9AE}" pid="68" name="IVIDA2712E7">
    <vt:lpwstr/>
  </property>
  <property fmtid="{D5CDD505-2E9C-101B-9397-08002B2CF9AE}" pid="69" name="IVID332613CE">
    <vt:lpwstr/>
  </property>
  <property fmtid="{D5CDD505-2E9C-101B-9397-08002B2CF9AE}" pid="70" name="IVID2F1A12FA">
    <vt:lpwstr/>
  </property>
  <property fmtid="{D5CDD505-2E9C-101B-9397-08002B2CF9AE}" pid="71" name="IVID306310DF">
    <vt:lpwstr/>
  </property>
  <property fmtid="{D5CDD505-2E9C-101B-9397-08002B2CF9AE}" pid="72" name="IVID1D2316E0">
    <vt:lpwstr/>
  </property>
  <property fmtid="{D5CDD505-2E9C-101B-9397-08002B2CF9AE}" pid="73" name="IVID240A1504">
    <vt:lpwstr/>
  </property>
  <property fmtid="{D5CDD505-2E9C-101B-9397-08002B2CF9AE}" pid="74" name="IVID89C16E7F">
    <vt:lpwstr/>
  </property>
  <property fmtid="{D5CDD505-2E9C-101B-9397-08002B2CF9AE}" pid="75" name="IVID332E19D7">
    <vt:lpwstr/>
  </property>
  <property fmtid="{D5CDD505-2E9C-101B-9397-08002B2CF9AE}" pid="76" name="IVID22261800">
    <vt:lpwstr/>
  </property>
  <property fmtid="{D5CDD505-2E9C-101B-9397-08002B2CF9AE}" pid="77" name="IVIDA651509">
    <vt:lpwstr/>
  </property>
  <property fmtid="{D5CDD505-2E9C-101B-9397-08002B2CF9AE}" pid="78" name="IVID3A1412D5">
    <vt:lpwstr/>
  </property>
  <property fmtid="{D5CDD505-2E9C-101B-9397-08002B2CF9AE}" pid="79" name="IVID136B13DA">
    <vt:lpwstr/>
  </property>
  <property fmtid="{D5CDD505-2E9C-101B-9397-08002B2CF9AE}" pid="80" name="IVID8531007">
    <vt:lpwstr/>
  </property>
  <property fmtid="{D5CDD505-2E9C-101B-9397-08002B2CF9AE}" pid="81" name="IVID1F3A13E8">
    <vt:lpwstr/>
  </property>
  <property fmtid="{D5CDD505-2E9C-101B-9397-08002B2CF9AE}" pid="82" name="IVID215109FC">
    <vt:lpwstr/>
  </property>
  <property fmtid="{D5CDD505-2E9C-101B-9397-08002B2CF9AE}" pid="83" name="IVID171C12DF">
    <vt:lpwstr/>
  </property>
  <property fmtid="{D5CDD505-2E9C-101B-9397-08002B2CF9AE}" pid="84" name="IVIDD3318CF">
    <vt:lpwstr/>
  </property>
  <property fmtid="{D5CDD505-2E9C-101B-9397-08002B2CF9AE}" pid="85" name="IVID1D3915FA">
    <vt:lpwstr/>
  </property>
  <property fmtid="{D5CDD505-2E9C-101B-9397-08002B2CF9AE}" pid="86" name="IVID266F16CF">
    <vt:lpwstr/>
  </property>
  <property fmtid="{D5CDD505-2E9C-101B-9397-08002B2CF9AE}" pid="87" name="IVID232310EC">
    <vt:lpwstr/>
  </property>
  <property fmtid="{D5CDD505-2E9C-101B-9397-08002B2CF9AE}" pid="88" name="IVID133D1AE5">
    <vt:lpwstr/>
  </property>
  <property fmtid="{D5CDD505-2E9C-101B-9397-08002B2CF9AE}" pid="89" name="IVIDF6113D9">
    <vt:lpwstr/>
  </property>
  <property fmtid="{D5CDD505-2E9C-101B-9397-08002B2CF9AE}" pid="90" name="IVID307414D1">
    <vt:lpwstr/>
  </property>
  <property fmtid="{D5CDD505-2E9C-101B-9397-08002B2CF9AE}" pid="91" name="IVID344B1400">
    <vt:lpwstr/>
  </property>
  <property fmtid="{D5CDD505-2E9C-101B-9397-08002B2CF9AE}" pid="92" name="IVID135B1DF5">
    <vt:lpwstr/>
  </property>
  <property fmtid="{D5CDD505-2E9C-101B-9397-08002B2CF9AE}" pid="93" name="IVID1A3716D3">
    <vt:lpwstr/>
  </property>
  <property fmtid="{D5CDD505-2E9C-101B-9397-08002B2CF9AE}" pid="94" name="IVIDD1916DB">
    <vt:lpwstr/>
  </property>
  <property fmtid="{D5CDD505-2E9C-101B-9397-08002B2CF9AE}" pid="95" name="IVID11431AF1">
    <vt:lpwstr/>
  </property>
  <property fmtid="{D5CDD505-2E9C-101B-9397-08002B2CF9AE}" pid="96" name="IVID1B2C19F3">
    <vt:lpwstr/>
  </property>
  <property fmtid="{D5CDD505-2E9C-101B-9397-08002B2CF9AE}" pid="97" name="IVIDD5E0FE6">
    <vt:lpwstr/>
  </property>
  <property fmtid="{D5CDD505-2E9C-101B-9397-08002B2CF9AE}" pid="98" name="IVID1B2C1B03">
    <vt:lpwstr/>
  </property>
  <property fmtid="{D5CDD505-2E9C-101B-9397-08002B2CF9AE}" pid="99" name="IVID21211CE4">
    <vt:lpwstr/>
  </property>
  <property fmtid="{D5CDD505-2E9C-101B-9397-08002B2CF9AE}" pid="100" name="IVID133B1800">
    <vt:lpwstr/>
  </property>
  <property fmtid="{D5CDD505-2E9C-101B-9397-08002B2CF9AE}" pid="101" name="IVID3C1312F9">
    <vt:lpwstr/>
  </property>
  <property fmtid="{D5CDD505-2E9C-101B-9397-08002B2CF9AE}" pid="102" name="IVID3E37BDEF">
    <vt:lpwstr/>
  </property>
  <property fmtid="{D5CDD505-2E9C-101B-9397-08002B2CF9AE}" pid="103" name="IVID7CE0C0D">
    <vt:lpwstr/>
  </property>
  <property fmtid="{D5CDD505-2E9C-101B-9397-08002B2CF9AE}" pid="104" name="IVID153917DD">
    <vt:lpwstr/>
  </property>
  <property fmtid="{D5CDD505-2E9C-101B-9397-08002B2CF9AE}" pid="105" name="IVIDE6C1501">
    <vt:lpwstr/>
  </property>
  <property fmtid="{D5CDD505-2E9C-101B-9397-08002B2CF9AE}" pid="106" name="IVID1F4D16D9">
    <vt:lpwstr/>
  </property>
  <property fmtid="{D5CDD505-2E9C-101B-9397-08002B2CF9AE}" pid="107" name="IVID276508D4">
    <vt:lpwstr/>
  </property>
  <property fmtid="{D5CDD505-2E9C-101B-9397-08002B2CF9AE}" pid="108" name="IVID2C2A55BF">
    <vt:lpwstr/>
  </property>
  <property fmtid="{D5CDD505-2E9C-101B-9397-08002B2CF9AE}" pid="109" name="IVID378DD799">
    <vt:lpwstr/>
  </property>
  <property fmtid="{D5CDD505-2E9C-101B-9397-08002B2CF9AE}" pid="110" name="IVIDC0B13E0">
    <vt:lpwstr/>
  </property>
  <property fmtid="{D5CDD505-2E9C-101B-9397-08002B2CF9AE}" pid="111" name="IVIDF131403">
    <vt:lpwstr/>
  </property>
  <property fmtid="{D5CDD505-2E9C-101B-9397-08002B2CF9AE}" pid="112" name="IVID1ACF422B">
    <vt:lpwstr/>
  </property>
  <property fmtid="{D5CDD505-2E9C-101B-9397-08002B2CF9AE}" pid="113" name="IVID2D1B1802">
    <vt:lpwstr/>
  </property>
  <property fmtid="{D5CDD505-2E9C-101B-9397-08002B2CF9AE}" pid="114" name="IVID216017EB">
    <vt:lpwstr/>
  </property>
  <property fmtid="{D5CDD505-2E9C-101B-9397-08002B2CF9AE}" pid="115" name="IVID113308F0">
    <vt:lpwstr/>
  </property>
  <property fmtid="{D5CDD505-2E9C-101B-9397-08002B2CF9AE}" pid="116" name="IVID376DFBE3">
    <vt:lpwstr/>
  </property>
  <property fmtid="{D5CDD505-2E9C-101B-9397-08002B2CF9AE}" pid="117" name="IVID1A1912EB">
    <vt:lpwstr/>
  </property>
  <property fmtid="{D5CDD505-2E9C-101B-9397-08002B2CF9AE}" pid="118" name="IVID14720AEF">
    <vt:lpwstr/>
  </property>
  <property fmtid="{D5CDD505-2E9C-101B-9397-08002B2CF9AE}" pid="119" name="IVID410D17D3">
    <vt:lpwstr/>
  </property>
  <property fmtid="{D5CDD505-2E9C-101B-9397-08002B2CF9AE}" pid="120" name="IVID22F06027">
    <vt:lpwstr/>
  </property>
  <property fmtid="{D5CDD505-2E9C-101B-9397-08002B2CF9AE}" pid="121" name="IVID205517D4">
    <vt:lpwstr/>
  </property>
  <property fmtid="{D5CDD505-2E9C-101B-9397-08002B2CF9AE}" pid="122" name="IVID1C1A16CF">
    <vt:lpwstr/>
  </property>
  <property fmtid="{D5CDD505-2E9C-101B-9397-08002B2CF9AE}" pid="123" name="IVID102A14DB">
    <vt:lpwstr/>
  </property>
  <property fmtid="{D5CDD505-2E9C-101B-9397-08002B2CF9AE}" pid="124" name="IVID1F1015E6">
    <vt:lpwstr/>
  </property>
  <property fmtid="{D5CDD505-2E9C-101B-9397-08002B2CF9AE}" pid="125" name="IVID3C1717F4">
    <vt:lpwstr/>
  </property>
  <property fmtid="{D5CDD505-2E9C-101B-9397-08002B2CF9AE}" pid="126" name="IVID354E17DA">
    <vt:lpwstr/>
  </property>
  <property fmtid="{D5CDD505-2E9C-101B-9397-08002B2CF9AE}" pid="127" name="IVID153517D6">
    <vt:lpwstr/>
  </property>
  <property fmtid="{D5CDD505-2E9C-101B-9397-08002B2CF9AE}" pid="128" name="IVID284B13FC">
    <vt:lpwstr/>
  </property>
  <property fmtid="{D5CDD505-2E9C-101B-9397-08002B2CF9AE}" pid="129" name="IVID392816EE">
    <vt:lpwstr/>
  </property>
  <property fmtid="{D5CDD505-2E9C-101B-9397-08002B2CF9AE}" pid="130" name="IVID3E1216F6">
    <vt:lpwstr/>
  </property>
  <property fmtid="{D5CDD505-2E9C-101B-9397-08002B2CF9AE}" pid="131" name="IVID3B1714FF">
    <vt:lpwstr/>
  </property>
  <property fmtid="{D5CDD505-2E9C-101B-9397-08002B2CF9AE}" pid="132" name="IVID23581300">
    <vt:lpwstr/>
  </property>
  <property fmtid="{D5CDD505-2E9C-101B-9397-08002B2CF9AE}" pid="133" name="IVID184712E7">
    <vt:lpwstr/>
  </property>
  <property fmtid="{D5CDD505-2E9C-101B-9397-08002B2CF9AE}" pid="134" name="IVID3A1EECF4">
    <vt:lpwstr/>
  </property>
  <property fmtid="{D5CDD505-2E9C-101B-9397-08002B2CF9AE}" pid="135" name="IVID135F1907">
    <vt:lpwstr/>
  </property>
  <property fmtid="{D5CDD505-2E9C-101B-9397-08002B2CF9AE}" pid="136" name="IVID31590FEA">
    <vt:lpwstr/>
  </property>
  <property fmtid="{D5CDD505-2E9C-101B-9397-08002B2CF9AE}" pid="137" name="IVID3D1A14EB">
    <vt:lpwstr/>
  </property>
  <property fmtid="{D5CDD505-2E9C-101B-9397-08002B2CF9AE}" pid="138" name="IVID123408D4">
    <vt:lpwstr/>
  </property>
  <property fmtid="{D5CDD505-2E9C-101B-9397-08002B2CF9AE}" pid="139" name="IVID185E1BDF">
    <vt:lpwstr/>
  </property>
  <property fmtid="{D5CDD505-2E9C-101B-9397-08002B2CF9AE}" pid="140" name="IVID1F1F14F4">
    <vt:lpwstr/>
  </property>
  <property fmtid="{D5CDD505-2E9C-101B-9397-08002B2CF9AE}" pid="141" name="IVID3D7712D7">
    <vt:lpwstr/>
  </property>
  <property fmtid="{D5CDD505-2E9C-101B-9397-08002B2CF9AE}" pid="142" name="IVID415510E2">
    <vt:lpwstr/>
  </property>
  <property fmtid="{D5CDD505-2E9C-101B-9397-08002B2CF9AE}" pid="143" name="IVID391D1209">
    <vt:lpwstr/>
  </property>
  <property fmtid="{D5CDD505-2E9C-101B-9397-08002B2CF9AE}" pid="144" name="IVIDD1815D9">
    <vt:lpwstr/>
  </property>
  <property fmtid="{D5CDD505-2E9C-101B-9397-08002B2CF9AE}" pid="145" name="IVID1D4814D0">
    <vt:lpwstr/>
  </property>
  <property fmtid="{D5CDD505-2E9C-101B-9397-08002B2CF9AE}" pid="146" name="IVID387111E2">
    <vt:lpwstr/>
  </property>
  <property fmtid="{D5CDD505-2E9C-101B-9397-08002B2CF9AE}" pid="147" name="IVID37250EFA">
    <vt:lpwstr/>
  </property>
  <property fmtid="{D5CDD505-2E9C-101B-9397-08002B2CF9AE}" pid="148" name="IVID300B1AD2">
    <vt:lpwstr/>
  </property>
  <property fmtid="{D5CDD505-2E9C-101B-9397-08002B2CF9AE}" pid="149" name="IVID2F581807">
    <vt:lpwstr/>
  </property>
  <property fmtid="{D5CDD505-2E9C-101B-9397-08002B2CF9AE}" pid="150" name="IVID32551BD9">
    <vt:lpwstr/>
  </property>
  <property fmtid="{D5CDD505-2E9C-101B-9397-08002B2CF9AE}" pid="151" name="IVID1D691600">
    <vt:lpwstr/>
  </property>
  <property fmtid="{D5CDD505-2E9C-101B-9397-08002B2CF9AE}" pid="152" name="IVID456514E8">
    <vt:lpwstr/>
  </property>
  <property fmtid="{D5CDD505-2E9C-101B-9397-08002B2CF9AE}" pid="153" name="IVID41534945">
    <vt:lpwstr/>
  </property>
  <property fmtid="{D5CDD505-2E9C-101B-9397-08002B2CF9AE}" pid="154" name="IVID3A551305">
    <vt:lpwstr/>
  </property>
  <property fmtid="{D5CDD505-2E9C-101B-9397-08002B2CF9AE}" pid="155" name="IVID6C5175AD">
    <vt:lpwstr/>
  </property>
  <property fmtid="{D5CDD505-2E9C-101B-9397-08002B2CF9AE}" pid="156" name="IVID3A1F07EA">
    <vt:lpwstr/>
  </property>
  <property fmtid="{D5CDD505-2E9C-101B-9397-08002B2CF9AE}" pid="157" name="IVID3E1D10DB">
    <vt:lpwstr/>
  </property>
  <property fmtid="{D5CDD505-2E9C-101B-9397-08002B2CF9AE}" pid="158" name="IVID111D1504">
    <vt:lpwstr/>
  </property>
  <property fmtid="{D5CDD505-2E9C-101B-9397-08002B2CF9AE}" pid="159" name="IVID26121907">
    <vt:lpwstr/>
  </property>
  <property fmtid="{D5CDD505-2E9C-101B-9397-08002B2CF9AE}" pid="160" name="IVID52D0A08">
    <vt:lpwstr/>
  </property>
  <property fmtid="{D5CDD505-2E9C-101B-9397-08002B2CF9AE}" pid="161" name="IVIDB6612D8">
    <vt:lpwstr/>
  </property>
  <property fmtid="{D5CDD505-2E9C-101B-9397-08002B2CF9AE}" pid="162" name="IVIDB7E16E3">
    <vt:lpwstr/>
  </property>
  <property fmtid="{D5CDD505-2E9C-101B-9397-08002B2CF9AE}" pid="163" name="IVID181D1204">
    <vt:lpwstr/>
  </property>
  <property fmtid="{D5CDD505-2E9C-101B-9397-08002B2CF9AE}" pid="164" name="IVID12471303">
    <vt:lpwstr/>
  </property>
  <property fmtid="{D5CDD505-2E9C-101B-9397-08002B2CF9AE}" pid="165" name="IVID142E1504">
    <vt:lpwstr/>
  </property>
  <property fmtid="{D5CDD505-2E9C-101B-9397-08002B2CF9AE}" pid="166" name="IVID263010E2">
    <vt:lpwstr/>
  </property>
  <property fmtid="{D5CDD505-2E9C-101B-9397-08002B2CF9AE}" pid="167" name="IVIDB5E14F4">
    <vt:lpwstr/>
  </property>
  <property fmtid="{D5CDD505-2E9C-101B-9397-08002B2CF9AE}" pid="168" name="IVID3A060FD1">
    <vt:lpwstr/>
  </property>
  <property fmtid="{D5CDD505-2E9C-101B-9397-08002B2CF9AE}" pid="169" name="IVID262A10E1">
    <vt:lpwstr/>
  </property>
  <property fmtid="{D5CDD505-2E9C-101B-9397-08002B2CF9AE}" pid="170" name="IVID375C15F0">
    <vt:lpwstr/>
  </property>
  <property fmtid="{D5CDD505-2E9C-101B-9397-08002B2CF9AE}" pid="171" name="IVID160B3251">
    <vt:lpwstr/>
  </property>
</Properties>
</file>