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ppc01\PPC\PPC Department\TOYOTA  718W (350B)\KONVERSI SPP\2026\3. MAR\"/>
    </mc:Choice>
  </mc:AlternateContent>
  <bookViews>
    <workbookView xWindow="-15" yWindow="-15" windowWidth="9600" windowHeight="10860" tabRatio="592"/>
  </bookViews>
  <sheets>
    <sheet name="Sheet1" sheetId="4" r:id="rId1"/>
  </sheets>
  <externalReferences>
    <externalReference r:id="rId2"/>
    <externalReference r:id="rId3"/>
  </externalReferences>
  <calcPr calcId="162913"/>
</workbook>
</file>

<file path=xl/calcChain.xml><?xml version="1.0" encoding="utf-8"?>
<calcChain xmlns="http://schemas.openxmlformats.org/spreadsheetml/2006/main">
  <c r="AE57" i="4" l="1"/>
  <c r="AD57" i="4"/>
  <c r="AC57" i="4"/>
  <c r="AB57" i="4"/>
  <c r="AG57" i="4" s="1"/>
  <c r="Z57" i="4"/>
  <c r="Y57" i="4"/>
  <c r="X57" i="4"/>
  <c r="W57" i="4"/>
  <c r="V57" i="4"/>
  <c r="AA57" i="4" s="1"/>
  <c r="S57" i="4"/>
  <c r="R57" i="4"/>
  <c r="Q57" i="4"/>
  <c r="P57" i="4"/>
  <c r="U57" i="4" s="1"/>
  <c r="M57" i="4"/>
  <c r="L57" i="4"/>
  <c r="K57" i="4"/>
  <c r="J57" i="4"/>
  <c r="O57" i="4" s="1"/>
  <c r="H57" i="4"/>
  <c r="G57" i="4"/>
  <c r="F57" i="4"/>
  <c r="E57" i="4"/>
  <c r="D57" i="4"/>
  <c r="I57" i="4" s="1"/>
  <c r="AE56" i="4"/>
  <c r="AD56" i="4"/>
  <c r="AC56" i="4"/>
  <c r="AB56" i="4"/>
  <c r="AG56" i="4" s="1"/>
  <c r="Z56" i="4"/>
  <c r="Y56" i="4"/>
  <c r="X56" i="4"/>
  <c r="W56" i="4"/>
  <c r="V56" i="4"/>
  <c r="AA56" i="4" s="1"/>
  <c r="S56" i="4"/>
  <c r="R56" i="4"/>
  <c r="Q56" i="4"/>
  <c r="P56" i="4"/>
  <c r="U56" i="4" s="1"/>
  <c r="M56" i="4"/>
  <c r="L56" i="4"/>
  <c r="K56" i="4"/>
  <c r="J56" i="4"/>
  <c r="O56" i="4" s="1"/>
  <c r="H56" i="4"/>
  <c r="G56" i="4"/>
  <c r="F56" i="4"/>
  <c r="E56" i="4"/>
  <c r="D56" i="4"/>
  <c r="I56" i="4" s="1"/>
  <c r="AE55" i="4"/>
  <c r="AD55" i="4"/>
  <c r="AC55" i="4"/>
  <c r="AB55" i="4"/>
  <c r="AG55" i="4" s="1"/>
  <c r="Z55" i="4"/>
  <c r="Y55" i="4"/>
  <c r="X55" i="4"/>
  <c r="W55" i="4"/>
  <c r="AA55" i="4" s="1"/>
  <c r="V55" i="4"/>
  <c r="S55" i="4"/>
  <c r="R55" i="4"/>
  <c r="Q55" i="4"/>
  <c r="P55" i="4"/>
  <c r="U55" i="4" s="1"/>
  <c r="M55" i="4"/>
  <c r="L55" i="4"/>
  <c r="K55" i="4"/>
  <c r="J55" i="4"/>
  <c r="O55" i="4" s="1"/>
  <c r="H55" i="4"/>
  <c r="G55" i="4"/>
  <c r="F55" i="4"/>
  <c r="E55" i="4"/>
  <c r="I55" i="4" s="1"/>
  <c r="D55" i="4"/>
  <c r="AE54" i="4"/>
  <c r="AD54" i="4"/>
  <c r="AC54" i="4"/>
  <c r="AB54" i="4"/>
  <c r="AG54" i="4" s="1"/>
  <c r="Z54" i="4"/>
  <c r="Y54" i="4"/>
  <c r="X54" i="4"/>
  <c r="W54" i="4"/>
  <c r="V54" i="4"/>
  <c r="AA54" i="4" s="1"/>
  <c r="S54" i="4"/>
  <c r="R54" i="4"/>
  <c r="Q54" i="4"/>
  <c r="U54" i="4" s="1"/>
  <c r="P54" i="4"/>
  <c r="M54" i="4"/>
  <c r="L54" i="4"/>
  <c r="K54" i="4"/>
  <c r="J54" i="4"/>
  <c r="O54" i="4" s="1"/>
  <c r="H54" i="4"/>
  <c r="G54" i="4"/>
  <c r="F54" i="4"/>
  <c r="E54" i="4"/>
  <c r="D54" i="4"/>
  <c r="I54" i="4" s="1"/>
  <c r="AE53" i="4"/>
  <c r="AD53" i="4"/>
  <c r="AC53" i="4"/>
  <c r="AG53" i="4" s="1"/>
  <c r="AB53" i="4"/>
  <c r="Z53" i="4"/>
  <c r="Y53" i="4"/>
  <c r="X53" i="4"/>
  <c r="W53" i="4"/>
  <c r="V53" i="4"/>
  <c r="AA53" i="4" s="1"/>
  <c r="S53" i="4"/>
  <c r="R53" i="4"/>
  <c r="Q53" i="4"/>
  <c r="P53" i="4"/>
  <c r="U53" i="4" s="1"/>
  <c r="M53" i="4"/>
  <c r="L53" i="4"/>
  <c r="K53" i="4"/>
  <c r="O53" i="4" s="1"/>
  <c r="J53" i="4"/>
  <c r="H53" i="4"/>
  <c r="G53" i="4"/>
  <c r="F53" i="4"/>
  <c r="E53" i="4"/>
  <c r="D53" i="4"/>
  <c r="I53" i="4" s="1"/>
  <c r="AE52" i="4"/>
  <c r="AD52" i="4"/>
  <c r="AC52" i="4"/>
  <c r="AB52" i="4"/>
  <c r="AG52" i="4" s="1"/>
  <c r="Z52" i="4"/>
  <c r="Y52" i="4"/>
  <c r="X52" i="4"/>
  <c r="AA52" i="4" s="1"/>
  <c r="W52" i="4"/>
  <c r="V52" i="4"/>
  <c r="S52" i="4"/>
  <c r="R52" i="4"/>
  <c r="Q52" i="4"/>
  <c r="P52" i="4"/>
  <c r="U52" i="4" s="1"/>
  <c r="M52" i="4"/>
  <c r="L52" i="4"/>
  <c r="K52" i="4"/>
  <c r="J52" i="4"/>
  <c r="O52" i="4" s="1"/>
  <c r="H52" i="4"/>
  <c r="G52" i="4"/>
  <c r="F52" i="4"/>
  <c r="I52" i="4" s="1"/>
  <c r="E52" i="4"/>
  <c r="D52" i="4"/>
  <c r="AE51" i="4"/>
  <c r="AD51" i="4"/>
  <c r="AC51" i="4"/>
  <c r="AB51" i="4"/>
  <c r="AG51" i="4" s="1"/>
  <c r="Z51" i="4"/>
  <c r="Y51" i="4"/>
  <c r="X51" i="4"/>
  <c r="W51" i="4"/>
  <c r="V51" i="4"/>
  <c r="AA51" i="4" s="1"/>
  <c r="S51" i="4"/>
  <c r="R51" i="4"/>
  <c r="U51" i="4" s="1"/>
  <c r="Q51" i="4"/>
  <c r="P51" i="4"/>
  <c r="M51" i="4"/>
  <c r="L51" i="4"/>
  <c r="K51" i="4"/>
  <c r="J51" i="4"/>
  <c r="O51" i="4" s="1"/>
  <c r="H51" i="4"/>
  <c r="G51" i="4"/>
  <c r="F51" i="4"/>
  <c r="E51" i="4"/>
  <c r="D51" i="4"/>
  <c r="I51" i="4" s="1"/>
  <c r="AE49" i="4"/>
  <c r="AD49" i="4"/>
  <c r="AG49" i="4" s="1"/>
  <c r="AC49" i="4"/>
  <c r="AB49" i="4"/>
  <c r="Z49" i="4"/>
  <c r="Y49" i="4"/>
  <c r="X49" i="4"/>
  <c r="W49" i="4"/>
  <c r="V49" i="4"/>
  <c r="AA49" i="4" s="1"/>
  <c r="S49" i="4"/>
  <c r="R49" i="4"/>
  <c r="Q49" i="4"/>
  <c r="P49" i="4"/>
  <c r="U49" i="4" s="1"/>
  <c r="M49" i="4"/>
  <c r="L49" i="4"/>
  <c r="O49" i="4" s="1"/>
  <c r="K49" i="4"/>
  <c r="J49" i="4"/>
  <c r="H49" i="4"/>
  <c r="G49" i="4"/>
  <c r="F49" i="4"/>
  <c r="E49" i="4"/>
  <c r="D49" i="4"/>
  <c r="I49" i="4" s="1"/>
  <c r="AE48" i="4"/>
  <c r="AD48" i="4"/>
  <c r="AC48" i="4"/>
  <c r="AB48" i="4"/>
  <c r="AG48" i="4" s="1"/>
  <c r="Z48" i="4"/>
  <c r="Y48" i="4"/>
  <c r="AA48" i="4" s="1"/>
  <c r="X48" i="4"/>
  <c r="W48" i="4"/>
  <c r="V48" i="4"/>
  <c r="S48" i="4"/>
  <c r="R48" i="4"/>
  <c r="Q48" i="4"/>
  <c r="P48" i="4"/>
  <c r="U48" i="4" s="1"/>
  <c r="M48" i="4"/>
  <c r="L48" i="4"/>
  <c r="K48" i="4"/>
  <c r="J48" i="4"/>
  <c r="O48" i="4" s="1"/>
  <c r="H48" i="4"/>
  <c r="G48" i="4"/>
  <c r="I48" i="4" s="1"/>
  <c r="F48" i="4"/>
  <c r="E48" i="4"/>
  <c r="D48" i="4"/>
  <c r="AE47" i="4"/>
  <c r="AD47" i="4"/>
  <c r="AC47" i="4"/>
  <c r="AB47" i="4"/>
  <c r="AG47" i="4" s="1"/>
  <c r="Z47" i="4"/>
  <c r="Y47" i="4"/>
  <c r="X47" i="4"/>
  <c r="W47" i="4"/>
  <c r="V47" i="4"/>
  <c r="AA47" i="4" s="1"/>
  <c r="S47" i="4"/>
  <c r="U47" i="4" s="1"/>
  <c r="R47" i="4"/>
  <c r="Q47" i="4"/>
  <c r="P47" i="4"/>
  <c r="M47" i="4"/>
  <c r="L47" i="4"/>
  <c r="K47" i="4"/>
  <c r="J47" i="4"/>
  <c r="O47" i="4" s="1"/>
  <c r="H47" i="4"/>
  <c r="G47" i="4"/>
  <c r="F47" i="4"/>
  <c r="E47" i="4"/>
  <c r="D47" i="4"/>
  <c r="I47" i="4" s="1"/>
  <c r="AE46" i="4"/>
  <c r="AG46" i="4" s="1"/>
  <c r="AD46" i="4"/>
  <c r="AC46" i="4"/>
  <c r="AB46" i="4"/>
  <c r="Z46" i="4"/>
  <c r="Y46" i="4"/>
  <c r="X46" i="4"/>
  <c r="W46" i="4"/>
  <c r="V46" i="4"/>
  <c r="AA46" i="4" s="1"/>
  <c r="S46" i="4"/>
  <c r="R46" i="4"/>
  <c r="Q46" i="4"/>
  <c r="P46" i="4"/>
  <c r="U46" i="4" s="1"/>
  <c r="M46" i="4"/>
  <c r="O46" i="4" s="1"/>
  <c r="L46" i="4"/>
  <c r="K46" i="4"/>
  <c r="J46" i="4"/>
  <c r="H46" i="4"/>
  <c r="G46" i="4"/>
  <c r="F46" i="4"/>
  <c r="E46" i="4"/>
  <c r="D46" i="4"/>
  <c r="I46" i="4" s="1"/>
  <c r="AE44" i="4"/>
  <c r="AD44" i="4"/>
  <c r="AC44" i="4"/>
  <c r="AB44" i="4"/>
  <c r="AG44" i="4" s="1"/>
  <c r="Z44" i="4"/>
  <c r="AA44" i="4" s="1"/>
  <c r="Y44" i="4"/>
  <c r="X44" i="4"/>
  <c r="W44" i="4"/>
  <c r="V44" i="4"/>
  <c r="S44" i="4"/>
  <c r="R44" i="4"/>
  <c r="Q44" i="4"/>
  <c r="P44" i="4"/>
  <c r="U44" i="4" s="1"/>
  <c r="M44" i="4"/>
  <c r="L44" i="4"/>
  <c r="K44" i="4"/>
  <c r="J44" i="4"/>
  <c r="O44" i="4" s="1"/>
  <c r="H44" i="4"/>
  <c r="I44" i="4" s="1"/>
  <c r="G44" i="4"/>
  <c r="F44" i="4"/>
  <c r="E44" i="4"/>
  <c r="D44" i="4"/>
  <c r="AE43" i="4"/>
  <c r="AD43" i="4"/>
  <c r="AC43" i="4"/>
  <c r="AB43" i="4"/>
  <c r="AG43" i="4" s="1"/>
  <c r="Z43" i="4"/>
  <c r="Y43" i="4"/>
  <c r="X43" i="4"/>
  <c r="W43" i="4"/>
  <c r="V43" i="4"/>
  <c r="AA43" i="4" s="1"/>
  <c r="U43" i="4"/>
  <c r="S43" i="4"/>
  <c r="R43" i="4"/>
  <c r="Q43" i="4"/>
  <c r="P43" i="4"/>
  <c r="M43" i="4"/>
  <c r="L43" i="4"/>
  <c r="K43" i="4"/>
  <c r="J43" i="4"/>
  <c r="O43" i="4" s="1"/>
  <c r="H43" i="4"/>
  <c r="G43" i="4"/>
  <c r="F43" i="4"/>
  <c r="E43" i="4"/>
  <c r="D43" i="4"/>
  <c r="I43" i="4" s="1"/>
  <c r="AE41" i="4"/>
  <c r="AD41" i="4"/>
  <c r="AC41" i="4"/>
  <c r="AB41" i="4"/>
  <c r="Z41" i="4"/>
  <c r="Y41" i="4"/>
  <c r="X41" i="4"/>
  <c r="W41" i="4"/>
  <c r="V41" i="4"/>
  <c r="S41" i="4"/>
  <c r="R41" i="4"/>
  <c r="Q41" i="4"/>
  <c r="P41" i="4"/>
  <c r="M41" i="4"/>
  <c r="L41" i="4"/>
  <c r="K41" i="4"/>
  <c r="J41" i="4"/>
  <c r="H41" i="4"/>
  <c r="G41" i="4"/>
  <c r="F41" i="4"/>
  <c r="E41" i="4"/>
  <c r="D41" i="4"/>
  <c r="AA41" i="4" l="1"/>
  <c r="U41" i="4"/>
  <c r="O41" i="4"/>
  <c r="AG8" i="4"/>
  <c r="AA8" i="4"/>
  <c r="U8" i="4"/>
  <c r="O8" i="4"/>
  <c r="I41" i="4" l="1"/>
  <c r="AG50" i="4" l="1"/>
  <c r="AA50" i="4"/>
  <c r="U50" i="4"/>
  <c r="O50" i="4"/>
  <c r="I50" i="4"/>
  <c r="AG45" i="4"/>
  <c r="AA45" i="4"/>
  <c r="U45" i="4"/>
  <c r="O45" i="4"/>
  <c r="I45" i="4"/>
  <c r="AG41" i="4"/>
  <c r="AG40" i="4"/>
  <c r="AA40" i="4"/>
  <c r="U40" i="4"/>
  <c r="O40" i="4"/>
  <c r="I40" i="4"/>
  <c r="U80" i="4" l="1"/>
  <c r="AG84" i="4"/>
  <c r="AG80" i="4"/>
  <c r="AA84" i="4"/>
  <c r="O84" i="4"/>
  <c r="O80" i="4"/>
  <c r="AF84" i="4"/>
  <c r="AE84" i="4"/>
  <c r="AD84" i="4"/>
  <c r="AC84" i="4"/>
  <c r="AB84" i="4"/>
  <c r="Z84" i="4"/>
  <c r="Y84" i="4"/>
  <c r="X84" i="4"/>
  <c r="W84" i="4"/>
  <c r="V84" i="4"/>
  <c r="U84" i="4"/>
  <c r="T84" i="4"/>
  <c r="S84" i="4"/>
  <c r="R84" i="4"/>
  <c r="Q84" i="4"/>
  <c r="P84" i="4"/>
  <c r="N84" i="4"/>
  <c r="M84" i="4"/>
  <c r="L84" i="4"/>
  <c r="K84" i="4"/>
  <c r="J84" i="4"/>
  <c r="H84" i="4"/>
  <c r="G84" i="4"/>
  <c r="F84" i="4"/>
  <c r="E84" i="4"/>
  <c r="AF83" i="4"/>
  <c r="Z83" i="4"/>
  <c r="T83" i="4"/>
  <c r="H83" i="4"/>
  <c r="AF82" i="4"/>
  <c r="AE82" i="4"/>
  <c r="AD82" i="4"/>
  <c r="AC82" i="4"/>
  <c r="AB82" i="4"/>
  <c r="Z82" i="4"/>
  <c r="Y82" i="4"/>
  <c r="X82" i="4"/>
  <c r="W82" i="4"/>
  <c r="V82" i="4"/>
  <c r="T82" i="4"/>
  <c r="S82" i="4"/>
  <c r="R82" i="4"/>
  <c r="Q82" i="4"/>
  <c r="P82" i="4"/>
  <c r="N82" i="4"/>
  <c r="M82" i="4"/>
  <c r="L82" i="4"/>
  <c r="K82" i="4"/>
  <c r="J82" i="4"/>
  <c r="H82" i="4"/>
  <c r="G82" i="4"/>
  <c r="F82" i="4"/>
  <c r="E82" i="4"/>
  <c r="AF81" i="4"/>
  <c r="Z81" i="4"/>
  <c r="T81" i="4"/>
  <c r="H81" i="4"/>
  <c r="AF80" i="4"/>
  <c r="AE80" i="4"/>
  <c r="AD80" i="4"/>
  <c r="AC80" i="4"/>
  <c r="AB80" i="4"/>
  <c r="Z80" i="4"/>
  <c r="Y80" i="4"/>
  <c r="X80" i="4"/>
  <c r="W80" i="4"/>
  <c r="V80" i="4"/>
  <c r="T80" i="4"/>
  <c r="S80" i="4"/>
  <c r="R80" i="4"/>
  <c r="Q80" i="4"/>
  <c r="P80" i="4"/>
  <c r="N80" i="4"/>
  <c r="M80" i="4"/>
  <c r="L80" i="4"/>
  <c r="K80" i="4"/>
  <c r="J80" i="4"/>
  <c r="H80" i="4"/>
  <c r="G80" i="4"/>
  <c r="F80" i="4"/>
  <c r="E80" i="4"/>
  <c r="AF79" i="4"/>
  <c r="Z79" i="4"/>
  <c r="T79" i="4"/>
  <c r="H79" i="4"/>
  <c r="D84" i="4"/>
  <c r="D82" i="4"/>
  <c r="D80" i="4"/>
  <c r="I80" i="4" l="1"/>
  <c r="I84" i="4"/>
  <c r="AA80" i="4"/>
  <c r="T85" i="4"/>
  <c r="H85" i="4"/>
  <c r="AF85" i="4"/>
  <c r="Z85" i="4"/>
  <c r="AF89" i="4" l="1"/>
  <c r="T89" i="4"/>
  <c r="H89" i="4" l="1"/>
  <c r="Z89" i="4"/>
  <c r="AG39" i="4"/>
  <c r="AG82" i="4" s="1"/>
  <c r="U39" i="4"/>
  <c r="U82" i="4" s="1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I8" i="4"/>
  <c r="I9" i="4"/>
  <c r="O9" i="4"/>
  <c r="U9" i="4"/>
  <c r="AA9" i="4"/>
  <c r="AG9" i="4"/>
  <c r="I10" i="4"/>
  <c r="O10" i="4"/>
  <c r="U10" i="4"/>
  <c r="AA10" i="4"/>
  <c r="AG10" i="4"/>
  <c r="I11" i="4"/>
  <c r="O11" i="4"/>
  <c r="U11" i="4"/>
  <c r="AA11" i="4"/>
  <c r="AG11" i="4"/>
  <c r="I12" i="4"/>
  <c r="O12" i="4"/>
  <c r="U12" i="4"/>
  <c r="AA12" i="4"/>
  <c r="AG12" i="4"/>
  <c r="I13" i="4"/>
  <c r="O13" i="4"/>
  <c r="U13" i="4"/>
  <c r="AA13" i="4"/>
  <c r="AG13" i="4"/>
  <c r="I14" i="4"/>
  <c r="O14" i="4"/>
  <c r="U14" i="4"/>
  <c r="AA14" i="4"/>
  <c r="AG14" i="4"/>
  <c r="I16" i="4"/>
  <c r="O16" i="4"/>
  <c r="U16" i="4"/>
  <c r="AA16" i="4"/>
  <c r="AG16" i="4"/>
  <c r="I17" i="4"/>
  <c r="O17" i="4"/>
  <c r="U17" i="4"/>
  <c r="AA17" i="4"/>
  <c r="AG17" i="4"/>
  <c r="I18" i="4"/>
  <c r="O18" i="4"/>
  <c r="U18" i="4"/>
  <c r="AA18" i="4"/>
  <c r="AG18" i="4"/>
  <c r="I19" i="4"/>
  <c r="O19" i="4"/>
  <c r="U19" i="4"/>
  <c r="AA19" i="4"/>
  <c r="AG19" i="4"/>
  <c r="I20" i="4"/>
  <c r="O20" i="4"/>
  <c r="U20" i="4"/>
  <c r="AA20" i="4"/>
  <c r="AG20" i="4"/>
  <c r="I21" i="4"/>
  <c r="O21" i="4"/>
  <c r="U21" i="4"/>
  <c r="AA21" i="4"/>
  <c r="AG21" i="4"/>
  <c r="I22" i="4"/>
  <c r="O22" i="4"/>
  <c r="U22" i="4"/>
  <c r="AA22" i="4"/>
  <c r="AG22" i="4"/>
  <c r="I23" i="4"/>
  <c r="O23" i="4"/>
  <c r="U23" i="4"/>
  <c r="AA23" i="4"/>
  <c r="AG23" i="4"/>
  <c r="I24" i="4"/>
  <c r="O24" i="4"/>
  <c r="U24" i="4"/>
  <c r="AA24" i="4"/>
  <c r="AG24" i="4"/>
  <c r="I25" i="4"/>
  <c r="O25" i="4"/>
  <c r="U25" i="4"/>
  <c r="AA25" i="4"/>
  <c r="AG25" i="4"/>
  <c r="D26" i="4"/>
  <c r="E26" i="4"/>
  <c r="F26" i="4"/>
  <c r="G26" i="4"/>
  <c r="J26" i="4"/>
  <c r="K26" i="4"/>
  <c r="L26" i="4"/>
  <c r="M26" i="4"/>
  <c r="N26" i="4"/>
  <c r="P26" i="4"/>
  <c r="Q26" i="4"/>
  <c r="R26" i="4"/>
  <c r="S26" i="4"/>
  <c r="V26" i="4"/>
  <c r="W26" i="4"/>
  <c r="X26" i="4"/>
  <c r="Y26" i="4"/>
  <c r="AB26" i="4"/>
  <c r="AC26" i="4"/>
  <c r="AD26" i="4"/>
  <c r="AE26" i="4"/>
  <c r="D27" i="4"/>
  <c r="E27" i="4"/>
  <c r="F27" i="4"/>
  <c r="G27" i="4"/>
  <c r="J27" i="4"/>
  <c r="K27" i="4"/>
  <c r="L27" i="4"/>
  <c r="M27" i="4"/>
  <c r="N27" i="4"/>
  <c r="P27" i="4"/>
  <c r="Q27" i="4"/>
  <c r="R27" i="4"/>
  <c r="S27" i="4"/>
  <c r="V27" i="4"/>
  <c r="W27" i="4"/>
  <c r="X27" i="4"/>
  <c r="Y27" i="4"/>
  <c r="AB27" i="4"/>
  <c r="AC27" i="4"/>
  <c r="AD27" i="4"/>
  <c r="AE27" i="4"/>
  <c r="D28" i="4"/>
  <c r="E28" i="4"/>
  <c r="F28" i="4"/>
  <c r="G28" i="4"/>
  <c r="J28" i="4"/>
  <c r="K28" i="4"/>
  <c r="L28" i="4"/>
  <c r="M28" i="4"/>
  <c r="N28" i="4"/>
  <c r="P28" i="4"/>
  <c r="Q28" i="4"/>
  <c r="R28" i="4"/>
  <c r="S28" i="4"/>
  <c r="V28" i="4"/>
  <c r="W28" i="4"/>
  <c r="X28" i="4"/>
  <c r="Y28" i="4"/>
  <c r="AB28" i="4"/>
  <c r="AC28" i="4"/>
  <c r="AD28" i="4"/>
  <c r="AE28" i="4"/>
  <c r="D29" i="4"/>
  <c r="E29" i="4"/>
  <c r="F29" i="4"/>
  <c r="G29" i="4"/>
  <c r="J29" i="4"/>
  <c r="K29" i="4"/>
  <c r="L29" i="4"/>
  <c r="M29" i="4"/>
  <c r="N29" i="4"/>
  <c r="P29" i="4"/>
  <c r="Q29" i="4"/>
  <c r="R29" i="4"/>
  <c r="S29" i="4"/>
  <c r="V29" i="4"/>
  <c r="W29" i="4"/>
  <c r="X29" i="4"/>
  <c r="Y29" i="4"/>
  <c r="AB29" i="4"/>
  <c r="AC29" i="4"/>
  <c r="AD29" i="4"/>
  <c r="AE29" i="4"/>
  <c r="D30" i="4"/>
  <c r="E30" i="4"/>
  <c r="F30" i="4"/>
  <c r="G30" i="4"/>
  <c r="J30" i="4"/>
  <c r="K30" i="4"/>
  <c r="L30" i="4"/>
  <c r="M30" i="4"/>
  <c r="N30" i="4"/>
  <c r="P30" i="4"/>
  <c r="Q30" i="4"/>
  <c r="R30" i="4"/>
  <c r="S30" i="4"/>
  <c r="V30" i="4"/>
  <c r="W30" i="4"/>
  <c r="X30" i="4"/>
  <c r="Y30" i="4"/>
  <c r="AB30" i="4"/>
  <c r="AC30" i="4"/>
  <c r="AD30" i="4"/>
  <c r="AE30" i="4"/>
  <c r="D31" i="4"/>
  <c r="E31" i="4"/>
  <c r="F31" i="4"/>
  <c r="G31" i="4"/>
  <c r="J31" i="4"/>
  <c r="K31" i="4"/>
  <c r="L31" i="4"/>
  <c r="M31" i="4"/>
  <c r="N31" i="4"/>
  <c r="P31" i="4"/>
  <c r="Q31" i="4"/>
  <c r="R31" i="4"/>
  <c r="S31" i="4"/>
  <c r="V31" i="4"/>
  <c r="W31" i="4"/>
  <c r="X31" i="4"/>
  <c r="Y31" i="4"/>
  <c r="AB31" i="4"/>
  <c r="AC31" i="4"/>
  <c r="AD31" i="4"/>
  <c r="AE31" i="4"/>
  <c r="D32" i="4"/>
  <c r="E32" i="4"/>
  <c r="F32" i="4"/>
  <c r="G32" i="4"/>
  <c r="J32" i="4"/>
  <c r="K32" i="4"/>
  <c r="L32" i="4"/>
  <c r="M32" i="4"/>
  <c r="N32" i="4"/>
  <c r="P32" i="4"/>
  <c r="Q32" i="4"/>
  <c r="R32" i="4"/>
  <c r="S32" i="4"/>
  <c r="V32" i="4"/>
  <c r="W32" i="4"/>
  <c r="X32" i="4"/>
  <c r="Y32" i="4"/>
  <c r="AB32" i="4"/>
  <c r="AC32" i="4"/>
  <c r="AD32" i="4"/>
  <c r="AE32" i="4"/>
  <c r="D33" i="4"/>
  <c r="E33" i="4"/>
  <c r="F33" i="4"/>
  <c r="G33" i="4"/>
  <c r="J33" i="4"/>
  <c r="K33" i="4"/>
  <c r="L33" i="4"/>
  <c r="M33" i="4"/>
  <c r="N33" i="4"/>
  <c r="P33" i="4"/>
  <c r="Q33" i="4"/>
  <c r="R33" i="4"/>
  <c r="S33" i="4"/>
  <c r="V33" i="4"/>
  <c r="W33" i="4"/>
  <c r="X33" i="4"/>
  <c r="Y33" i="4"/>
  <c r="AB33" i="4"/>
  <c r="AC33" i="4"/>
  <c r="AD33" i="4"/>
  <c r="AE33" i="4"/>
  <c r="D34" i="4"/>
  <c r="E34" i="4"/>
  <c r="F34" i="4"/>
  <c r="G34" i="4"/>
  <c r="J34" i="4"/>
  <c r="K34" i="4"/>
  <c r="L34" i="4"/>
  <c r="M34" i="4"/>
  <c r="N34" i="4"/>
  <c r="P34" i="4"/>
  <c r="Q34" i="4"/>
  <c r="R34" i="4"/>
  <c r="S34" i="4"/>
  <c r="V34" i="4"/>
  <c r="W34" i="4"/>
  <c r="X34" i="4"/>
  <c r="Y34" i="4"/>
  <c r="AB34" i="4"/>
  <c r="AC34" i="4"/>
  <c r="AD34" i="4"/>
  <c r="AE34" i="4"/>
  <c r="D35" i="4"/>
  <c r="E35" i="4"/>
  <c r="F35" i="4"/>
  <c r="G35" i="4"/>
  <c r="J35" i="4"/>
  <c r="K35" i="4"/>
  <c r="L35" i="4"/>
  <c r="M35" i="4"/>
  <c r="N35" i="4"/>
  <c r="P35" i="4"/>
  <c r="Q35" i="4"/>
  <c r="R35" i="4"/>
  <c r="S35" i="4"/>
  <c r="V35" i="4"/>
  <c r="W35" i="4"/>
  <c r="X35" i="4"/>
  <c r="Y35" i="4"/>
  <c r="AB35" i="4"/>
  <c r="AC35" i="4"/>
  <c r="AD35" i="4"/>
  <c r="AE35" i="4"/>
  <c r="D36" i="4"/>
  <c r="E36" i="4"/>
  <c r="F36" i="4"/>
  <c r="G36" i="4"/>
  <c r="J36" i="4"/>
  <c r="K36" i="4"/>
  <c r="L36" i="4"/>
  <c r="M36" i="4"/>
  <c r="N36" i="4"/>
  <c r="P36" i="4"/>
  <c r="Q36" i="4"/>
  <c r="R36" i="4"/>
  <c r="S36" i="4"/>
  <c r="V36" i="4"/>
  <c r="W36" i="4"/>
  <c r="X36" i="4"/>
  <c r="Y36" i="4"/>
  <c r="AB36" i="4"/>
  <c r="AC36" i="4"/>
  <c r="AD36" i="4"/>
  <c r="AE36" i="4"/>
  <c r="D37" i="4"/>
  <c r="E37" i="4"/>
  <c r="F37" i="4"/>
  <c r="G37" i="4"/>
  <c r="J37" i="4"/>
  <c r="K37" i="4"/>
  <c r="L37" i="4"/>
  <c r="M37" i="4"/>
  <c r="N37" i="4"/>
  <c r="P37" i="4"/>
  <c r="Q37" i="4"/>
  <c r="R37" i="4"/>
  <c r="S37" i="4"/>
  <c r="V37" i="4"/>
  <c r="W37" i="4"/>
  <c r="X37" i="4"/>
  <c r="Y37" i="4"/>
  <c r="AB37" i="4"/>
  <c r="AC37" i="4"/>
  <c r="AD37" i="4"/>
  <c r="AE37" i="4"/>
  <c r="D38" i="4"/>
  <c r="E38" i="4"/>
  <c r="F38" i="4"/>
  <c r="G38" i="4"/>
  <c r="J38" i="4"/>
  <c r="K38" i="4"/>
  <c r="L38" i="4"/>
  <c r="M38" i="4"/>
  <c r="N38" i="4"/>
  <c r="P38" i="4"/>
  <c r="Q38" i="4"/>
  <c r="R38" i="4"/>
  <c r="S38" i="4"/>
  <c r="V38" i="4"/>
  <c r="W38" i="4"/>
  <c r="X38" i="4"/>
  <c r="Y38" i="4"/>
  <c r="AB38" i="4"/>
  <c r="AC38" i="4"/>
  <c r="AD38" i="4"/>
  <c r="AE38" i="4"/>
  <c r="I58" i="4"/>
  <c r="O58" i="4"/>
  <c r="U58" i="4"/>
  <c r="AA58" i="4"/>
  <c r="AG58" i="4"/>
  <c r="I59" i="4"/>
  <c r="O59" i="4"/>
  <c r="U59" i="4"/>
  <c r="AA59" i="4"/>
  <c r="AG59" i="4"/>
  <c r="I60" i="4"/>
  <c r="O60" i="4"/>
  <c r="U60" i="4"/>
  <c r="AA60" i="4"/>
  <c r="AG60" i="4"/>
  <c r="I61" i="4"/>
  <c r="O61" i="4"/>
  <c r="U61" i="4"/>
  <c r="AA61" i="4"/>
  <c r="AG61" i="4"/>
  <c r="I62" i="4"/>
  <c r="O62" i="4"/>
  <c r="U62" i="4"/>
  <c r="AA62" i="4"/>
  <c r="AG62" i="4"/>
  <c r="I63" i="4"/>
  <c r="O63" i="4"/>
  <c r="U63" i="4"/>
  <c r="AA63" i="4"/>
  <c r="AG63" i="4"/>
  <c r="I64" i="4"/>
  <c r="O64" i="4"/>
  <c r="U64" i="4"/>
  <c r="AA64" i="4"/>
  <c r="AG64" i="4"/>
  <c r="I65" i="4"/>
  <c r="O65" i="4"/>
  <c r="U65" i="4"/>
  <c r="AA65" i="4"/>
  <c r="AG65" i="4"/>
  <c r="I66" i="4"/>
  <c r="O66" i="4"/>
  <c r="U66" i="4"/>
  <c r="AA66" i="4"/>
  <c r="AG66" i="4"/>
  <c r="I67" i="4"/>
  <c r="O67" i="4"/>
  <c r="U67" i="4"/>
  <c r="AA67" i="4"/>
  <c r="AG67" i="4"/>
  <c r="I68" i="4"/>
  <c r="O68" i="4"/>
  <c r="U68" i="4"/>
  <c r="AA68" i="4"/>
  <c r="AG68" i="4"/>
  <c r="I69" i="4"/>
  <c r="O69" i="4"/>
  <c r="U69" i="4"/>
  <c r="AA69" i="4"/>
  <c r="AG69" i="4"/>
  <c r="I70" i="4"/>
  <c r="O70" i="4"/>
  <c r="U70" i="4"/>
  <c r="AA70" i="4"/>
  <c r="AG70" i="4"/>
  <c r="I71" i="4"/>
  <c r="O71" i="4"/>
  <c r="U71" i="4"/>
  <c r="AA71" i="4"/>
  <c r="AG71" i="4"/>
  <c r="I72" i="4"/>
  <c r="O72" i="4"/>
  <c r="U72" i="4"/>
  <c r="AA72" i="4"/>
  <c r="AG72" i="4"/>
  <c r="I73" i="4"/>
  <c r="O73" i="4"/>
  <c r="U73" i="4"/>
  <c r="AA73" i="4"/>
  <c r="AG73" i="4"/>
  <c r="I74" i="4"/>
  <c r="O74" i="4"/>
  <c r="U74" i="4"/>
  <c r="AA74" i="4"/>
  <c r="AG74" i="4"/>
  <c r="I75" i="4"/>
  <c r="O75" i="4"/>
  <c r="U75" i="4"/>
  <c r="AA75" i="4"/>
  <c r="AG75" i="4"/>
  <c r="I76" i="4"/>
  <c r="O76" i="4"/>
  <c r="U76" i="4"/>
  <c r="AA76" i="4"/>
  <c r="AG76" i="4"/>
  <c r="I77" i="4"/>
  <c r="O77" i="4"/>
  <c r="U77" i="4"/>
  <c r="AA77" i="4"/>
  <c r="AG77" i="4"/>
  <c r="I78" i="4"/>
  <c r="O78" i="4"/>
  <c r="U78" i="4"/>
  <c r="AA78" i="4"/>
  <c r="AG78" i="4"/>
  <c r="T96" i="4"/>
  <c r="T91" i="4"/>
  <c r="Q81" i="4" l="1"/>
  <c r="AD79" i="4"/>
  <c r="G79" i="4"/>
  <c r="M83" i="4"/>
  <c r="P81" i="4"/>
  <c r="AC79" i="4"/>
  <c r="F79" i="4"/>
  <c r="F95" i="4" s="1"/>
  <c r="L83" i="4"/>
  <c r="N81" i="4"/>
  <c r="N97" i="4" s="1"/>
  <c r="N100" i="4" s="1"/>
  <c r="AB79" i="4"/>
  <c r="E79" i="4"/>
  <c r="K83" i="4"/>
  <c r="M81" i="4"/>
  <c r="Y79" i="4"/>
  <c r="Y85" i="4" s="1"/>
  <c r="D79" i="4"/>
  <c r="AE83" i="4"/>
  <c r="J83" i="4"/>
  <c r="L81" i="4"/>
  <c r="X79" i="4"/>
  <c r="AD83" i="4"/>
  <c r="G83" i="4"/>
  <c r="K81" i="4"/>
  <c r="W79" i="4"/>
  <c r="AC83" i="4"/>
  <c r="AC96" i="4" s="1"/>
  <c r="F83" i="4"/>
  <c r="F96" i="4" s="1"/>
  <c r="AE81" i="4"/>
  <c r="J81" i="4"/>
  <c r="V79" i="4"/>
  <c r="V95" i="4" s="1"/>
  <c r="AB83" i="4"/>
  <c r="E83" i="4"/>
  <c r="E96" i="4" s="1"/>
  <c r="AD81" i="4"/>
  <c r="AD97" i="4" s="1"/>
  <c r="AD100" i="4" s="1"/>
  <c r="G81" i="4"/>
  <c r="S79" i="4"/>
  <c r="Y83" i="4"/>
  <c r="AC81" i="4"/>
  <c r="F81" i="4"/>
  <c r="R79" i="4"/>
  <c r="X83" i="4"/>
  <c r="AB81" i="4"/>
  <c r="E81" i="4"/>
  <c r="E97" i="4" s="1"/>
  <c r="E100" i="4" s="1"/>
  <c r="Q79" i="4"/>
  <c r="Q85" i="4" s="1"/>
  <c r="W83" i="4"/>
  <c r="Y81" i="4"/>
  <c r="P79" i="4"/>
  <c r="P85" i="4" s="1"/>
  <c r="V83" i="4"/>
  <c r="V96" i="4" s="1"/>
  <c r="X81" i="4"/>
  <c r="X97" i="4" s="1"/>
  <c r="X100" i="4" s="1"/>
  <c r="N79" i="4"/>
  <c r="S83" i="4"/>
  <c r="W81" i="4"/>
  <c r="M79" i="4"/>
  <c r="R83" i="4"/>
  <c r="V81" i="4"/>
  <c r="L79" i="4"/>
  <c r="Q83" i="4"/>
  <c r="Q96" i="4" s="1"/>
  <c r="S81" i="4"/>
  <c r="K79" i="4"/>
  <c r="P83" i="4"/>
  <c r="R81" i="4"/>
  <c r="R97" i="4" s="1"/>
  <c r="R100" i="4" s="1"/>
  <c r="AE79" i="4"/>
  <c r="J79" i="4"/>
  <c r="N83" i="4"/>
  <c r="N96" i="4" s="1"/>
  <c r="J89" i="4"/>
  <c r="J92" i="4" s="1"/>
  <c r="AD89" i="4"/>
  <c r="AD91" i="4" s="1"/>
  <c r="R89" i="4"/>
  <c r="G89" i="4"/>
  <c r="G92" i="4" s="1"/>
  <c r="AE89" i="4"/>
  <c r="AE92" i="4" s="1"/>
  <c r="AC89" i="4"/>
  <c r="AC91" i="4" s="1"/>
  <c r="Q89" i="4"/>
  <c r="F89" i="4"/>
  <c r="AB89" i="4"/>
  <c r="P89" i="4"/>
  <c r="P92" i="4" s="1"/>
  <c r="E89" i="4"/>
  <c r="Y89" i="4"/>
  <c r="Y91" i="4" s="1"/>
  <c r="N89" i="4"/>
  <c r="N92" i="4" s="1"/>
  <c r="D89" i="4"/>
  <c r="D91" i="4" s="1"/>
  <c r="S89" i="4"/>
  <c r="S92" i="4" s="1"/>
  <c r="X89" i="4"/>
  <c r="M89" i="4"/>
  <c r="M96" i="4"/>
  <c r="W89" i="4"/>
  <c r="L89" i="4"/>
  <c r="V89" i="4"/>
  <c r="V92" i="4" s="1"/>
  <c r="K89" i="4"/>
  <c r="AG32" i="4"/>
  <c r="O30" i="4"/>
  <c r="U29" i="4"/>
  <c r="Y96" i="4"/>
  <c r="I38" i="4"/>
  <c r="I37" i="4"/>
  <c r="AA32" i="4"/>
  <c r="O32" i="4"/>
  <c r="AA34" i="4"/>
  <c r="AA26" i="4"/>
  <c r="H96" i="4"/>
  <c r="U35" i="4"/>
  <c r="I35" i="4"/>
  <c r="O36" i="4"/>
  <c r="U36" i="4"/>
  <c r="U33" i="4"/>
  <c r="AG30" i="4"/>
  <c r="U30" i="4"/>
  <c r="R96" i="4"/>
  <c r="AG36" i="4"/>
  <c r="W97" i="4"/>
  <c r="W100" i="4" s="1"/>
  <c r="AA36" i="4"/>
  <c r="U31" i="4"/>
  <c r="I31" i="4"/>
  <c r="I28" i="4"/>
  <c r="U26" i="4"/>
  <c r="AA38" i="4"/>
  <c r="O35" i="4"/>
  <c r="U34" i="4"/>
  <c r="O38" i="4"/>
  <c r="I34" i="4"/>
  <c r="AA33" i="4"/>
  <c r="O33" i="4"/>
  <c r="AG26" i="4"/>
  <c r="I36" i="4"/>
  <c r="AG38" i="4"/>
  <c r="U38" i="4"/>
  <c r="U32" i="4"/>
  <c r="G95" i="4"/>
  <c r="I27" i="4"/>
  <c r="AF97" i="4"/>
  <c r="AF100" i="4" s="1"/>
  <c r="I30" i="4"/>
  <c r="T95" i="4"/>
  <c r="T99" i="4" s="1"/>
  <c r="D81" i="4"/>
  <c r="D97" i="4" s="1"/>
  <c r="D100" i="4" s="1"/>
  <c r="O34" i="4"/>
  <c r="AG28" i="4"/>
  <c r="H97" i="4"/>
  <c r="H100" i="4" s="1"/>
  <c r="O29" i="4"/>
  <c r="L97" i="4"/>
  <c r="L100" i="4" s="1"/>
  <c r="AG33" i="4"/>
  <c r="AA30" i="4"/>
  <c r="AD96" i="4"/>
  <c r="L96" i="4"/>
  <c r="O26" i="4"/>
  <c r="AG27" i="4"/>
  <c r="T97" i="4"/>
  <c r="T100" i="4" s="1"/>
  <c r="V97" i="4"/>
  <c r="V100" i="4" s="1"/>
  <c r="AG35" i="4"/>
  <c r="AG34" i="4"/>
  <c r="AA31" i="4"/>
  <c r="O27" i="4"/>
  <c r="AF96" i="4"/>
  <c r="U28" i="4"/>
  <c r="U27" i="4"/>
  <c r="U37" i="4"/>
  <c r="O37" i="4"/>
  <c r="I33" i="4"/>
  <c r="O31" i="4"/>
  <c r="R95" i="4"/>
  <c r="I26" i="4"/>
  <c r="I29" i="4"/>
  <c r="AA28" i="4"/>
  <c r="AG37" i="4"/>
  <c r="AA35" i="4"/>
  <c r="AG31" i="4"/>
  <c r="AG29" i="4"/>
  <c r="AA27" i="4"/>
  <c r="O39" i="4"/>
  <c r="O82" i="4" s="1"/>
  <c r="O28" i="4"/>
  <c r="AA39" i="4"/>
  <c r="AA82" i="4" s="1"/>
  <c r="D83" i="4"/>
  <c r="D96" i="4" s="1"/>
  <c r="AA37" i="4"/>
  <c r="I32" i="4"/>
  <c r="I39" i="4"/>
  <c r="I82" i="4" s="1"/>
  <c r="Z97" i="4"/>
  <c r="Z100" i="4" s="1"/>
  <c r="AA29" i="4"/>
  <c r="T92" i="4"/>
  <c r="Z91" i="4"/>
  <c r="H95" i="4"/>
  <c r="H92" i="4"/>
  <c r="AF95" i="4"/>
  <c r="Z95" i="4"/>
  <c r="Z96" i="4"/>
  <c r="AA81" i="4" l="1"/>
  <c r="U79" i="4"/>
  <c r="AG83" i="4"/>
  <c r="S85" i="4"/>
  <c r="AB85" i="4"/>
  <c r="AG79" i="4"/>
  <c r="O81" i="4"/>
  <c r="E85" i="4"/>
  <c r="O79" i="4"/>
  <c r="O83" i="4"/>
  <c r="W85" i="4"/>
  <c r="F85" i="4"/>
  <c r="N85" i="4"/>
  <c r="K85" i="4"/>
  <c r="I83" i="4"/>
  <c r="U83" i="4"/>
  <c r="I81" i="4"/>
  <c r="L85" i="4"/>
  <c r="AC85" i="4"/>
  <c r="D85" i="4"/>
  <c r="J85" i="4"/>
  <c r="AE85" i="4"/>
  <c r="V85" i="4"/>
  <c r="I79" i="4"/>
  <c r="AA79" i="4"/>
  <c r="U81" i="4"/>
  <c r="R85" i="4"/>
  <c r="X85" i="4"/>
  <c r="G85" i="4"/>
  <c r="AG81" i="4"/>
  <c r="AA83" i="4"/>
  <c r="AA85" i="4" s="1"/>
  <c r="O85" i="4"/>
  <c r="N95" i="4"/>
  <c r="N99" i="4" s="1"/>
  <c r="N101" i="4" s="1"/>
  <c r="N103" i="4" s="1"/>
  <c r="M85" i="4"/>
  <c r="AD85" i="4"/>
  <c r="X95" i="4"/>
  <c r="Y95" i="4"/>
  <c r="Y99" i="4" s="1"/>
  <c r="L95" i="4"/>
  <c r="L99" i="4" s="1"/>
  <c r="AG89" i="4"/>
  <c r="U89" i="4"/>
  <c r="AA89" i="4"/>
  <c r="O89" i="4"/>
  <c r="I89" i="4"/>
  <c r="Q95" i="4"/>
  <c r="Q99" i="4" s="1"/>
  <c r="AB95" i="4"/>
  <c r="T101" i="4"/>
  <c r="T103" i="4" s="1"/>
  <c r="H99" i="4"/>
  <c r="H101" i="4" s="1"/>
  <c r="H103" i="4" s="1"/>
  <c r="Y97" i="4"/>
  <c r="Y100" i="4" s="1"/>
  <c r="S97" i="4"/>
  <c r="S100" i="4" s="1"/>
  <c r="AF99" i="4"/>
  <c r="AF101" i="4" s="1"/>
  <c r="AF103" i="4" s="1"/>
  <c r="AC95" i="4"/>
  <c r="AC99" i="4" s="1"/>
  <c r="K96" i="4"/>
  <c r="F97" i="4"/>
  <c r="F100" i="4" s="1"/>
  <c r="AB96" i="4"/>
  <c r="M97" i="4"/>
  <c r="M100" i="4" s="1"/>
  <c r="J96" i="4"/>
  <c r="F99" i="4"/>
  <c r="W96" i="4"/>
  <c r="V91" i="4"/>
  <c r="D92" i="4"/>
  <c r="N91" i="4"/>
  <c r="P97" i="4"/>
  <c r="P100" i="4" s="1"/>
  <c r="S96" i="4"/>
  <c r="J97" i="4"/>
  <c r="J100" i="4" s="1"/>
  <c r="X96" i="4"/>
  <c r="AD95" i="4"/>
  <c r="AD99" i="4" s="1"/>
  <c r="V99" i="4"/>
  <c r="Q97" i="4"/>
  <c r="Q100" i="4" s="1"/>
  <c r="K95" i="4"/>
  <c r="AE96" i="4"/>
  <c r="D95" i="4"/>
  <c r="D99" i="4" s="1"/>
  <c r="G96" i="4"/>
  <c r="G99" i="4" s="1"/>
  <c r="R99" i="4"/>
  <c r="AE97" i="4"/>
  <c r="AE100" i="4" s="1"/>
  <c r="Y92" i="4"/>
  <c r="M95" i="4"/>
  <c r="M99" i="4" s="1"/>
  <c r="P96" i="4"/>
  <c r="S95" i="4"/>
  <c r="AD92" i="4"/>
  <c r="S91" i="4"/>
  <c r="Z92" i="4"/>
  <c r="G91" i="4"/>
  <c r="AE95" i="4"/>
  <c r="AE91" i="4"/>
  <c r="AC92" i="4"/>
  <c r="W95" i="4"/>
  <c r="P91" i="4"/>
  <c r="J91" i="4"/>
  <c r="H91" i="4"/>
  <c r="W92" i="4"/>
  <c r="W91" i="4"/>
  <c r="G97" i="4"/>
  <c r="G100" i="4" s="1"/>
  <c r="F91" i="4"/>
  <c r="F92" i="4"/>
  <c r="Z99" i="4"/>
  <c r="Z101" i="4" s="1"/>
  <c r="Z103" i="4" s="1"/>
  <c r="AB92" i="4"/>
  <c r="AB91" i="4"/>
  <c r="Q92" i="4"/>
  <c r="Q91" i="4"/>
  <c r="X91" i="4"/>
  <c r="X92" i="4"/>
  <c r="R92" i="4"/>
  <c r="R91" i="4"/>
  <c r="P95" i="4"/>
  <c r="AC97" i="4"/>
  <c r="AC100" i="4" s="1"/>
  <c r="AF91" i="4"/>
  <c r="AF92" i="4"/>
  <c r="L91" i="4"/>
  <c r="L92" i="4"/>
  <c r="AB97" i="4"/>
  <c r="AB100" i="4" s="1"/>
  <c r="E95" i="4"/>
  <c r="E99" i="4" s="1"/>
  <c r="K92" i="4"/>
  <c r="K91" i="4"/>
  <c r="E92" i="4"/>
  <c r="E91" i="4"/>
  <c r="M91" i="4"/>
  <c r="M92" i="4"/>
  <c r="J95" i="4"/>
  <c r="K97" i="4"/>
  <c r="K100" i="4" s="1"/>
  <c r="L101" i="4" l="1"/>
  <c r="L103" i="4" s="1"/>
  <c r="E101" i="4"/>
  <c r="E103" i="4" s="1"/>
  <c r="D101" i="4"/>
  <c r="D103" i="4" s="1"/>
  <c r="R101" i="4"/>
  <c r="R103" i="4" s="1"/>
  <c r="AD101" i="4"/>
  <c r="AD103" i="4" s="1"/>
  <c r="V101" i="4"/>
  <c r="V103" i="4" s="1"/>
  <c r="U85" i="4"/>
  <c r="I85" i="4"/>
  <c r="AG85" i="4"/>
  <c r="X99" i="4"/>
  <c r="U95" i="4"/>
  <c r="I97" i="4"/>
  <c r="I100" i="4" s="1"/>
  <c r="AA95" i="4"/>
  <c r="AB99" i="4"/>
  <c r="U96" i="4"/>
  <c r="I95" i="4"/>
  <c r="Y101" i="4"/>
  <c r="Y103" i="4" s="1"/>
  <c r="I96" i="4"/>
  <c r="AG97" i="4"/>
  <c r="AG100" i="4" s="1"/>
  <c r="AA96" i="4"/>
  <c r="AG96" i="4"/>
  <c r="O96" i="4"/>
  <c r="K99" i="4"/>
  <c r="O97" i="4"/>
  <c r="O100" i="4" s="1"/>
  <c r="AE99" i="4"/>
  <c r="W99" i="4"/>
  <c r="P99" i="4"/>
  <c r="J99" i="4"/>
  <c r="S99" i="4"/>
  <c r="F101" i="4"/>
  <c r="F103" i="4" s="1"/>
  <c r="M101" i="4"/>
  <c r="M103" i="4" s="1"/>
  <c r="Q101" i="4"/>
  <c r="Q103" i="4" s="1"/>
  <c r="AC101" i="4"/>
  <c r="AC103" i="4" s="1"/>
  <c r="AG95" i="4"/>
  <c r="AA97" i="4"/>
  <c r="AA100" i="4" s="1"/>
  <c r="G101" i="4"/>
  <c r="G103" i="4" s="1"/>
  <c r="O95" i="4"/>
  <c r="U97" i="4"/>
  <c r="U100" i="4" s="1"/>
  <c r="AA99" i="4" l="1"/>
  <c r="AA101" i="4" s="1"/>
  <c r="AA103" i="4" s="1"/>
  <c r="X101" i="4"/>
  <c r="X103" i="4" s="1"/>
  <c r="AE101" i="4"/>
  <c r="AE103" i="4" s="1"/>
  <c r="S101" i="4"/>
  <c r="S103" i="4" s="1"/>
  <c r="K101" i="4"/>
  <c r="K103" i="4" s="1"/>
  <c r="AB101" i="4"/>
  <c r="AB103" i="4" s="1"/>
  <c r="W101" i="4"/>
  <c r="W103" i="4" s="1"/>
  <c r="J101" i="4"/>
  <c r="J103" i="4" s="1"/>
  <c r="P101" i="4"/>
  <c r="P103" i="4" s="1"/>
  <c r="U99" i="4"/>
  <c r="U101" i="4" s="1"/>
  <c r="U103" i="4" s="1"/>
  <c r="AG99" i="4"/>
  <c r="AG101" i="4" s="1"/>
  <c r="AG103" i="4" s="1"/>
  <c r="I99" i="4"/>
  <c r="I101" i="4" s="1"/>
  <c r="I103" i="4" s="1"/>
  <c r="O99" i="4"/>
  <c r="O101" i="4" s="1"/>
  <c r="O103" i="4" s="1"/>
</calcChain>
</file>

<file path=xl/comments1.xml><?xml version="1.0" encoding="utf-8"?>
<comments xmlns="http://schemas.openxmlformats.org/spreadsheetml/2006/main">
  <authors>
    <author>Meyta A. R.</author>
  </authors>
  <commentList>
    <comment ref="G7" authorId="0" shapeId="0">
      <text>
        <r>
          <rPr>
            <b/>
            <sz val="9"/>
            <color indexed="81"/>
            <rFont val="Tahoma"/>
            <family val="2"/>
          </rPr>
          <t>propose qty 0 due to JAI have Lebaran Holiday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BO 9.30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>BO 9.30</t>
        </r>
      </text>
    </comment>
  </commentList>
</comments>
</file>

<file path=xl/sharedStrings.xml><?xml version="1.0" encoding="utf-8"?>
<sst xmlns="http://schemas.openxmlformats.org/spreadsheetml/2006/main" count="180" uniqueCount="148">
  <si>
    <t>ASSY NO</t>
  </si>
  <si>
    <t>TOT</t>
  </si>
  <si>
    <t>ASSY NO (SPP)</t>
  </si>
  <si>
    <t>CUMM TOTAL</t>
  </si>
  <si>
    <t>SR=====&gt;</t>
  </si>
  <si>
    <t>COMPARE</t>
  </si>
  <si>
    <t>SR EXCEL</t>
  </si>
  <si>
    <t>CUMM TOTAL CONV</t>
  </si>
  <si>
    <t>CUMM TOTAL TNGA</t>
  </si>
  <si>
    <t>CUMM TOTAL HV</t>
  </si>
  <si>
    <t>350B (LHD,CONV)</t>
  </si>
  <si>
    <t>350B (LHD,TNGA)</t>
  </si>
  <si>
    <t>FORECAST</t>
  </si>
  <si>
    <t>TOTAL</t>
  </si>
  <si>
    <t>350B X-PKG (LHD, CONV)</t>
  </si>
  <si>
    <t>350B X-PKG (LHD, HEV)</t>
  </si>
  <si>
    <t>661B (LHD,TNGA)</t>
  </si>
  <si>
    <t>82111F2W02 B</t>
  </si>
  <si>
    <t>82111F2W22 B</t>
  </si>
  <si>
    <t>82111F2W33 B</t>
  </si>
  <si>
    <t>82111F2W62 B</t>
  </si>
  <si>
    <t>82111KC012 B</t>
  </si>
  <si>
    <t>82111F2210 C</t>
  </si>
  <si>
    <t>82111F2220 D</t>
  </si>
  <si>
    <t>82111F2W41 B</t>
  </si>
  <si>
    <t>82111F2W91 B</t>
  </si>
  <si>
    <t>82111KC021 B</t>
  </si>
  <si>
    <t>82111F2L51 B</t>
  </si>
  <si>
    <t>82111-F2W02 B</t>
  </si>
  <si>
    <t>82111-F2W22 B</t>
  </si>
  <si>
    <t>82111-F2W33 B</t>
  </si>
  <si>
    <t>82111-F2W62 B</t>
  </si>
  <si>
    <t>82111-KC012 B</t>
  </si>
  <si>
    <t>82111-KC021 B</t>
  </si>
  <si>
    <t>82111-F2W41 B</t>
  </si>
  <si>
    <t>82111-F2W91 B</t>
  </si>
  <si>
    <t>82111-F2210 C</t>
  </si>
  <si>
    <t>82111-F2220 D</t>
  </si>
  <si>
    <t>82111-F2L51 B</t>
  </si>
  <si>
    <t>82111-F2W82 B</t>
  </si>
  <si>
    <t>82111F2W82 B</t>
  </si>
  <si>
    <t>82111-FEQ90</t>
  </si>
  <si>
    <t>82111FEQ90</t>
  </si>
  <si>
    <t>198D (LHD,TNGA)</t>
  </si>
  <si>
    <t>350B (LHD,HEV)</t>
  </si>
  <si>
    <t>198D (LHD,CONV)</t>
  </si>
  <si>
    <t>198D (LHD,HEV)</t>
  </si>
  <si>
    <t>82111FEQ60</t>
  </si>
  <si>
    <t>82111-FEQ60</t>
  </si>
  <si>
    <t>82111F2211</t>
  </si>
  <si>
    <t>82111-F2211</t>
  </si>
  <si>
    <t>82111F2W42</t>
  </si>
  <si>
    <t>82111F2W92</t>
  </si>
  <si>
    <t>82111F2W23</t>
  </si>
  <si>
    <t>82111F2W34</t>
  </si>
  <si>
    <t>82111F2W63</t>
  </si>
  <si>
    <t>82111F2W83</t>
  </si>
  <si>
    <t>82111F2132</t>
  </si>
  <si>
    <t>82111F2152</t>
  </si>
  <si>
    <t>82111F2X02</t>
  </si>
  <si>
    <t>82111F2C11</t>
  </si>
  <si>
    <t>82111-F2W42</t>
  </si>
  <si>
    <t>82111-F2W92</t>
  </si>
  <si>
    <t>82111-F2W23</t>
  </si>
  <si>
    <t>82111-F2W34</t>
  </si>
  <si>
    <t>82111-F2W63</t>
  </si>
  <si>
    <t>82111-F2W83</t>
  </si>
  <si>
    <t>82111-F2132</t>
  </si>
  <si>
    <t>82111-F2152</t>
  </si>
  <si>
    <t>82111-F2X02</t>
  </si>
  <si>
    <t>82111-F2C11</t>
  </si>
  <si>
    <t>82111-F2W11 C</t>
  </si>
  <si>
    <t>82111-F2X01 C</t>
  </si>
  <si>
    <t>82111-F2151 C</t>
  </si>
  <si>
    <t>82111-F2C10 F</t>
  </si>
  <si>
    <t>82111-F2131 D</t>
  </si>
  <si>
    <t>82115-F2Y40</t>
  </si>
  <si>
    <t>82115F2Y40</t>
  </si>
  <si>
    <t>82111F2W11 B</t>
  </si>
  <si>
    <t>82111F2X01 B</t>
  </si>
  <si>
    <t>82111F2151 B</t>
  </si>
  <si>
    <t>82111F2C10 D</t>
  </si>
  <si>
    <t>82111F2131 C</t>
  </si>
  <si>
    <t>82111-FET40</t>
  </si>
  <si>
    <t>82115-F2390</t>
  </si>
  <si>
    <t>82116-0ZW70</t>
  </si>
  <si>
    <t>82116-0ZW80</t>
  </si>
  <si>
    <t>82116-0ZW90</t>
  </si>
  <si>
    <t>82116-0ZX70</t>
  </si>
  <si>
    <t>82116-0ZX90</t>
  </si>
  <si>
    <t>82116-0ZY00</t>
  </si>
  <si>
    <t>82116-0ZY10</t>
  </si>
  <si>
    <t>82111FET40</t>
  </si>
  <si>
    <t>82115F2390</t>
  </si>
  <si>
    <t>821160ZW70</t>
  </si>
  <si>
    <t>821160ZW80</t>
  </si>
  <si>
    <t>821160ZW90</t>
  </si>
  <si>
    <t>821160ZX70</t>
  </si>
  <si>
    <t>821160ZX90</t>
  </si>
  <si>
    <t>821160ZY00</t>
  </si>
  <si>
    <t>821160ZY10</t>
  </si>
  <si>
    <t>82111-FET00</t>
  </si>
  <si>
    <t>82111-FET10</t>
  </si>
  <si>
    <t>82111-FET20</t>
  </si>
  <si>
    <t>82111-FET30</t>
  </si>
  <si>
    <t>82115-F2840</t>
  </si>
  <si>
    <t>82111FET00</t>
  </si>
  <si>
    <t>82111FET10</t>
  </si>
  <si>
    <t>82111FET20</t>
  </si>
  <si>
    <t>82111FET30</t>
  </si>
  <si>
    <t>82115F2840</t>
  </si>
  <si>
    <t>CONV (359D)</t>
  </si>
  <si>
    <t>HEV (359D)</t>
  </si>
  <si>
    <t>TNGA (661B &amp; 198D)</t>
  </si>
  <si>
    <t>TNGA (359D)</t>
  </si>
  <si>
    <t>HEV (198D)</t>
  </si>
  <si>
    <t>CONV (198D)</t>
  </si>
  <si>
    <t>TOTAL( 661B, 198D &amp; 359D )</t>
  </si>
  <si>
    <t>359D (TNGA) F2220</t>
  </si>
  <si>
    <t>359D (TNGA) FEQ60</t>
  </si>
  <si>
    <t>359D (TNGA) F2W92</t>
  </si>
  <si>
    <t>359D (CONV) F2W23</t>
  </si>
  <si>
    <t>359D (CONV) F2W34</t>
  </si>
  <si>
    <t>359D (HEV) F2132</t>
  </si>
  <si>
    <t>359D (HEV) F2152</t>
  </si>
  <si>
    <t>359D (TNGA) F2211</t>
  </si>
  <si>
    <t>359D (TNGA) F2W42</t>
  </si>
  <si>
    <t>359D (HEV) F2C11</t>
  </si>
  <si>
    <t>359D (HEV) F2W12</t>
  </si>
  <si>
    <t>359D (CONV) F2W83</t>
  </si>
  <si>
    <t>359D (HEV) F2X02</t>
  </si>
  <si>
    <t>C4</t>
  </si>
  <si>
    <t>AB5</t>
  </si>
  <si>
    <t>82111-FE150</t>
  </si>
  <si>
    <t>82111-FE200</t>
  </si>
  <si>
    <t>82111-FE210</t>
  </si>
  <si>
    <t>82111FE150</t>
  </si>
  <si>
    <t>82111FE200</t>
  </si>
  <si>
    <t>82111FE210</t>
  </si>
  <si>
    <t>824D (HEV)</t>
  </si>
  <si>
    <t>824D (CONV)</t>
  </si>
  <si>
    <t>FIRM</t>
  </si>
  <si>
    <t>359D (CONV)</t>
  </si>
  <si>
    <t>82111-FE460</t>
  </si>
  <si>
    <t>82111-FE470</t>
  </si>
  <si>
    <t>82111FE460</t>
  </si>
  <si>
    <t>82111FE470</t>
  </si>
  <si>
    <t>JAI-2026-2.26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</si>
</sst>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\-yy;@"/>
    <numFmt numFmtId="165" formatCode="[$-409]d\-mmm\-yy;@"/>
  </numFmts>
  <fonts count="11">
    <font>
      <sz val="11"/>
      <color theme="1"/>
      <name val="Calibri"/>
      <family val="2"/>
      <scheme val="minor"/>
    </font>
    <font>
      <sz val="10"/>
      <name val="ＭＳ ゴシック"/>
      <family val="3"/>
      <charset val="128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0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8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6">
    <xf numFmtId="0" fontId="0" fillId="0" borderId="0" xfId="0"/>
    <xf numFmtId="0" fontId="0" fillId="2" borderId="0" xfId="0" applyFill="1"/>
    <xf numFmtId="0" fontId="0" fillId="3" borderId="0" xfId="0" applyFill="1"/>
    <xf numFmtId="1" fontId="3" fillId="3" borderId="1" xfId="0" applyNumberFormat="1" applyFont="1" applyFill="1" applyBorder="1"/>
    <xf numFmtId="0" fontId="3" fillId="0" borderId="0" xfId="0" applyFont="1"/>
    <xf numFmtId="1" fontId="3" fillId="2" borderId="2" xfId="0" applyNumberFormat="1" applyFont="1" applyFill="1" applyBorder="1"/>
    <xf numFmtId="1" fontId="0" fillId="2" borderId="0" xfId="0" applyNumberFormat="1" applyFill="1"/>
    <xf numFmtId="0" fontId="3" fillId="2" borderId="0" xfId="0" applyFont="1" applyFill="1"/>
    <xf numFmtId="0" fontId="4" fillId="0" borderId="0" xfId="0" applyFont="1"/>
    <xf numFmtId="0" fontId="0" fillId="2" borderId="0" xfId="0" applyFont="1" applyFill="1"/>
    <xf numFmtId="0" fontId="4" fillId="2" borderId="2" xfId="0" applyFont="1" applyFill="1" applyBorder="1"/>
    <xf numFmtId="0" fontId="5" fillId="2" borderId="0" xfId="0" applyFont="1" applyFill="1"/>
    <xf numFmtId="0" fontId="4" fillId="2" borderId="0" xfId="0" applyFont="1" applyFill="1"/>
    <xf numFmtId="1" fontId="4" fillId="4" borderId="0" xfId="0" applyNumberFormat="1" applyFont="1" applyFill="1" applyBorder="1"/>
    <xf numFmtId="1" fontId="6" fillId="2" borderId="0" xfId="0" applyNumberFormat="1" applyFont="1" applyFill="1" applyAlignment="1">
      <alignment horizontal="right" vertical="center"/>
    </xf>
    <xf numFmtId="9" fontId="0" fillId="2" borderId="0" xfId="0" applyNumberFormat="1" applyFill="1"/>
    <xf numFmtId="1" fontId="4" fillId="2" borderId="3" xfId="0" applyNumberFormat="1" applyFont="1" applyFill="1" applyBorder="1"/>
    <xf numFmtId="1" fontId="3" fillId="2" borderId="3" xfId="0" applyNumberFormat="1" applyFont="1" applyFill="1" applyBorder="1"/>
    <xf numFmtId="0" fontId="0" fillId="2" borderId="0" xfId="0" quotePrefix="1" applyFill="1"/>
    <xf numFmtId="0" fontId="7" fillId="2" borderId="0" xfId="0" quotePrefix="1" applyFont="1" applyFill="1"/>
    <xf numFmtId="0" fontId="0" fillId="2" borderId="0" xfId="0" applyFill="1" applyAlignment="1">
      <alignment horizontal="left"/>
    </xf>
    <xf numFmtId="0" fontId="7" fillId="2" borderId="0" xfId="0" quotePrefix="1" applyFont="1" applyFill="1" applyAlignment="1">
      <alignment horizontal="left"/>
    </xf>
    <xf numFmtId="0" fontId="3" fillId="2" borderId="0" xfId="0" applyFont="1" applyFill="1" applyAlignment="1">
      <alignment horizontal="left"/>
    </xf>
    <xf numFmtId="1" fontId="0" fillId="2" borderId="0" xfId="0" applyNumberFormat="1" applyFill="1" applyAlignment="1">
      <alignment horizontal="left"/>
    </xf>
    <xf numFmtId="0" fontId="3" fillId="2" borderId="2" xfId="0" quotePrefix="1" applyFont="1" applyFill="1" applyBorder="1" applyAlignment="1">
      <alignment horizontal="right"/>
    </xf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3" fillId="5" borderId="1" xfId="0" applyFont="1" applyFill="1" applyBorder="1" applyAlignment="1">
      <alignment vertic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0" borderId="0" xfId="0" quotePrefix="1" applyFill="1"/>
    <xf numFmtId="1" fontId="0" fillId="5" borderId="0" xfId="0" applyNumberFormat="1" applyFill="1"/>
    <xf numFmtId="0" fontId="0" fillId="0" borderId="0" xfId="0" applyFill="1" applyBorder="1" applyAlignment="1">
      <alignment horizontal="right" vertical="center"/>
    </xf>
    <xf numFmtId="1" fontId="0" fillId="0" borderId="0" xfId="0" applyNumberFormat="1" applyFill="1" applyBorder="1"/>
    <xf numFmtId="1" fontId="8" fillId="0" borderId="0" xfId="0" applyNumberFormat="1" applyFont="1" applyFill="1" applyBorder="1" applyAlignment="1">
      <alignment vertical="center"/>
    </xf>
    <xf numFmtId="0" fontId="3" fillId="0" borderId="0" xfId="0" applyFont="1" applyFill="1"/>
    <xf numFmtId="1" fontId="8" fillId="0" borderId="2" xfId="0" applyNumberFormat="1" applyFont="1" applyFill="1" applyBorder="1" applyAlignment="1">
      <alignment horizontal="right" vertical="center"/>
    </xf>
    <xf numFmtId="0" fontId="3" fillId="3" borderId="4" xfId="0" applyFont="1" applyFill="1" applyBorder="1" applyAlignment="1"/>
    <xf numFmtId="1" fontId="0" fillId="3" borderId="0" xfId="0" applyNumberFormat="1" applyFill="1"/>
    <xf numFmtId="0" fontId="3" fillId="3" borderId="5" xfId="0" applyFont="1" applyFill="1" applyBorder="1" applyAlignment="1"/>
    <xf numFmtId="0" fontId="0" fillId="3" borderId="6" xfId="0" applyFill="1" applyBorder="1"/>
    <xf numFmtId="0" fontId="0" fillId="3" borderId="6" xfId="0" applyFill="1" applyBorder="1" applyAlignment="1">
      <alignment horizontal="left"/>
    </xf>
    <xf numFmtId="0" fontId="0" fillId="3" borderId="2" xfId="0" applyFill="1" applyBorder="1"/>
    <xf numFmtId="0" fontId="0" fillId="3" borderId="2" xfId="0" applyFill="1" applyBorder="1" applyAlignment="1">
      <alignment horizontal="left"/>
    </xf>
    <xf numFmtId="0" fontId="3" fillId="3" borderId="1" xfId="0" applyFont="1" applyFill="1" applyBorder="1" applyAlignment="1"/>
    <xf numFmtId="0" fontId="0" fillId="3" borderId="7" xfId="0" applyFill="1" applyBorder="1"/>
    <xf numFmtId="0" fontId="0" fillId="3" borderId="7" xfId="0" applyFill="1" applyBorder="1" applyAlignment="1">
      <alignment horizontal="left"/>
    </xf>
    <xf numFmtId="0" fontId="3" fillId="3" borderId="8" xfId="0" applyFont="1" applyFill="1" applyBorder="1" applyAlignment="1"/>
    <xf numFmtId="0" fontId="0" fillId="3" borderId="9" xfId="0" applyFill="1" applyBorder="1"/>
    <xf numFmtId="1" fontId="3" fillId="3" borderId="10" xfId="0" applyNumberFormat="1" applyFont="1" applyFill="1" applyBorder="1"/>
    <xf numFmtId="1" fontId="3" fillId="3" borderId="8" xfId="0" applyNumberFormat="1" applyFont="1" applyFill="1" applyBorder="1"/>
    <xf numFmtId="1" fontId="3" fillId="0" borderId="11" xfId="0" applyNumberFormat="1" applyFont="1" applyFill="1" applyBorder="1"/>
    <xf numFmtId="1" fontId="4" fillId="2" borderId="2" xfId="0" applyNumberFormat="1" applyFont="1" applyFill="1" applyBorder="1"/>
    <xf numFmtId="1" fontId="0" fillId="2" borderId="0" xfId="0" quotePrefix="1" applyNumberFormat="1" applyFill="1" applyAlignment="1">
      <alignment horizontal="left"/>
    </xf>
    <xf numFmtId="1" fontId="3" fillId="3" borderId="12" xfId="0" applyNumberFormat="1" applyFont="1" applyFill="1" applyBorder="1"/>
    <xf numFmtId="1" fontId="3" fillId="3" borderId="13" xfId="0" applyNumberFormat="1" applyFont="1" applyFill="1" applyBorder="1"/>
    <xf numFmtId="1" fontId="3" fillId="3" borderId="14" xfId="0" applyNumberFormat="1" applyFont="1" applyFill="1" applyBorder="1"/>
    <xf numFmtId="1" fontId="3" fillId="3" borderId="15" xfId="0" applyNumberFormat="1" applyFont="1" applyFill="1" applyBorder="1"/>
    <xf numFmtId="1" fontId="3" fillId="3" borderId="16" xfId="0" applyNumberFormat="1" applyFont="1" applyFill="1" applyBorder="1"/>
    <xf numFmtId="1" fontId="3" fillId="3" borderId="17" xfId="0" applyNumberFormat="1" applyFont="1" applyFill="1" applyBorder="1"/>
    <xf numFmtId="1" fontId="3" fillId="3" borderId="18" xfId="0" applyNumberFormat="1" applyFont="1" applyFill="1" applyBorder="1"/>
    <xf numFmtId="1" fontId="3" fillId="3" borderId="19" xfId="0" applyNumberFormat="1" applyFont="1" applyFill="1" applyBorder="1"/>
    <xf numFmtId="1" fontId="3" fillId="0" borderId="6" xfId="0" applyNumberFormat="1" applyFont="1" applyFill="1" applyBorder="1"/>
    <xf numFmtId="0" fontId="3" fillId="3" borderId="20" xfId="0" applyFont="1" applyFill="1" applyBorder="1"/>
    <xf numFmtId="1" fontId="3" fillId="3" borderId="21" xfId="0" applyNumberFormat="1" applyFont="1" applyFill="1" applyBorder="1"/>
    <xf numFmtId="1" fontId="3" fillId="3" borderId="22" xfId="0" applyNumberFormat="1" applyFont="1" applyFill="1" applyBorder="1"/>
    <xf numFmtId="1" fontId="3" fillId="3" borderId="23" xfId="0" applyNumberFormat="1" applyFont="1" applyFill="1" applyBorder="1"/>
    <xf numFmtId="1" fontId="3" fillId="3" borderId="24" xfId="0" applyNumberFormat="1" applyFont="1" applyFill="1" applyBorder="1"/>
    <xf numFmtId="0" fontId="3" fillId="5" borderId="25" xfId="0" applyFont="1" applyFill="1" applyBorder="1" applyAlignment="1">
      <alignment vertical="center"/>
    </xf>
    <xf numFmtId="0" fontId="3" fillId="0" borderId="26" xfId="0" applyFont="1" applyBorder="1"/>
    <xf numFmtId="1" fontId="4" fillId="2" borderId="27" xfId="0" applyNumberFormat="1" applyFont="1" applyFill="1" applyBorder="1"/>
    <xf numFmtId="1" fontId="4" fillId="2" borderId="28" xfId="0" applyNumberFormat="1" applyFont="1" applyFill="1" applyBorder="1"/>
    <xf numFmtId="1" fontId="3" fillId="3" borderId="29" xfId="0" applyNumberFormat="1" applyFont="1" applyFill="1" applyBorder="1"/>
    <xf numFmtId="1" fontId="4" fillId="2" borderId="30" xfId="0" applyNumberFormat="1" applyFont="1" applyFill="1" applyBorder="1"/>
    <xf numFmtId="0" fontId="3" fillId="0" borderId="31" xfId="0" applyFont="1" applyBorder="1"/>
    <xf numFmtId="1" fontId="4" fillId="2" borderId="32" xfId="0" applyNumberFormat="1" applyFont="1" applyFill="1" applyBorder="1"/>
    <xf numFmtId="1" fontId="4" fillId="2" borderId="33" xfId="0" applyNumberFormat="1" applyFont="1" applyFill="1" applyBorder="1"/>
    <xf numFmtId="1" fontId="4" fillId="2" borderId="34" xfId="0" applyNumberFormat="1" applyFont="1" applyFill="1" applyBorder="1"/>
    <xf numFmtId="0" fontId="9" fillId="2" borderId="0" xfId="0" applyFont="1" applyFill="1"/>
    <xf numFmtId="1" fontId="9" fillId="2" borderId="0" xfId="0" applyNumberFormat="1" applyFont="1" applyFill="1"/>
    <xf numFmtId="0" fontId="0" fillId="0" borderId="0" xfId="0" applyBorder="1" applyAlignment="1">
      <alignment horizontal="left"/>
    </xf>
    <xf numFmtId="0" fontId="3" fillId="2" borderId="0" xfId="0" quotePrefix="1" applyFont="1" applyFill="1" applyBorder="1" applyAlignment="1">
      <alignment horizontal="right"/>
    </xf>
    <xf numFmtId="0" fontId="10" fillId="2" borderId="0" xfId="0" applyFont="1" applyFill="1" applyAlignment="1">
      <alignment horizontal="right"/>
    </xf>
    <xf numFmtId="0" fontId="10" fillId="2" borderId="0" xfId="0" quotePrefix="1" applyFont="1" applyFill="1" applyAlignment="1">
      <alignment horizontal="right"/>
    </xf>
    <xf numFmtId="0" fontId="3" fillId="0" borderId="20" xfId="0" applyFont="1" applyBorder="1"/>
    <xf numFmtId="1" fontId="4" fillId="2" borderId="21" xfId="0" applyNumberFormat="1" applyFont="1" applyFill="1" applyBorder="1"/>
    <xf numFmtId="1" fontId="4" fillId="2" borderId="24" xfId="0" applyNumberFormat="1" applyFont="1" applyFill="1" applyBorder="1"/>
    <xf numFmtId="1" fontId="4" fillId="2" borderId="22" xfId="0" applyNumberFormat="1" applyFont="1" applyFill="1" applyBorder="1"/>
    <xf numFmtId="0" fontId="3" fillId="5" borderId="35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36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25" xfId="0" applyFont="1" applyFill="1" applyBorder="1" applyAlignment="1">
      <alignment vertical="center"/>
    </xf>
    <xf numFmtId="0" fontId="3" fillId="4" borderId="35" xfId="0" applyFont="1" applyFill="1" applyBorder="1" applyAlignment="1">
      <alignment vertical="center"/>
    </xf>
    <xf numFmtId="0" fontId="3" fillId="4" borderId="25" xfId="0" applyFont="1" applyFill="1" applyBorder="1" applyAlignment="1">
      <alignment vertical="center"/>
    </xf>
    <xf numFmtId="0" fontId="3" fillId="8" borderId="35" xfId="0" applyFont="1" applyFill="1" applyBorder="1" applyAlignment="1">
      <alignment vertical="center"/>
    </xf>
    <xf numFmtId="0" fontId="3" fillId="8" borderId="25" xfId="0" applyFont="1" applyFill="1" applyBorder="1" applyAlignment="1">
      <alignment vertical="center"/>
    </xf>
    <xf numFmtId="0" fontId="3" fillId="7" borderId="26" xfId="0" applyFont="1" applyFill="1" applyBorder="1" applyAlignment="1">
      <alignment vertical="center"/>
    </xf>
    <xf numFmtId="1" fontId="3" fillId="7" borderId="29" xfId="0" applyNumberFormat="1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3" fillId="7" borderId="37" xfId="0" applyFont="1" applyFill="1" applyBorder="1" applyAlignment="1">
      <alignment vertical="center"/>
    </xf>
    <xf numFmtId="1" fontId="3" fillId="7" borderId="38" xfId="0" applyNumberFormat="1" applyFont="1" applyFill="1" applyBorder="1" applyAlignment="1">
      <alignment vertical="center"/>
    </xf>
    <xf numFmtId="1" fontId="3" fillId="7" borderId="18" xfId="0" applyNumberFormat="1" applyFont="1" applyFill="1" applyBorder="1" applyAlignment="1">
      <alignment vertical="center"/>
    </xf>
    <xf numFmtId="0" fontId="0" fillId="5" borderId="0" xfId="0" applyFont="1" applyFill="1" applyBorder="1" applyAlignment="1">
      <alignment vertical="center"/>
    </xf>
    <xf numFmtId="0" fontId="3" fillId="7" borderId="39" xfId="0" applyFont="1" applyFill="1" applyBorder="1" applyAlignment="1">
      <alignment vertical="center"/>
    </xf>
    <xf numFmtId="0" fontId="3" fillId="7" borderId="40" xfId="0" applyNumberFormat="1" applyFont="1" applyFill="1" applyBorder="1" applyAlignment="1">
      <alignment horizontal="left" vertical="center"/>
    </xf>
    <xf numFmtId="0" fontId="3" fillId="6" borderId="40" xfId="0" applyNumberFormat="1" applyFont="1" applyFill="1" applyBorder="1" applyAlignment="1">
      <alignment horizontal="left" vertical="center"/>
    </xf>
    <xf numFmtId="0" fontId="3" fillId="6" borderId="41" xfId="0" applyNumberFormat="1" applyFont="1" applyFill="1" applyBorder="1" applyAlignment="1">
      <alignment horizontal="left" vertical="center"/>
    </xf>
    <xf numFmtId="1" fontId="3" fillId="6" borderId="38" xfId="0" applyNumberFormat="1" applyFont="1" applyFill="1" applyBorder="1" applyAlignment="1">
      <alignment vertical="center"/>
    </xf>
    <xf numFmtId="1" fontId="3" fillId="6" borderId="18" xfId="0" applyNumberFormat="1" applyFont="1" applyFill="1" applyBorder="1" applyAlignment="1">
      <alignment vertical="center"/>
    </xf>
    <xf numFmtId="0" fontId="3" fillId="7" borderId="42" xfId="0" applyNumberFormat="1" applyFont="1" applyFill="1" applyBorder="1" applyAlignment="1">
      <alignment horizontal="left" vertical="center"/>
    </xf>
    <xf numFmtId="1" fontId="3" fillId="7" borderId="43" xfId="0" applyNumberFormat="1" applyFont="1" applyFill="1" applyBorder="1" applyAlignment="1">
      <alignment vertical="center"/>
    </xf>
    <xf numFmtId="1" fontId="3" fillId="7" borderId="44" xfId="0" applyNumberFormat="1" applyFont="1" applyFill="1" applyBorder="1" applyAlignment="1">
      <alignment vertical="center"/>
    </xf>
    <xf numFmtId="0" fontId="3" fillId="5" borderId="45" xfId="0" applyNumberFormat="1" applyFont="1" applyFill="1" applyBorder="1" applyAlignment="1">
      <alignment horizontal="left" vertical="center"/>
    </xf>
    <xf numFmtId="1" fontId="3" fillId="5" borderId="46" xfId="0" applyNumberFormat="1" applyFont="1" applyFill="1" applyBorder="1" applyAlignment="1">
      <alignment vertical="center"/>
    </xf>
    <xf numFmtId="1" fontId="3" fillId="5" borderId="47" xfId="0" applyNumberFormat="1" applyFont="1" applyFill="1" applyBorder="1" applyAlignment="1">
      <alignment vertical="center"/>
    </xf>
    <xf numFmtId="0" fontId="3" fillId="5" borderId="40" xfId="0" applyNumberFormat="1" applyFont="1" applyFill="1" applyBorder="1" applyAlignment="1">
      <alignment horizontal="left" vertical="center"/>
    </xf>
    <xf numFmtId="1" fontId="3" fillId="5" borderId="38" xfId="0" applyNumberFormat="1" applyFont="1" applyFill="1" applyBorder="1" applyAlignment="1">
      <alignment vertical="center"/>
    </xf>
    <xf numFmtId="1" fontId="3" fillId="5" borderId="18" xfId="0" applyNumberFormat="1" applyFont="1" applyFill="1" applyBorder="1" applyAlignment="1">
      <alignment vertical="center"/>
    </xf>
    <xf numFmtId="49" fontId="3" fillId="6" borderId="48" xfId="0" applyNumberFormat="1" applyFont="1" applyFill="1" applyBorder="1" applyAlignment="1">
      <alignment vertical="center"/>
    </xf>
    <xf numFmtId="49" fontId="3" fillId="5" borderId="48" xfId="0" applyNumberFormat="1" applyFont="1" applyFill="1" applyBorder="1" applyAlignment="1">
      <alignment vertical="center"/>
    </xf>
    <xf numFmtId="1" fontId="3" fillId="5" borderId="49" xfId="0" applyNumberFormat="1" applyFont="1" applyFill="1" applyBorder="1" applyAlignment="1">
      <alignment vertical="center"/>
    </xf>
    <xf numFmtId="1" fontId="3" fillId="5" borderId="50" xfId="0" applyNumberFormat="1" applyFont="1" applyFill="1" applyBorder="1" applyAlignment="1">
      <alignment vertical="center"/>
    </xf>
    <xf numFmtId="0" fontId="0" fillId="6" borderId="51" xfId="0" applyNumberForma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0" fillId="6" borderId="52" xfId="0" applyNumberFormat="1" applyFill="1" applyBorder="1" applyAlignment="1">
      <alignment vertical="center"/>
    </xf>
    <xf numFmtId="49" fontId="3" fillId="4" borderId="53" xfId="0" applyNumberFormat="1" applyFont="1" applyFill="1" applyBorder="1" applyAlignment="1">
      <alignment vertical="center"/>
    </xf>
    <xf numFmtId="1" fontId="3" fillId="4" borderId="46" xfId="0" applyNumberFormat="1" applyFont="1" applyFill="1" applyBorder="1" applyAlignment="1">
      <alignment vertical="center"/>
    </xf>
    <xf numFmtId="1" fontId="3" fillId="4" borderId="47" xfId="0" applyNumberFormat="1" applyFont="1" applyFill="1" applyBorder="1" applyAlignment="1">
      <alignment vertical="center"/>
    </xf>
    <xf numFmtId="0" fontId="3" fillId="4" borderId="48" xfId="0" applyNumberFormat="1" applyFont="1" applyFill="1" applyBorder="1" applyAlignment="1">
      <alignment vertical="center"/>
    </xf>
    <xf numFmtId="1" fontId="3" fillId="4" borderId="49" xfId="0" applyNumberFormat="1" applyFont="1" applyFill="1" applyBorder="1" applyAlignment="1">
      <alignment vertical="center"/>
    </xf>
    <xf numFmtId="1" fontId="3" fillId="4" borderId="50" xfId="0" applyNumberFormat="1" applyFont="1" applyFill="1" applyBorder="1" applyAlignment="1">
      <alignment vertical="center"/>
    </xf>
    <xf numFmtId="49" fontId="3" fillId="8" borderId="53" xfId="0" applyNumberFormat="1" applyFont="1" applyFill="1" applyBorder="1" applyAlignment="1">
      <alignment vertical="center"/>
    </xf>
    <xf numFmtId="1" fontId="3" fillId="8" borderId="46" xfId="0" applyNumberFormat="1" applyFont="1" applyFill="1" applyBorder="1" applyAlignment="1">
      <alignment vertical="center"/>
    </xf>
    <xf numFmtId="1" fontId="3" fillId="8" borderId="47" xfId="0" applyNumberFormat="1" applyFont="1" applyFill="1" applyBorder="1" applyAlignment="1">
      <alignment vertical="center"/>
    </xf>
    <xf numFmtId="0" fontId="3" fillId="8" borderId="48" xfId="0" applyNumberFormat="1" applyFont="1" applyFill="1" applyBorder="1" applyAlignment="1">
      <alignment vertical="center"/>
    </xf>
    <xf numFmtId="1" fontId="3" fillId="8" borderId="49" xfId="0" applyNumberFormat="1" applyFont="1" applyFill="1" applyBorder="1" applyAlignment="1">
      <alignment vertical="center"/>
    </xf>
    <xf numFmtId="1" fontId="3" fillId="8" borderId="50" xfId="0" applyNumberFormat="1" applyFont="1" applyFill="1" applyBorder="1" applyAlignment="1">
      <alignment vertical="center"/>
    </xf>
    <xf numFmtId="0" fontId="0" fillId="9" borderId="54" xfId="0" applyNumberFormat="1" applyFill="1" applyBorder="1" applyAlignment="1">
      <alignment vertical="center"/>
    </xf>
    <xf numFmtId="0" fontId="0" fillId="9" borderId="54" xfId="0" applyFill="1" applyBorder="1" applyAlignment="1">
      <alignment vertical="center"/>
    </xf>
    <xf numFmtId="0" fontId="3" fillId="9" borderId="55" xfId="0" applyFont="1" applyFill="1" applyBorder="1" applyAlignment="1">
      <alignment vertical="center"/>
    </xf>
    <xf numFmtId="1" fontId="3" fillId="9" borderId="56" xfId="0" applyNumberFormat="1" applyFont="1" applyFill="1" applyBorder="1" applyAlignment="1">
      <alignment vertical="center"/>
    </xf>
    <xf numFmtId="1" fontId="3" fillId="9" borderId="57" xfId="0" applyNumberFormat="1" applyFont="1" applyFill="1" applyBorder="1" applyAlignment="1">
      <alignment vertical="center"/>
    </xf>
    <xf numFmtId="1" fontId="0" fillId="3" borderId="58" xfId="0" applyNumberFormat="1" applyFill="1" applyBorder="1" applyAlignment="1">
      <alignment vertical="center"/>
    </xf>
    <xf numFmtId="0" fontId="3" fillId="10" borderId="59" xfId="0" applyNumberFormat="1" applyFont="1" applyFill="1" applyBorder="1" applyAlignment="1">
      <alignment vertical="center"/>
    </xf>
    <xf numFmtId="0" fontId="3" fillId="10" borderId="35" xfId="0" applyFont="1" applyFill="1" applyBorder="1" applyAlignment="1">
      <alignment vertical="center"/>
    </xf>
    <xf numFmtId="1" fontId="3" fillId="10" borderId="46" xfId="0" applyNumberFormat="1" applyFont="1" applyFill="1" applyBorder="1" applyAlignment="1">
      <alignment vertical="center"/>
    </xf>
    <xf numFmtId="1" fontId="3" fillId="10" borderId="47" xfId="0" applyNumberFormat="1" applyFont="1" applyFill="1" applyBorder="1" applyAlignment="1">
      <alignment vertical="center"/>
    </xf>
    <xf numFmtId="0" fontId="0" fillId="10" borderId="60" xfId="0" applyFill="1" applyBorder="1" applyAlignment="1">
      <alignment vertical="center"/>
    </xf>
    <xf numFmtId="0" fontId="3" fillId="10" borderId="51" xfId="0" applyNumberFormat="1" applyFont="1" applyFill="1" applyBorder="1" applyAlignment="1">
      <alignment vertical="center"/>
    </xf>
    <xf numFmtId="0" fontId="3" fillId="10" borderId="10" xfId="0" applyFont="1" applyFill="1" applyBorder="1" applyAlignment="1">
      <alignment vertical="center"/>
    </xf>
    <xf numFmtId="1" fontId="3" fillId="10" borderId="38" xfId="0" applyNumberFormat="1" applyFont="1" applyFill="1" applyBorder="1" applyAlignment="1">
      <alignment vertical="center"/>
    </xf>
    <xf numFmtId="1" fontId="3" fillId="10" borderId="18" xfId="0" applyNumberFormat="1" applyFont="1" applyFill="1" applyBorder="1" applyAlignment="1">
      <alignment vertical="center"/>
    </xf>
    <xf numFmtId="0" fontId="0" fillId="10" borderId="61" xfId="0" applyFill="1" applyBorder="1" applyAlignment="1">
      <alignment vertical="center"/>
    </xf>
    <xf numFmtId="0" fontId="3" fillId="10" borderId="62" xfId="0" applyNumberFormat="1" applyFont="1" applyFill="1" applyBorder="1" applyAlignment="1">
      <alignment vertical="center"/>
    </xf>
    <xf numFmtId="0" fontId="3" fillId="10" borderId="25" xfId="0" applyFont="1" applyFill="1" applyBorder="1" applyAlignment="1">
      <alignment vertical="center"/>
    </xf>
    <xf numFmtId="1" fontId="3" fillId="10" borderId="43" xfId="0" applyNumberFormat="1" applyFont="1" applyFill="1" applyBorder="1" applyAlignment="1">
      <alignment vertical="center"/>
    </xf>
    <xf numFmtId="1" fontId="3" fillId="10" borderId="44" xfId="0" applyNumberFormat="1" applyFont="1" applyFill="1" applyBorder="1" applyAlignment="1">
      <alignment vertical="center"/>
    </xf>
    <xf numFmtId="0" fontId="0" fillId="10" borderId="63" xfId="0" applyFill="1" applyBorder="1" applyAlignment="1">
      <alignment vertical="center"/>
    </xf>
    <xf numFmtId="0" fontId="0" fillId="5" borderId="51" xfId="0" applyNumberFormat="1" applyFill="1" applyBorder="1" applyAlignment="1">
      <alignment vertical="center"/>
    </xf>
    <xf numFmtId="0" fontId="0" fillId="5" borderId="52" xfId="0" applyNumberFormat="1" applyFill="1" applyBorder="1" applyAlignment="1">
      <alignment vertical="center"/>
    </xf>
    <xf numFmtId="1" fontId="3" fillId="7" borderId="61" xfId="0" applyNumberFormat="1" applyFont="1" applyFill="1" applyBorder="1" applyAlignment="1">
      <alignment vertical="center"/>
    </xf>
    <xf numFmtId="1" fontId="3" fillId="6" borderId="61" xfId="0" applyNumberFormat="1" applyFont="1" applyFill="1" applyBorder="1" applyAlignment="1">
      <alignment vertical="center"/>
    </xf>
    <xf numFmtId="1" fontId="3" fillId="7" borderId="63" xfId="0" applyNumberFormat="1" applyFont="1" applyFill="1" applyBorder="1" applyAlignment="1">
      <alignment vertical="center"/>
    </xf>
    <xf numFmtId="1" fontId="3" fillId="5" borderId="60" xfId="0" applyNumberFormat="1" applyFont="1" applyFill="1" applyBorder="1" applyAlignment="1">
      <alignment vertical="center"/>
    </xf>
    <xf numFmtId="1" fontId="3" fillId="5" borderId="61" xfId="0" applyNumberFormat="1" applyFont="1" applyFill="1" applyBorder="1" applyAlignment="1">
      <alignment vertical="center"/>
    </xf>
    <xf numFmtId="1" fontId="3" fillId="5" borderId="58" xfId="0" applyNumberFormat="1" applyFont="1" applyFill="1" applyBorder="1" applyAlignment="1">
      <alignment vertical="center"/>
    </xf>
    <xf numFmtId="1" fontId="3" fillId="4" borderId="60" xfId="0" applyNumberFormat="1" applyFont="1" applyFill="1" applyBorder="1" applyAlignment="1">
      <alignment vertical="center"/>
    </xf>
    <xf numFmtId="1" fontId="3" fillId="4" borderId="58" xfId="0" applyNumberFormat="1" applyFont="1" applyFill="1" applyBorder="1" applyAlignment="1">
      <alignment vertical="center"/>
    </xf>
    <xf numFmtId="1" fontId="3" fillId="8" borderId="60" xfId="0" applyNumberFormat="1" applyFont="1" applyFill="1" applyBorder="1" applyAlignment="1">
      <alignment vertical="center"/>
    </xf>
    <xf numFmtId="1" fontId="3" fillId="8" borderId="58" xfId="0" applyNumberFormat="1" applyFont="1" applyFill="1" applyBorder="1" applyAlignment="1">
      <alignment vertical="center"/>
    </xf>
    <xf numFmtId="1" fontId="3" fillId="9" borderId="64" xfId="0" applyNumberFormat="1" applyFont="1" applyFill="1" applyBorder="1" applyAlignment="1">
      <alignment vertical="center"/>
    </xf>
    <xf numFmtId="1" fontId="3" fillId="10" borderId="60" xfId="0" applyNumberFormat="1" applyFont="1" applyFill="1" applyBorder="1" applyAlignment="1">
      <alignment vertical="center"/>
    </xf>
    <xf numFmtId="1" fontId="3" fillId="10" borderId="61" xfId="0" applyNumberFormat="1" applyFont="1" applyFill="1" applyBorder="1" applyAlignment="1">
      <alignment vertical="center"/>
    </xf>
    <xf numFmtId="1" fontId="3" fillId="10" borderId="63" xfId="0" applyNumberFormat="1" applyFont="1" applyFill="1" applyBorder="1" applyAlignment="1">
      <alignment vertical="center"/>
    </xf>
    <xf numFmtId="165" fontId="3" fillId="0" borderId="2" xfId="0" applyNumberFormat="1" applyFont="1" applyFill="1" applyBorder="1"/>
    <xf numFmtId="165" fontId="3" fillId="0" borderId="65" xfId="0" applyNumberFormat="1" applyFont="1" applyFill="1" applyBorder="1"/>
    <xf numFmtId="0" fontId="7" fillId="5" borderId="40" xfId="0" applyNumberFormat="1" applyFont="1" applyFill="1" applyBorder="1" applyAlignment="1">
      <alignment horizontal="left" vertical="center"/>
    </xf>
    <xf numFmtId="0" fontId="7" fillId="6" borderId="40" xfId="0" applyNumberFormat="1" applyFont="1" applyFill="1" applyBorder="1" applyAlignment="1">
      <alignment horizontal="left" vertical="center"/>
    </xf>
    <xf numFmtId="0" fontId="3" fillId="6" borderId="35" xfId="0" applyFont="1" applyFill="1" applyBorder="1" applyAlignment="1">
      <alignment vertical="center"/>
    </xf>
    <xf numFmtId="0" fontId="0" fillId="6" borderId="60" xfId="0" applyFill="1" applyBorder="1"/>
    <xf numFmtId="0" fontId="3" fillId="6" borderId="51" xfId="0" applyNumberFormat="1" applyFont="1" applyFill="1" applyBorder="1" applyAlignment="1">
      <alignment vertical="center"/>
    </xf>
    <xf numFmtId="0" fontId="3" fillId="6" borderId="10" xfId="0" applyFont="1" applyFill="1" applyBorder="1" applyAlignment="1">
      <alignment vertical="center"/>
    </xf>
    <xf numFmtId="0" fontId="0" fillId="6" borderId="61" xfId="0" applyFill="1" applyBorder="1"/>
    <xf numFmtId="0" fontId="3" fillId="6" borderId="62" xfId="0" applyNumberFormat="1" applyFont="1" applyFill="1" applyBorder="1" applyAlignment="1">
      <alignment vertical="center"/>
    </xf>
    <xf numFmtId="0" fontId="3" fillId="6" borderId="25" xfId="0" applyFont="1" applyFill="1" applyBorder="1" applyAlignment="1">
      <alignment vertical="center"/>
    </xf>
    <xf numFmtId="1" fontId="3" fillId="6" borderId="43" xfId="0" applyNumberFormat="1" applyFont="1" applyFill="1" applyBorder="1" applyAlignment="1">
      <alignment vertical="center"/>
    </xf>
    <xf numFmtId="1" fontId="3" fillId="6" borderId="63" xfId="0" applyNumberFormat="1" applyFont="1" applyFill="1" applyBorder="1" applyAlignment="1">
      <alignment vertical="center"/>
    </xf>
    <xf numFmtId="1" fontId="3" fillId="6" borderId="44" xfId="0" applyNumberFormat="1" applyFont="1" applyFill="1" applyBorder="1" applyAlignment="1">
      <alignment vertical="center"/>
    </xf>
    <xf numFmtId="0" fontId="0" fillId="6" borderId="63" xfId="0" applyFill="1" applyBorder="1"/>
    <xf numFmtId="0" fontId="7" fillId="6" borderId="51" xfId="0" applyNumberFormat="1" applyFont="1" applyFill="1" applyBorder="1" applyAlignment="1">
      <alignment vertical="center"/>
    </xf>
    <xf numFmtId="1" fontId="3" fillId="11" borderId="38" xfId="0" applyNumberFormat="1" applyFont="1" applyFill="1" applyBorder="1" applyAlignment="1">
      <alignment vertical="center"/>
    </xf>
    <xf numFmtId="1" fontId="3" fillId="11" borderId="61" xfId="0" applyNumberFormat="1" applyFont="1" applyFill="1" applyBorder="1" applyAlignment="1">
      <alignment vertical="center"/>
    </xf>
    <xf numFmtId="1" fontId="3" fillId="11" borderId="18" xfId="0" applyNumberFormat="1" applyFont="1" applyFill="1" applyBorder="1" applyAlignment="1">
      <alignment vertical="center"/>
    </xf>
    <xf numFmtId="0" fontId="3" fillId="13" borderId="1" xfId="0" applyFont="1" applyFill="1" applyBorder="1" applyAlignment="1"/>
    <xf numFmtId="0" fontId="0" fillId="13" borderId="6" xfId="0" applyFill="1" applyBorder="1"/>
    <xf numFmtId="0" fontId="0" fillId="13" borderId="6" xfId="0" applyFill="1" applyBorder="1" applyAlignment="1">
      <alignment horizontal="left"/>
    </xf>
    <xf numFmtId="0" fontId="3" fillId="13" borderId="10" xfId="0" applyFont="1" applyFill="1" applyBorder="1" applyAlignment="1"/>
    <xf numFmtId="0" fontId="7" fillId="6" borderId="59" xfId="0" applyNumberFormat="1" applyFont="1" applyFill="1" applyBorder="1" applyAlignment="1">
      <alignment vertical="center"/>
    </xf>
    <xf numFmtId="0" fontId="3" fillId="7" borderId="66" xfId="0" applyFont="1" applyFill="1" applyBorder="1" applyAlignment="1">
      <alignment horizontal="center" vertical="center"/>
    </xf>
    <xf numFmtId="1" fontId="3" fillId="11" borderId="46" xfId="0" applyNumberFormat="1" applyFont="1" applyFill="1" applyBorder="1" applyAlignment="1">
      <alignment vertical="center"/>
    </xf>
    <xf numFmtId="1" fontId="3" fillId="11" borderId="47" xfId="0" applyNumberFormat="1" applyFont="1" applyFill="1" applyBorder="1" applyAlignment="1">
      <alignment vertical="center"/>
    </xf>
    <xf numFmtId="1" fontId="3" fillId="11" borderId="60" xfId="0" applyNumberFormat="1" applyFont="1" applyFill="1" applyBorder="1" applyAlignment="1">
      <alignment vertical="center"/>
    </xf>
    <xf numFmtId="0" fontId="3" fillId="7" borderId="67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1" fontId="3" fillId="4" borderId="38" xfId="0" applyNumberFormat="1" applyFont="1" applyFill="1" applyBorder="1" applyAlignment="1">
      <alignment vertical="center"/>
    </xf>
    <xf numFmtId="1" fontId="3" fillId="4" borderId="61" xfId="0" applyNumberFormat="1" applyFont="1" applyFill="1" applyBorder="1" applyAlignment="1">
      <alignment vertical="center"/>
    </xf>
    <xf numFmtId="1" fontId="3" fillId="4" borderId="18" xfId="0" applyNumberFormat="1" applyFont="1" applyFill="1" applyBorder="1" applyAlignment="1">
      <alignment vertical="center"/>
    </xf>
    <xf numFmtId="0" fontId="3" fillId="4" borderId="51" xfId="0" applyNumberFormat="1" applyFont="1" applyFill="1" applyBorder="1" applyAlignment="1">
      <alignment vertical="center"/>
    </xf>
    <xf numFmtId="0" fontId="0" fillId="5" borderId="68" xfId="0" applyFill="1" applyBorder="1" applyAlignment="1">
      <alignment horizontal="center" vertical="center"/>
    </xf>
    <xf numFmtId="0" fontId="3" fillId="12" borderId="71" xfId="0" applyFont="1" applyFill="1" applyBorder="1" applyAlignment="1">
      <alignment horizontal="center" vertical="center"/>
    </xf>
    <xf numFmtId="0" fontId="3" fillId="12" borderId="72" xfId="0" applyFont="1" applyFill="1" applyBorder="1" applyAlignment="1">
      <alignment horizontal="center" vertical="center"/>
    </xf>
    <xf numFmtId="0" fontId="3" fillId="12" borderId="65" xfId="0" applyFont="1" applyFill="1" applyBorder="1" applyAlignment="1">
      <alignment horizontal="center" vertical="center"/>
    </xf>
    <xf numFmtId="0" fontId="3" fillId="12" borderId="73" xfId="0" applyFont="1" applyFill="1" applyBorder="1" applyAlignment="1">
      <alignment horizontal="center" vertical="center"/>
    </xf>
    <xf numFmtId="0" fontId="3" fillId="12" borderId="74" xfId="0" applyFont="1" applyFill="1" applyBorder="1" applyAlignment="1">
      <alignment horizontal="center" vertical="center"/>
    </xf>
    <xf numFmtId="0" fontId="3" fillId="0" borderId="4" xfId="0" applyFont="1" applyBorder="1"/>
    <xf numFmtId="164" fontId="3" fillId="3" borderId="40" xfId="0" applyNumberFormat="1" applyFont="1" applyFill="1" applyBorder="1" applyAlignment="1">
      <alignment horizontal="center" vertical="center"/>
    </xf>
    <xf numFmtId="164" fontId="3" fillId="3" borderId="69" xfId="0" applyNumberFormat="1" applyFont="1" applyFill="1" applyBorder="1" applyAlignment="1">
      <alignment horizontal="center" vertical="center"/>
    </xf>
    <xf numFmtId="164" fontId="3" fillId="3" borderId="70" xfId="0" applyNumberFormat="1" applyFont="1" applyFill="1" applyBorder="1" applyAlignment="1">
      <alignment horizontal="center" vertical="center"/>
    </xf>
    <xf numFmtId="0" fontId="7" fillId="13" borderId="2" xfId="0" applyFont="1" applyFill="1" applyBorder="1"/>
    <xf numFmtId="0" fontId="7" fillId="13" borderId="2" xfId="0" applyFont="1" applyFill="1" applyBorder="1" applyAlignment="1">
      <alignment horizontal="left"/>
    </xf>
    <xf numFmtId="1" fontId="3" fillId="11" borderId="15" xfId="0" applyNumberFormat="1" applyFont="1" applyFill="1" applyBorder="1"/>
    <xf numFmtId="1" fontId="3" fillId="11" borderId="1" xfId="0" applyNumberFormat="1" applyFont="1" applyFill="1" applyBorder="1"/>
    <xf numFmtId="1" fontId="3" fillId="11" borderId="12" xfId="0" applyNumberFormat="1" applyFont="1" applyFill="1" applyBorder="1"/>
    <xf numFmtId="1" fontId="3" fillId="11" borderId="18" xfId="0" applyNumberFormat="1" applyFont="1" applyFill="1" applyBorder="1"/>
  </cellXfs>
  <cellStyles count="3">
    <cellStyle name="Normal" xfId="0" builtinId="0"/>
    <cellStyle name="標準 2" xfId="1"/>
    <cellStyle name="標準_WFFP01" xfId="2"/>
  </cellStyles>
  <dxfs count="5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PC%20Department/TOYOTA%20%20718W%20(350B)/SR/SOP/2025/4.%20APR/1.%20JAI-2025.03.2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yta.a\AppData\Local\Microsoft\Windows\INetCache\Content.Outlook\1I5NBABR\JAI-2026.02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I 原檔"/>
      <sheetName val="JAI (加新件號)"/>
      <sheetName val="JAI (加新件號)板数計算"/>
      <sheetName val="Sheet1"/>
    </sheetNames>
    <sheetDataSet>
      <sheetData sheetId="0"/>
      <sheetData sheetId="1">
        <row r="20">
          <cell r="D20" t="str">
            <v>82111-F2132</v>
          </cell>
          <cell r="E20" t="str">
            <v>AT10</v>
          </cell>
          <cell r="F20" t="str">
            <v>B00</v>
          </cell>
          <cell r="G20" t="str">
            <v>QTY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74</v>
          </cell>
          <cell r="U20">
            <v>160</v>
          </cell>
          <cell r="V20">
            <v>270</v>
          </cell>
          <cell r="W20">
            <v>190</v>
          </cell>
          <cell r="X20">
            <v>210</v>
          </cell>
          <cell r="Y20">
            <v>100</v>
          </cell>
          <cell r="Z20">
            <v>280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0</v>
          </cell>
          <cell r="GP20">
            <v>0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0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</row>
        <row r="21">
          <cell r="D21" t="str">
            <v>B/O</v>
          </cell>
          <cell r="E21">
            <v>0</v>
          </cell>
          <cell r="F21">
            <v>0</v>
          </cell>
          <cell r="G21" t="str">
            <v>CUM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74</v>
          </cell>
          <cell r="U21">
            <v>234</v>
          </cell>
          <cell r="V21">
            <v>504</v>
          </cell>
          <cell r="W21">
            <v>694</v>
          </cell>
          <cell r="X21">
            <v>904</v>
          </cell>
          <cell r="Y21">
            <v>1004</v>
          </cell>
          <cell r="Z21">
            <v>1284</v>
          </cell>
          <cell r="AA21">
            <v>1284</v>
          </cell>
          <cell r="AB21">
            <v>1284</v>
          </cell>
          <cell r="AC21">
            <v>1284</v>
          </cell>
          <cell r="AD21">
            <v>1284</v>
          </cell>
          <cell r="AE21">
            <v>1284</v>
          </cell>
          <cell r="AF21">
            <v>1284</v>
          </cell>
          <cell r="AG21">
            <v>1284</v>
          </cell>
          <cell r="AH21">
            <v>1284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</row>
        <row r="22">
          <cell r="D22" t="str">
            <v>82111-F2152</v>
          </cell>
          <cell r="E22" t="str">
            <v>AT10</v>
          </cell>
          <cell r="F22" t="str">
            <v>A03</v>
          </cell>
          <cell r="G22" t="str">
            <v>QTY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5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6</v>
          </cell>
          <cell r="Z22">
            <v>0</v>
          </cell>
          <cell r="AA22">
            <v>0</v>
          </cell>
          <cell r="AB22">
            <v>0</v>
          </cell>
          <cell r="AC22">
            <v>6</v>
          </cell>
          <cell r="AD22">
            <v>1</v>
          </cell>
          <cell r="AE22">
            <v>6</v>
          </cell>
          <cell r="AF22">
            <v>6</v>
          </cell>
          <cell r="AG22">
            <v>0</v>
          </cell>
          <cell r="AH22">
            <v>6</v>
          </cell>
          <cell r="AI22">
            <v>6</v>
          </cell>
          <cell r="AJ22">
            <v>6</v>
          </cell>
          <cell r="AK22">
            <v>0</v>
          </cell>
          <cell r="AL22">
            <v>0</v>
          </cell>
          <cell r="AM22">
            <v>6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5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6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6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6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1</v>
          </cell>
          <cell r="ET22">
            <v>0</v>
          </cell>
          <cell r="EU22">
            <v>6</v>
          </cell>
          <cell r="EV22">
            <v>0</v>
          </cell>
          <cell r="EW22">
            <v>0</v>
          </cell>
          <cell r="EX22">
            <v>0</v>
          </cell>
          <cell r="EY22">
            <v>6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6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6</v>
          </cell>
          <cell r="FM22">
            <v>0</v>
          </cell>
          <cell r="FN22">
            <v>0</v>
          </cell>
          <cell r="FO22">
            <v>0</v>
          </cell>
          <cell r="FP22">
            <v>6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6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</row>
        <row r="23">
          <cell r="D23" t="str">
            <v>10月 B/O</v>
          </cell>
          <cell r="E23">
            <v>0</v>
          </cell>
          <cell r="F23">
            <v>0</v>
          </cell>
          <cell r="G23" t="str">
            <v>CUM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5</v>
          </cell>
          <cell r="U23">
            <v>5</v>
          </cell>
          <cell r="V23">
            <v>5</v>
          </cell>
          <cell r="W23">
            <v>11</v>
          </cell>
          <cell r="X23">
            <v>11</v>
          </cell>
          <cell r="Y23">
            <v>17</v>
          </cell>
          <cell r="Z23">
            <v>17</v>
          </cell>
          <cell r="AA23">
            <v>17</v>
          </cell>
          <cell r="AB23">
            <v>17</v>
          </cell>
          <cell r="AC23">
            <v>23</v>
          </cell>
          <cell r="AD23">
            <v>24</v>
          </cell>
          <cell r="AE23">
            <v>30</v>
          </cell>
          <cell r="AF23">
            <v>36</v>
          </cell>
          <cell r="AG23">
            <v>36</v>
          </cell>
          <cell r="AH23">
            <v>42</v>
          </cell>
          <cell r="AI23">
            <v>48</v>
          </cell>
          <cell r="AJ23">
            <v>54</v>
          </cell>
          <cell r="AK23">
            <v>54</v>
          </cell>
          <cell r="AL23">
            <v>54</v>
          </cell>
          <cell r="AM23">
            <v>60</v>
          </cell>
          <cell r="AN23">
            <v>60</v>
          </cell>
          <cell r="AO23">
            <v>60</v>
          </cell>
          <cell r="AP23">
            <v>60</v>
          </cell>
          <cell r="AQ23">
            <v>60</v>
          </cell>
          <cell r="AR23">
            <v>60</v>
          </cell>
          <cell r="AS23">
            <v>60</v>
          </cell>
          <cell r="AT23">
            <v>60</v>
          </cell>
          <cell r="AU23">
            <v>60</v>
          </cell>
          <cell r="AV23">
            <v>60</v>
          </cell>
          <cell r="AW23">
            <v>60</v>
          </cell>
          <cell r="AX23">
            <v>60</v>
          </cell>
          <cell r="AY23">
            <v>60</v>
          </cell>
          <cell r="AZ23">
            <v>60</v>
          </cell>
          <cell r="BA23">
            <v>60</v>
          </cell>
          <cell r="BB23">
            <v>60</v>
          </cell>
          <cell r="BC23">
            <v>60</v>
          </cell>
          <cell r="BD23">
            <v>60</v>
          </cell>
          <cell r="BE23">
            <v>60</v>
          </cell>
          <cell r="BF23">
            <v>60</v>
          </cell>
          <cell r="BG23">
            <v>60</v>
          </cell>
          <cell r="BH23">
            <v>60</v>
          </cell>
          <cell r="BI23">
            <v>60</v>
          </cell>
          <cell r="BJ23">
            <v>60</v>
          </cell>
          <cell r="BK23">
            <v>60</v>
          </cell>
          <cell r="BL23">
            <v>60</v>
          </cell>
          <cell r="BM23">
            <v>60</v>
          </cell>
          <cell r="BN23">
            <v>60</v>
          </cell>
          <cell r="BO23">
            <v>60</v>
          </cell>
          <cell r="BP23">
            <v>60</v>
          </cell>
          <cell r="BQ23">
            <v>60</v>
          </cell>
          <cell r="BR23">
            <v>60</v>
          </cell>
          <cell r="BS23">
            <v>60</v>
          </cell>
          <cell r="BT23">
            <v>60</v>
          </cell>
          <cell r="BU23">
            <v>60</v>
          </cell>
          <cell r="BV23">
            <v>60</v>
          </cell>
          <cell r="BW23">
            <v>60</v>
          </cell>
          <cell r="BX23">
            <v>60</v>
          </cell>
          <cell r="BY23">
            <v>60</v>
          </cell>
          <cell r="BZ23">
            <v>60</v>
          </cell>
          <cell r="CA23">
            <v>60</v>
          </cell>
          <cell r="CB23">
            <v>60</v>
          </cell>
          <cell r="CC23">
            <v>60</v>
          </cell>
          <cell r="CD23">
            <v>60</v>
          </cell>
          <cell r="CE23">
            <v>60</v>
          </cell>
          <cell r="CF23">
            <v>60</v>
          </cell>
          <cell r="CG23">
            <v>60</v>
          </cell>
          <cell r="CH23">
            <v>60</v>
          </cell>
          <cell r="CI23">
            <v>60</v>
          </cell>
          <cell r="CJ23">
            <v>60</v>
          </cell>
          <cell r="CK23">
            <v>60</v>
          </cell>
          <cell r="CL23">
            <v>60</v>
          </cell>
          <cell r="CM23">
            <v>60</v>
          </cell>
          <cell r="CN23">
            <v>60</v>
          </cell>
          <cell r="CO23">
            <v>60</v>
          </cell>
          <cell r="CP23">
            <v>60</v>
          </cell>
          <cell r="CQ23">
            <v>60</v>
          </cell>
          <cell r="CR23">
            <v>60</v>
          </cell>
          <cell r="CS23">
            <v>60</v>
          </cell>
          <cell r="CT23">
            <v>60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5</v>
          </cell>
          <cell r="DA23">
            <v>5</v>
          </cell>
          <cell r="DB23">
            <v>5</v>
          </cell>
          <cell r="DC23">
            <v>5</v>
          </cell>
          <cell r="DD23">
            <v>5</v>
          </cell>
          <cell r="DE23">
            <v>5</v>
          </cell>
          <cell r="DF23">
            <v>5</v>
          </cell>
          <cell r="DG23">
            <v>5</v>
          </cell>
          <cell r="DH23">
            <v>5</v>
          </cell>
          <cell r="DI23">
            <v>5</v>
          </cell>
          <cell r="DJ23">
            <v>5</v>
          </cell>
          <cell r="DK23">
            <v>5</v>
          </cell>
          <cell r="DL23">
            <v>11</v>
          </cell>
          <cell r="DM23">
            <v>11</v>
          </cell>
          <cell r="DN23">
            <v>11</v>
          </cell>
          <cell r="DO23">
            <v>11</v>
          </cell>
          <cell r="DP23">
            <v>11</v>
          </cell>
          <cell r="DQ23">
            <v>11</v>
          </cell>
          <cell r="DR23">
            <v>11</v>
          </cell>
          <cell r="DS23">
            <v>11</v>
          </cell>
          <cell r="DT23">
            <v>17</v>
          </cell>
          <cell r="DU23">
            <v>17</v>
          </cell>
          <cell r="DV23">
            <v>17</v>
          </cell>
          <cell r="DW23">
            <v>17</v>
          </cell>
          <cell r="DX23">
            <v>17</v>
          </cell>
          <cell r="DY23">
            <v>17</v>
          </cell>
          <cell r="DZ23">
            <v>17</v>
          </cell>
          <cell r="EA23">
            <v>17</v>
          </cell>
          <cell r="EB23">
            <v>17</v>
          </cell>
          <cell r="EC23">
            <v>17</v>
          </cell>
          <cell r="ED23">
            <v>17</v>
          </cell>
          <cell r="EE23">
            <v>17</v>
          </cell>
          <cell r="EF23">
            <v>17</v>
          </cell>
          <cell r="EG23">
            <v>17</v>
          </cell>
          <cell r="EH23">
            <v>17</v>
          </cell>
          <cell r="EI23">
            <v>17</v>
          </cell>
          <cell r="EJ23">
            <v>17</v>
          </cell>
          <cell r="EK23">
            <v>17</v>
          </cell>
          <cell r="EL23">
            <v>23</v>
          </cell>
          <cell r="EM23">
            <v>23</v>
          </cell>
          <cell r="EN23">
            <v>23</v>
          </cell>
          <cell r="EO23">
            <v>23</v>
          </cell>
          <cell r="EP23">
            <v>23</v>
          </cell>
          <cell r="EQ23">
            <v>23</v>
          </cell>
          <cell r="ER23">
            <v>23</v>
          </cell>
          <cell r="ES23">
            <v>24</v>
          </cell>
          <cell r="ET23">
            <v>24</v>
          </cell>
          <cell r="EU23">
            <v>30</v>
          </cell>
          <cell r="EV23">
            <v>30</v>
          </cell>
          <cell r="EW23">
            <v>30</v>
          </cell>
          <cell r="EX23">
            <v>30</v>
          </cell>
          <cell r="EY23">
            <v>36</v>
          </cell>
          <cell r="EZ23">
            <v>36</v>
          </cell>
          <cell r="FA23">
            <v>36</v>
          </cell>
          <cell r="FB23">
            <v>36</v>
          </cell>
          <cell r="FC23">
            <v>36</v>
          </cell>
          <cell r="FD23">
            <v>36</v>
          </cell>
          <cell r="FE23">
            <v>36</v>
          </cell>
          <cell r="FF23">
            <v>36</v>
          </cell>
          <cell r="FG23">
            <v>42</v>
          </cell>
          <cell r="FH23">
            <v>42</v>
          </cell>
          <cell r="FI23">
            <v>42</v>
          </cell>
          <cell r="FJ23">
            <v>42</v>
          </cell>
          <cell r="FK23">
            <v>42</v>
          </cell>
          <cell r="FL23">
            <v>48</v>
          </cell>
          <cell r="FM23">
            <v>48</v>
          </cell>
          <cell r="FN23">
            <v>48</v>
          </cell>
          <cell r="FO23">
            <v>48</v>
          </cell>
          <cell r="FP23">
            <v>54</v>
          </cell>
          <cell r="FQ23">
            <v>54</v>
          </cell>
          <cell r="FR23">
            <v>54</v>
          </cell>
          <cell r="FS23">
            <v>54</v>
          </cell>
          <cell r="FT23">
            <v>54</v>
          </cell>
          <cell r="FU23">
            <v>54</v>
          </cell>
          <cell r="FV23">
            <v>54</v>
          </cell>
          <cell r="FW23">
            <v>54</v>
          </cell>
          <cell r="FX23">
            <v>54</v>
          </cell>
          <cell r="FY23">
            <v>54</v>
          </cell>
          <cell r="FZ23">
            <v>54</v>
          </cell>
          <cell r="GA23">
            <v>54</v>
          </cell>
          <cell r="GB23">
            <v>54</v>
          </cell>
          <cell r="GC23">
            <v>60</v>
          </cell>
          <cell r="GD23">
            <v>60</v>
          </cell>
          <cell r="GE23">
            <v>60</v>
          </cell>
          <cell r="GF23">
            <v>60</v>
          </cell>
          <cell r="GG23">
            <v>60</v>
          </cell>
          <cell r="GH23">
            <v>60</v>
          </cell>
          <cell r="GI23">
            <v>60</v>
          </cell>
          <cell r="GJ23">
            <v>60</v>
          </cell>
          <cell r="GK23">
            <v>60</v>
          </cell>
          <cell r="GL23">
            <v>60</v>
          </cell>
          <cell r="GM23">
            <v>60</v>
          </cell>
          <cell r="GN23">
            <v>60</v>
          </cell>
          <cell r="GO23">
            <v>60</v>
          </cell>
          <cell r="GP23">
            <v>60</v>
          </cell>
          <cell r="GQ23">
            <v>60</v>
          </cell>
          <cell r="GR23">
            <v>60</v>
          </cell>
          <cell r="GS23">
            <v>60</v>
          </cell>
          <cell r="GT23">
            <v>60</v>
          </cell>
          <cell r="GU23">
            <v>60</v>
          </cell>
          <cell r="GV23">
            <v>60</v>
          </cell>
          <cell r="GW23">
            <v>60</v>
          </cell>
          <cell r="GX23">
            <v>60</v>
          </cell>
          <cell r="GY23">
            <v>60</v>
          </cell>
          <cell r="GZ23">
            <v>60</v>
          </cell>
          <cell r="HA23">
            <v>60</v>
          </cell>
        </row>
        <row r="24">
          <cell r="D24" t="str">
            <v>82111-F2W23</v>
          </cell>
          <cell r="E24" t="str">
            <v>AT10</v>
          </cell>
          <cell r="F24" t="str">
            <v>B02</v>
          </cell>
          <cell r="G24" t="str">
            <v>QTY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210</v>
          </cell>
          <cell r="U24">
            <v>940</v>
          </cell>
          <cell r="V24">
            <v>1010</v>
          </cell>
          <cell r="W24">
            <v>660</v>
          </cell>
          <cell r="X24">
            <v>910</v>
          </cell>
          <cell r="Y24">
            <v>240</v>
          </cell>
          <cell r="Z24">
            <v>780</v>
          </cell>
          <cell r="AA24">
            <v>740</v>
          </cell>
          <cell r="AB24">
            <v>910</v>
          </cell>
          <cell r="AC24">
            <v>850</v>
          </cell>
          <cell r="AD24">
            <v>300</v>
          </cell>
          <cell r="AE24">
            <v>490</v>
          </cell>
          <cell r="AF24">
            <v>480</v>
          </cell>
          <cell r="AG24">
            <v>330</v>
          </cell>
          <cell r="AH24">
            <v>276</v>
          </cell>
          <cell r="AI24">
            <v>6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30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70</v>
          </cell>
          <cell r="DA24">
            <v>70</v>
          </cell>
          <cell r="DB24">
            <v>70</v>
          </cell>
          <cell r="DC24">
            <v>240</v>
          </cell>
          <cell r="DD24">
            <v>240</v>
          </cell>
          <cell r="DE24">
            <v>230</v>
          </cell>
          <cell r="DF24">
            <v>230</v>
          </cell>
          <cell r="DG24">
            <v>250</v>
          </cell>
          <cell r="DH24">
            <v>260</v>
          </cell>
          <cell r="DI24">
            <v>250</v>
          </cell>
          <cell r="DJ24">
            <v>0</v>
          </cell>
          <cell r="DK24">
            <v>250</v>
          </cell>
          <cell r="DL24">
            <v>160</v>
          </cell>
          <cell r="DM24">
            <v>160</v>
          </cell>
          <cell r="DN24">
            <v>170</v>
          </cell>
          <cell r="DO24">
            <v>170</v>
          </cell>
          <cell r="DP24">
            <v>230</v>
          </cell>
          <cell r="DQ24">
            <v>230</v>
          </cell>
          <cell r="DR24">
            <v>230</v>
          </cell>
          <cell r="DS24">
            <v>220</v>
          </cell>
          <cell r="DT24">
            <v>60</v>
          </cell>
          <cell r="DU24">
            <v>60</v>
          </cell>
          <cell r="DV24">
            <v>0</v>
          </cell>
          <cell r="DW24">
            <v>60</v>
          </cell>
          <cell r="DX24">
            <v>60</v>
          </cell>
          <cell r="DY24">
            <v>200</v>
          </cell>
          <cell r="DZ24">
            <v>200</v>
          </cell>
          <cell r="EA24">
            <v>190</v>
          </cell>
          <cell r="EB24">
            <v>190</v>
          </cell>
          <cell r="EC24">
            <v>150</v>
          </cell>
          <cell r="ED24">
            <v>150</v>
          </cell>
          <cell r="EE24">
            <v>150</v>
          </cell>
          <cell r="EF24">
            <v>150</v>
          </cell>
          <cell r="EG24">
            <v>140</v>
          </cell>
          <cell r="EH24">
            <v>230</v>
          </cell>
          <cell r="EI24">
            <v>230</v>
          </cell>
          <cell r="EJ24">
            <v>230</v>
          </cell>
          <cell r="EK24">
            <v>220</v>
          </cell>
          <cell r="EL24">
            <v>220</v>
          </cell>
          <cell r="EM24">
            <v>210</v>
          </cell>
          <cell r="EN24">
            <v>210</v>
          </cell>
          <cell r="EO24">
            <v>210</v>
          </cell>
          <cell r="EP24">
            <v>60</v>
          </cell>
          <cell r="EQ24">
            <v>60</v>
          </cell>
          <cell r="ER24">
            <v>60</v>
          </cell>
          <cell r="ES24">
            <v>60</v>
          </cell>
          <cell r="ET24">
            <v>60</v>
          </cell>
          <cell r="EU24">
            <v>150</v>
          </cell>
          <cell r="EV24">
            <v>170</v>
          </cell>
          <cell r="EW24">
            <v>170</v>
          </cell>
          <cell r="EX24">
            <v>0</v>
          </cell>
          <cell r="EY24">
            <v>125</v>
          </cell>
          <cell r="EZ24">
            <v>120</v>
          </cell>
          <cell r="FA24">
            <v>125</v>
          </cell>
          <cell r="FB24">
            <v>110</v>
          </cell>
          <cell r="FC24">
            <v>90</v>
          </cell>
          <cell r="FD24">
            <v>80</v>
          </cell>
          <cell r="FE24">
            <v>80</v>
          </cell>
          <cell r="FF24">
            <v>80</v>
          </cell>
          <cell r="FG24">
            <v>100</v>
          </cell>
          <cell r="FH24">
            <v>0</v>
          </cell>
          <cell r="FI24">
            <v>170</v>
          </cell>
          <cell r="FJ24">
            <v>6</v>
          </cell>
          <cell r="FK24">
            <v>0</v>
          </cell>
          <cell r="FL24">
            <v>6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</row>
        <row r="25">
          <cell r="D25" t="str">
            <v>B/O</v>
          </cell>
          <cell r="E25">
            <v>0</v>
          </cell>
          <cell r="F25">
            <v>0</v>
          </cell>
          <cell r="G25" t="str">
            <v>CUM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210</v>
          </cell>
          <cell r="U25">
            <v>1150</v>
          </cell>
          <cell r="V25">
            <v>2160</v>
          </cell>
          <cell r="W25">
            <v>2820</v>
          </cell>
          <cell r="X25">
            <v>3730</v>
          </cell>
          <cell r="Y25">
            <v>3970</v>
          </cell>
          <cell r="Z25">
            <v>4750</v>
          </cell>
          <cell r="AA25">
            <v>5490</v>
          </cell>
          <cell r="AB25">
            <v>6400</v>
          </cell>
          <cell r="AC25">
            <v>7250</v>
          </cell>
          <cell r="AD25">
            <v>7550</v>
          </cell>
          <cell r="AE25">
            <v>8040</v>
          </cell>
          <cell r="AF25">
            <v>8520</v>
          </cell>
          <cell r="AG25">
            <v>8850</v>
          </cell>
          <cell r="AH25">
            <v>9126</v>
          </cell>
          <cell r="AI25">
            <v>9162</v>
          </cell>
          <cell r="AJ25">
            <v>9162</v>
          </cell>
          <cell r="AK25">
            <v>9162</v>
          </cell>
          <cell r="AL25">
            <v>9162</v>
          </cell>
          <cell r="AM25">
            <v>9162</v>
          </cell>
          <cell r="AN25">
            <v>9162</v>
          </cell>
          <cell r="AO25">
            <v>9162</v>
          </cell>
          <cell r="AP25">
            <v>9162</v>
          </cell>
          <cell r="AQ25">
            <v>9162</v>
          </cell>
          <cell r="AR25">
            <v>9162</v>
          </cell>
          <cell r="AS25">
            <v>9162</v>
          </cell>
          <cell r="AT25">
            <v>9162</v>
          </cell>
          <cell r="AU25">
            <v>9162</v>
          </cell>
          <cell r="AV25">
            <v>9162</v>
          </cell>
          <cell r="AW25">
            <v>9162</v>
          </cell>
          <cell r="AX25">
            <v>9162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30</v>
          </cell>
          <cell r="BT25">
            <v>30</v>
          </cell>
          <cell r="BU25">
            <v>30</v>
          </cell>
          <cell r="BV25">
            <v>30</v>
          </cell>
          <cell r="BW25">
            <v>30</v>
          </cell>
          <cell r="BX25">
            <v>30</v>
          </cell>
          <cell r="BY25">
            <v>30</v>
          </cell>
          <cell r="BZ25">
            <v>30</v>
          </cell>
          <cell r="CA25">
            <v>30</v>
          </cell>
          <cell r="CB25">
            <v>30</v>
          </cell>
          <cell r="CC25">
            <v>30</v>
          </cell>
          <cell r="CD25">
            <v>30</v>
          </cell>
          <cell r="CE25">
            <v>30</v>
          </cell>
          <cell r="CF25">
            <v>30</v>
          </cell>
          <cell r="CG25">
            <v>30</v>
          </cell>
          <cell r="CH25">
            <v>30</v>
          </cell>
          <cell r="CI25">
            <v>30</v>
          </cell>
          <cell r="CJ25">
            <v>30</v>
          </cell>
          <cell r="CK25">
            <v>30</v>
          </cell>
          <cell r="CL25">
            <v>30</v>
          </cell>
          <cell r="CM25">
            <v>30</v>
          </cell>
          <cell r="CN25">
            <v>30</v>
          </cell>
          <cell r="CO25">
            <v>30</v>
          </cell>
          <cell r="CP25">
            <v>30</v>
          </cell>
          <cell r="CQ25">
            <v>30</v>
          </cell>
          <cell r="CR25">
            <v>30</v>
          </cell>
          <cell r="CS25">
            <v>30</v>
          </cell>
          <cell r="CT25">
            <v>30</v>
          </cell>
          <cell r="CU25">
            <v>30</v>
          </cell>
          <cell r="CV25">
            <v>30</v>
          </cell>
          <cell r="CW25">
            <v>30</v>
          </cell>
          <cell r="CX25">
            <v>30</v>
          </cell>
          <cell r="CY25">
            <v>30</v>
          </cell>
          <cell r="CZ25">
            <v>100</v>
          </cell>
          <cell r="DA25">
            <v>170</v>
          </cell>
          <cell r="DB25">
            <v>240</v>
          </cell>
          <cell r="DC25">
            <v>480</v>
          </cell>
          <cell r="DD25">
            <v>720</v>
          </cell>
          <cell r="DE25">
            <v>950</v>
          </cell>
          <cell r="DF25">
            <v>1180</v>
          </cell>
          <cell r="DG25">
            <v>1430</v>
          </cell>
          <cell r="DH25">
            <v>1690</v>
          </cell>
          <cell r="DI25">
            <v>1940</v>
          </cell>
          <cell r="DJ25">
            <v>1940</v>
          </cell>
          <cell r="DK25">
            <v>2190</v>
          </cell>
          <cell r="DL25">
            <v>2350</v>
          </cell>
          <cell r="DM25">
            <v>2510</v>
          </cell>
          <cell r="DN25">
            <v>2680</v>
          </cell>
          <cell r="DO25">
            <v>2850</v>
          </cell>
          <cell r="DP25">
            <v>3080</v>
          </cell>
          <cell r="DQ25">
            <v>3310</v>
          </cell>
          <cell r="DR25">
            <v>3540</v>
          </cell>
          <cell r="DS25">
            <v>3760</v>
          </cell>
          <cell r="DT25">
            <v>3820</v>
          </cell>
          <cell r="DU25">
            <v>3880</v>
          </cell>
          <cell r="DV25">
            <v>3880</v>
          </cell>
          <cell r="DW25">
            <v>3940</v>
          </cell>
          <cell r="DX25">
            <v>4000</v>
          </cell>
          <cell r="DY25">
            <v>4200</v>
          </cell>
          <cell r="DZ25">
            <v>4400</v>
          </cell>
          <cell r="EA25">
            <v>4590</v>
          </cell>
          <cell r="EB25">
            <v>4780</v>
          </cell>
          <cell r="EC25">
            <v>4930</v>
          </cell>
          <cell r="ED25">
            <v>5080</v>
          </cell>
          <cell r="EE25">
            <v>5230</v>
          </cell>
          <cell r="EF25">
            <v>5380</v>
          </cell>
          <cell r="EG25">
            <v>5520</v>
          </cell>
          <cell r="EH25">
            <v>5750</v>
          </cell>
          <cell r="EI25">
            <v>5980</v>
          </cell>
          <cell r="EJ25">
            <v>6210</v>
          </cell>
          <cell r="EK25">
            <v>6430</v>
          </cell>
          <cell r="EL25">
            <v>6650</v>
          </cell>
          <cell r="EM25">
            <v>6860</v>
          </cell>
          <cell r="EN25">
            <v>7070</v>
          </cell>
          <cell r="EO25">
            <v>7280</v>
          </cell>
          <cell r="EP25">
            <v>7340</v>
          </cell>
          <cell r="EQ25">
            <v>7400</v>
          </cell>
          <cell r="ER25">
            <v>7460</v>
          </cell>
          <cell r="ES25">
            <v>7520</v>
          </cell>
          <cell r="ET25">
            <v>7580</v>
          </cell>
          <cell r="EU25">
            <v>7730</v>
          </cell>
          <cell r="EV25">
            <v>7900</v>
          </cell>
          <cell r="EW25">
            <v>8070</v>
          </cell>
          <cell r="EX25">
            <v>8070</v>
          </cell>
          <cell r="EY25">
            <v>8195</v>
          </cell>
          <cell r="EZ25">
            <v>8315</v>
          </cell>
          <cell r="FA25">
            <v>8440</v>
          </cell>
          <cell r="FB25">
            <v>8550</v>
          </cell>
          <cell r="FC25">
            <v>8640</v>
          </cell>
          <cell r="FD25">
            <v>8720</v>
          </cell>
          <cell r="FE25">
            <v>8800</v>
          </cell>
          <cell r="FF25">
            <v>8880</v>
          </cell>
          <cell r="FG25">
            <v>8980</v>
          </cell>
          <cell r="FH25">
            <v>8980</v>
          </cell>
          <cell r="FI25">
            <v>9150</v>
          </cell>
          <cell r="FJ25">
            <v>9156</v>
          </cell>
          <cell r="FK25">
            <v>9156</v>
          </cell>
          <cell r="FL25">
            <v>9162</v>
          </cell>
          <cell r="FM25">
            <v>9162</v>
          </cell>
          <cell r="FN25">
            <v>9162</v>
          </cell>
          <cell r="FO25">
            <v>9162</v>
          </cell>
          <cell r="FP25">
            <v>9162</v>
          </cell>
          <cell r="FQ25">
            <v>9162</v>
          </cell>
          <cell r="FR25">
            <v>9162</v>
          </cell>
          <cell r="FS25">
            <v>9162</v>
          </cell>
          <cell r="FT25">
            <v>9162</v>
          </cell>
          <cell r="FU25">
            <v>9162</v>
          </cell>
          <cell r="FV25">
            <v>9162</v>
          </cell>
          <cell r="FW25">
            <v>9162</v>
          </cell>
          <cell r="FX25">
            <v>9162</v>
          </cell>
          <cell r="FY25">
            <v>9162</v>
          </cell>
          <cell r="FZ25">
            <v>9162</v>
          </cell>
          <cell r="GA25">
            <v>9162</v>
          </cell>
          <cell r="GB25">
            <v>9162</v>
          </cell>
          <cell r="GC25">
            <v>9162</v>
          </cell>
          <cell r="GD25">
            <v>9162</v>
          </cell>
          <cell r="GE25">
            <v>9162</v>
          </cell>
          <cell r="GF25">
            <v>9162</v>
          </cell>
          <cell r="GG25">
            <v>9162</v>
          </cell>
          <cell r="GH25">
            <v>9162</v>
          </cell>
          <cell r="GI25">
            <v>9162</v>
          </cell>
          <cell r="GJ25">
            <v>9162</v>
          </cell>
          <cell r="GK25">
            <v>9162</v>
          </cell>
          <cell r="GL25">
            <v>9162</v>
          </cell>
          <cell r="GM25">
            <v>9162</v>
          </cell>
          <cell r="GN25">
            <v>9162</v>
          </cell>
          <cell r="GO25">
            <v>9162</v>
          </cell>
          <cell r="GP25">
            <v>9162</v>
          </cell>
          <cell r="GQ25">
            <v>9162</v>
          </cell>
          <cell r="GR25">
            <v>9162</v>
          </cell>
          <cell r="GS25">
            <v>9162</v>
          </cell>
          <cell r="GT25">
            <v>9162</v>
          </cell>
          <cell r="GU25">
            <v>9162</v>
          </cell>
          <cell r="GV25">
            <v>9162</v>
          </cell>
          <cell r="GW25">
            <v>9162</v>
          </cell>
          <cell r="GX25">
            <v>9162</v>
          </cell>
          <cell r="GY25">
            <v>9162</v>
          </cell>
          <cell r="GZ25">
            <v>9162</v>
          </cell>
          <cell r="HA25">
            <v>9162</v>
          </cell>
        </row>
        <row r="26">
          <cell r="D26" t="str">
            <v>82111-F2W34</v>
          </cell>
          <cell r="E26" t="str">
            <v>AT10</v>
          </cell>
          <cell r="F26" t="str">
            <v>B03</v>
          </cell>
          <cell r="G26" t="str">
            <v>QTY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200</v>
          </cell>
          <cell r="U26">
            <v>1060</v>
          </cell>
          <cell r="V26">
            <v>660</v>
          </cell>
          <cell r="W26">
            <v>600</v>
          </cell>
          <cell r="X26">
            <v>840</v>
          </cell>
          <cell r="Y26">
            <v>890</v>
          </cell>
          <cell r="Z26">
            <v>610</v>
          </cell>
          <cell r="AA26">
            <v>340</v>
          </cell>
          <cell r="AB26">
            <v>340</v>
          </cell>
          <cell r="AC26">
            <v>500</v>
          </cell>
          <cell r="AD26">
            <v>330</v>
          </cell>
          <cell r="AE26">
            <v>670</v>
          </cell>
          <cell r="AF26">
            <v>460</v>
          </cell>
          <cell r="AG26">
            <v>350</v>
          </cell>
          <cell r="AH26">
            <v>450</v>
          </cell>
          <cell r="AI26">
            <v>570</v>
          </cell>
          <cell r="AJ26">
            <v>490</v>
          </cell>
          <cell r="AK26">
            <v>610</v>
          </cell>
          <cell r="AL26">
            <v>324</v>
          </cell>
          <cell r="AM26">
            <v>84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4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70</v>
          </cell>
          <cell r="DA26">
            <v>70</v>
          </cell>
          <cell r="DB26">
            <v>60</v>
          </cell>
          <cell r="DC26">
            <v>270</v>
          </cell>
          <cell r="DD26">
            <v>270</v>
          </cell>
          <cell r="DE26">
            <v>260</v>
          </cell>
          <cell r="DF26">
            <v>260</v>
          </cell>
          <cell r="DG26">
            <v>170</v>
          </cell>
          <cell r="DH26">
            <v>170</v>
          </cell>
          <cell r="DI26">
            <v>160</v>
          </cell>
          <cell r="DJ26">
            <v>0</v>
          </cell>
          <cell r="DK26">
            <v>160</v>
          </cell>
          <cell r="DL26">
            <v>150</v>
          </cell>
          <cell r="DM26">
            <v>150</v>
          </cell>
          <cell r="DN26">
            <v>150</v>
          </cell>
          <cell r="DO26">
            <v>150</v>
          </cell>
          <cell r="DP26">
            <v>210</v>
          </cell>
          <cell r="DQ26">
            <v>210</v>
          </cell>
          <cell r="DR26">
            <v>210</v>
          </cell>
          <cell r="DS26">
            <v>210</v>
          </cell>
          <cell r="DT26">
            <v>230</v>
          </cell>
          <cell r="DU26">
            <v>220</v>
          </cell>
          <cell r="DV26">
            <v>0</v>
          </cell>
          <cell r="DW26">
            <v>220</v>
          </cell>
          <cell r="DX26">
            <v>220</v>
          </cell>
          <cell r="DY26">
            <v>150</v>
          </cell>
          <cell r="DZ26">
            <v>150</v>
          </cell>
          <cell r="EA26">
            <v>150</v>
          </cell>
          <cell r="EB26">
            <v>160</v>
          </cell>
          <cell r="EC26">
            <v>70</v>
          </cell>
          <cell r="ED26">
            <v>70</v>
          </cell>
          <cell r="EE26">
            <v>70</v>
          </cell>
          <cell r="EF26">
            <v>70</v>
          </cell>
          <cell r="EG26">
            <v>60</v>
          </cell>
          <cell r="EH26">
            <v>90</v>
          </cell>
          <cell r="EI26">
            <v>90</v>
          </cell>
          <cell r="EJ26">
            <v>80</v>
          </cell>
          <cell r="EK26">
            <v>80</v>
          </cell>
          <cell r="EL26">
            <v>125</v>
          </cell>
          <cell r="EM26">
            <v>125</v>
          </cell>
          <cell r="EN26">
            <v>125</v>
          </cell>
          <cell r="EO26">
            <v>125</v>
          </cell>
          <cell r="EP26">
            <v>70</v>
          </cell>
          <cell r="EQ26">
            <v>70</v>
          </cell>
          <cell r="ER26">
            <v>60</v>
          </cell>
          <cell r="ES26">
            <v>70</v>
          </cell>
          <cell r="ET26">
            <v>60</v>
          </cell>
          <cell r="EU26">
            <v>230</v>
          </cell>
          <cell r="EV26">
            <v>220</v>
          </cell>
          <cell r="EW26">
            <v>220</v>
          </cell>
          <cell r="EX26">
            <v>0</v>
          </cell>
          <cell r="EY26">
            <v>100</v>
          </cell>
          <cell r="EZ26">
            <v>130</v>
          </cell>
          <cell r="FA26">
            <v>100</v>
          </cell>
          <cell r="FB26">
            <v>130</v>
          </cell>
          <cell r="FC26">
            <v>90</v>
          </cell>
          <cell r="FD26">
            <v>90</v>
          </cell>
          <cell r="FE26">
            <v>90</v>
          </cell>
          <cell r="FF26">
            <v>80</v>
          </cell>
          <cell r="FG26">
            <v>110</v>
          </cell>
          <cell r="FH26">
            <v>0</v>
          </cell>
          <cell r="FI26">
            <v>110</v>
          </cell>
          <cell r="FJ26">
            <v>110</v>
          </cell>
          <cell r="FK26">
            <v>120</v>
          </cell>
          <cell r="FL26">
            <v>140</v>
          </cell>
          <cell r="FM26">
            <v>140</v>
          </cell>
          <cell r="FN26">
            <v>150</v>
          </cell>
          <cell r="FO26">
            <v>140</v>
          </cell>
          <cell r="FP26">
            <v>150</v>
          </cell>
          <cell r="FQ26">
            <v>150</v>
          </cell>
          <cell r="FR26">
            <v>95</v>
          </cell>
          <cell r="FS26">
            <v>95</v>
          </cell>
          <cell r="FT26">
            <v>156</v>
          </cell>
          <cell r="FU26">
            <v>156</v>
          </cell>
          <cell r="FV26">
            <v>150</v>
          </cell>
          <cell r="FW26">
            <v>0</v>
          </cell>
          <cell r="FX26">
            <v>148</v>
          </cell>
          <cell r="FY26">
            <v>78</v>
          </cell>
          <cell r="FZ26">
            <v>78</v>
          </cell>
          <cell r="GA26">
            <v>78</v>
          </cell>
          <cell r="GB26">
            <v>90</v>
          </cell>
          <cell r="GC26">
            <v>84</v>
          </cell>
          <cell r="GD26">
            <v>84</v>
          </cell>
          <cell r="GE26">
            <v>84</v>
          </cell>
          <cell r="GF26">
            <v>84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</row>
        <row r="27">
          <cell r="D27" t="str">
            <v>10月 B/O</v>
          </cell>
          <cell r="E27">
            <v>0</v>
          </cell>
          <cell r="F27">
            <v>0</v>
          </cell>
          <cell r="G27" t="str">
            <v>CUM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200</v>
          </cell>
          <cell r="U27">
            <v>1260</v>
          </cell>
          <cell r="V27">
            <v>1920</v>
          </cell>
          <cell r="W27">
            <v>2520</v>
          </cell>
          <cell r="X27">
            <v>3360</v>
          </cell>
          <cell r="Y27">
            <v>4250</v>
          </cell>
          <cell r="Z27">
            <v>4860</v>
          </cell>
          <cell r="AA27">
            <v>5200</v>
          </cell>
          <cell r="AB27">
            <v>5540</v>
          </cell>
          <cell r="AC27">
            <v>6040</v>
          </cell>
          <cell r="AD27">
            <v>6370</v>
          </cell>
          <cell r="AE27">
            <v>7040</v>
          </cell>
          <cell r="AF27">
            <v>7500</v>
          </cell>
          <cell r="AG27">
            <v>7850</v>
          </cell>
          <cell r="AH27">
            <v>8300</v>
          </cell>
          <cell r="AI27">
            <v>8874</v>
          </cell>
          <cell r="AJ27">
            <v>9364</v>
          </cell>
          <cell r="AK27">
            <v>9974</v>
          </cell>
          <cell r="AL27">
            <v>10298</v>
          </cell>
          <cell r="AM27">
            <v>10382</v>
          </cell>
          <cell r="AN27">
            <v>10382</v>
          </cell>
          <cell r="AO27">
            <v>10382</v>
          </cell>
          <cell r="AP27">
            <v>10382</v>
          </cell>
          <cell r="AQ27">
            <v>10382</v>
          </cell>
          <cell r="AR27">
            <v>10382</v>
          </cell>
          <cell r="AS27">
            <v>10382</v>
          </cell>
          <cell r="AT27">
            <v>10382</v>
          </cell>
          <cell r="AU27">
            <v>10382</v>
          </cell>
          <cell r="AV27">
            <v>10382</v>
          </cell>
          <cell r="AW27">
            <v>10382</v>
          </cell>
          <cell r="AX27">
            <v>10382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4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4</v>
          </cell>
          <cell r="CK27">
            <v>4</v>
          </cell>
          <cell r="CL27">
            <v>4</v>
          </cell>
          <cell r="CM27">
            <v>4</v>
          </cell>
          <cell r="CN27">
            <v>4</v>
          </cell>
          <cell r="CO27">
            <v>4</v>
          </cell>
          <cell r="CP27">
            <v>4</v>
          </cell>
          <cell r="CQ27">
            <v>4</v>
          </cell>
          <cell r="CR27">
            <v>4</v>
          </cell>
          <cell r="CS27">
            <v>4</v>
          </cell>
          <cell r="CT27">
            <v>4</v>
          </cell>
          <cell r="CU27">
            <v>4</v>
          </cell>
          <cell r="CV27">
            <v>4</v>
          </cell>
          <cell r="CW27">
            <v>4</v>
          </cell>
          <cell r="CX27">
            <v>4</v>
          </cell>
          <cell r="CY27">
            <v>4</v>
          </cell>
          <cell r="CZ27">
            <v>74</v>
          </cell>
          <cell r="DA27">
            <v>144</v>
          </cell>
          <cell r="DB27">
            <v>204</v>
          </cell>
          <cell r="DC27">
            <v>474</v>
          </cell>
          <cell r="DD27">
            <v>744</v>
          </cell>
          <cell r="DE27">
            <v>1004</v>
          </cell>
          <cell r="DF27">
            <v>1264</v>
          </cell>
          <cell r="DG27">
            <v>1434</v>
          </cell>
          <cell r="DH27">
            <v>1604</v>
          </cell>
          <cell r="DI27">
            <v>1764</v>
          </cell>
          <cell r="DJ27">
            <v>1764</v>
          </cell>
          <cell r="DK27">
            <v>1924</v>
          </cell>
          <cell r="DL27">
            <v>2074</v>
          </cell>
          <cell r="DM27">
            <v>2224</v>
          </cell>
          <cell r="DN27">
            <v>2374</v>
          </cell>
          <cell r="DO27">
            <v>2524</v>
          </cell>
          <cell r="DP27">
            <v>2734</v>
          </cell>
          <cell r="DQ27">
            <v>2944</v>
          </cell>
          <cell r="DR27">
            <v>3154</v>
          </cell>
          <cell r="DS27">
            <v>3364</v>
          </cell>
          <cell r="DT27">
            <v>3594</v>
          </cell>
          <cell r="DU27">
            <v>3814</v>
          </cell>
          <cell r="DV27">
            <v>3814</v>
          </cell>
          <cell r="DW27">
            <v>4034</v>
          </cell>
          <cell r="DX27">
            <v>4254</v>
          </cell>
          <cell r="DY27">
            <v>4404</v>
          </cell>
          <cell r="DZ27">
            <v>4554</v>
          </cell>
          <cell r="EA27">
            <v>4704</v>
          </cell>
          <cell r="EB27">
            <v>4864</v>
          </cell>
          <cell r="EC27">
            <v>4934</v>
          </cell>
          <cell r="ED27">
            <v>5004</v>
          </cell>
          <cell r="EE27">
            <v>5074</v>
          </cell>
          <cell r="EF27">
            <v>5144</v>
          </cell>
          <cell r="EG27">
            <v>5204</v>
          </cell>
          <cell r="EH27">
            <v>5294</v>
          </cell>
          <cell r="EI27">
            <v>5384</v>
          </cell>
          <cell r="EJ27">
            <v>5464</v>
          </cell>
          <cell r="EK27">
            <v>5544</v>
          </cell>
          <cell r="EL27">
            <v>5669</v>
          </cell>
          <cell r="EM27">
            <v>5794</v>
          </cell>
          <cell r="EN27">
            <v>5919</v>
          </cell>
          <cell r="EO27">
            <v>6044</v>
          </cell>
          <cell r="EP27">
            <v>6114</v>
          </cell>
          <cell r="EQ27">
            <v>6184</v>
          </cell>
          <cell r="ER27">
            <v>6244</v>
          </cell>
          <cell r="ES27">
            <v>6314</v>
          </cell>
          <cell r="ET27">
            <v>6374</v>
          </cell>
          <cell r="EU27">
            <v>6604</v>
          </cell>
          <cell r="EV27">
            <v>6824</v>
          </cell>
          <cell r="EW27">
            <v>7044</v>
          </cell>
          <cell r="EX27">
            <v>7044</v>
          </cell>
          <cell r="EY27">
            <v>7144</v>
          </cell>
          <cell r="EZ27">
            <v>7274</v>
          </cell>
          <cell r="FA27">
            <v>7374</v>
          </cell>
          <cell r="FB27">
            <v>7504</v>
          </cell>
          <cell r="FC27">
            <v>7594</v>
          </cell>
          <cell r="FD27">
            <v>7684</v>
          </cell>
          <cell r="FE27">
            <v>7774</v>
          </cell>
          <cell r="FF27">
            <v>7854</v>
          </cell>
          <cell r="FG27">
            <v>7964</v>
          </cell>
          <cell r="FH27">
            <v>7964</v>
          </cell>
          <cell r="FI27">
            <v>8074</v>
          </cell>
          <cell r="FJ27">
            <v>8184</v>
          </cell>
          <cell r="FK27">
            <v>8304</v>
          </cell>
          <cell r="FL27">
            <v>8444</v>
          </cell>
          <cell r="FM27">
            <v>8584</v>
          </cell>
          <cell r="FN27">
            <v>8734</v>
          </cell>
          <cell r="FO27">
            <v>8874</v>
          </cell>
          <cell r="FP27">
            <v>9024</v>
          </cell>
          <cell r="FQ27">
            <v>9174</v>
          </cell>
          <cell r="FR27">
            <v>9269</v>
          </cell>
          <cell r="FS27">
            <v>9364</v>
          </cell>
          <cell r="FT27">
            <v>9520</v>
          </cell>
          <cell r="FU27">
            <v>9676</v>
          </cell>
          <cell r="FV27">
            <v>9826</v>
          </cell>
          <cell r="FW27">
            <v>9826</v>
          </cell>
          <cell r="FX27">
            <v>9974</v>
          </cell>
          <cell r="FY27">
            <v>10052</v>
          </cell>
          <cell r="FZ27">
            <v>10130</v>
          </cell>
          <cell r="GA27">
            <v>10208</v>
          </cell>
          <cell r="GB27">
            <v>10298</v>
          </cell>
          <cell r="GC27">
            <v>10382</v>
          </cell>
          <cell r="GD27">
            <v>10382</v>
          </cell>
          <cell r="GE27">
            <v>10382</v>
          </cell>
          <cell r="GF27">
            <v>10382</v>
          </cell>
          <cell r="GG27">
            <v>10382</v>
          </cell>
          <cell r="GH27">
            <v>10382</v>
          </cell>
          <cell r="GI27">
            <v>10382</v>
          </cell>
          <cell r="GJ27">
            <v>10382</v>
          </cell>
          <cell r="GK27">
            <v>10382</v>
          </cell>
          <cell r="GL27">
            <v>10382</v>
          </cell>
          <cell r="GM27">
            <v>10382</v>
          </cell>
          <cell r="GN27">
            <v>10382</v>
          </cell>
          <cell r="GO27">
            <v>10382</v>
          </cell>
          <cell r="GP27">
            <v>10382</v>
          </cell>
          <cell r="GQ27">
            <v>10382</v>
          </cell>
          <cell r="GR27">
            <v>10382</v>
          </cell>
          <cell r="GS27">
            <v>10382</v>
          </cell>
          <cell r="GT27">
            <v>10382</v>
          </cell>
          <cell r="GU27">
            <v>10382</v>
          </cell>
          <cell r="GV27">
            <v>10382</v>
          </cell>
          <cell r="GW27">
            <v>10382</v>
          </cell>
          <cell r="GX27">
            <v>10382</v>
          </cell>
          <cell r="GY27">
            <v>10382</v>
          </cell>
          <cell r="GZ27">
            <v>10382</v>
          </cell>
          <cell r="HA27">
            <v>10382</v>
          </cell>
        </row>
        <row r="28">
          <cell r="D28" t="str">
            <v>82111-F2W42</v>
          </cell>
          <cell r="E28" t="str">
            <v>AT10</v>
          </cell>
          <cell r="F28" t="str">
            <v>C01</v>
          </cell>
          <cell r="G28" t="str">
            <v>QTY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10</v>
          </cell>
          <cell r="AC28">
            <v>10</v>
          </cell>
          <cell r="AD28">
            <v>10</v>
          </cell>
          <cell r="AE28">
            <v>0</v>
          </cell>
          <cell r="AF28">
            <v>20</v>
          </cell>
          <cell r="AG28">
            <v>10</v>
          </cell>
          <cell r="AH28">
            <v>5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3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10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10</v>
          </cell>
          <cell r="EI28">
            <v>0</v>
          </cell>
          <cell r="EJ28">
            <v>0</v>
          </cell>
          <cell r="EK28">
            <v>0</v>
          </cell>
          <cell r="EL28">
            <v>10</v>
          </cell>
          <cell r="EM28">
            <v>0</v>
          </cell>
          <cell r="EN28">
            <v>0</v>
          </cell>
          <cell r="EO28">
            <v>0</v>
          </cell>
          <cell r="EP28">
            <v>10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20</v>
          </cell>
          <cell r="EZ28">
            <v>0</v>
          </cell>
          <cell r="FA28">
            <v>0</v>
          </cell>
          <cell r="FB28">
            <v>0</v>
          </cell>
          <cell r="FC28">
            <v>10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5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</row>
        <row r="29">
          <cell r="D29" t="str">
            <v>10月 B/O</v>
          </cell>
          <cell r="E29">
            <v>0</v>
          </cell>
          <cell r="F29">
            <v>0</v>
          </cell>
          <cell r="G29" t="str">
            <v>CUM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10</v>
          </cell>
          <cell r="U29">
            <v>10</v>
          </cell>
          <cell r="V29">
            <v>10</v>
          </cell>
          <cell r="W29">
            <v>10</v>
          </cell>
          <cell r="X29">
            <v>10</v>
          </cell>
          <cell r="Y29">
            <v>10</v>
          </cell>
          <cell r="Z29">
            <v>10</v>
          </cell>
          <cell r="AA29">
            <v>10</v>
          </cell>
          <cell r="AB29">
            <v>20</v>
          </cell>
          <cell r="AC29">
            <v>30</v>
          </cell>
          <cell r="AD29">
            <v>40</v>
          </cell>
          <cell r="AE29">
            <v>40</v>
          </cell>
          <cell r="AF29">
            <v>60</v>
          </cell>
          <cell r="AG29">
            <v>70</v>
          </cell>
          <cell r="AH29">
            <v>75</v>
          </cell>
          <cell r="AI29">
            <v>78</v>
          </cell>
          <cell r="AJ29">
            <v>78</v>
          </cell>
          <cell r="AK29">
            <v>78</v>
          </cell>
          <cell r="AL29">
            <v>78</v>
          </cell>
          <cell r="AM29">
            <v>78</v>
          </cell>
          <cell r="AN29">
            <v>78</v>
          </cell>
          <cell r="AO29">
            <v>78</v>
          </cell>
          <cell r="AP29">
            <v>78</v>
          </cell>
          <cell r="AQ29">
            <v>78</v>
          </cell>
          <cell r="AR29">
            <v>78</v>
          </cell>
          <cell r="AS29">
            <v>78</v>
          </cell>
          <cell r="AT29">
            <v>78</v>
          </cell>
          <cell r="AU29">
            <v>78</v>
          </cell>
          <cell r="AV29">
            <v>78</v>
          </cell>
          <cell r="AW29">
            <v>78</v>
          </cell>
          <cell r="AX29">
            <v>78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3</v>
          </cell>
          <cell r="BT29">
            <v>3</v>
          </cell>
          <cell r="BU29">
            <v>3</v>
          </cell>
          <cell r="BV29">
            <v>3</v>
          </cell>
          <cell r="BW29">
            <v>3</v>
          </cell>
          <cell r="BX29">
            <v>3</v>
          </cell>
          <cell r="BY29">
            <v>3</v>
          </cell>
          <cell r="BZ29">
            <v>3</v>
          </cell>
          <cell r="CA29">
            <v>3</v>
          </cell>
          <cell r="CB29">
            <v>3</v>
          </cell>
          <cell r="CC29">
            <v>3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3</v>
          </cell>
          <cell r="CI29">
            <v>3</v>
          </cell>
          <cell r="CJ29">
            <v>3</v>
          </cell>
          <cell r="CK29">
            <v>3</v>
          </cell>
          <cell r="CL29">
            <v>3</v>
          </cell>
          <cell r="CM29">
            <v>3</v>
          </cell>
          <cell r="CN29">
            <v>3</v>
          </cell>
          <cell r="CO29">
            <v>3</v>
          </cell>
          <cell r="CP29">
            <v>3</v>
          </cell>
          <cell r="CQ29">
            <v>3</v>
          </cell>
          <cell r="CR29">
            <v>3</v>
          </cell>
          <cell r="CS29">
            <v>3</v>
          </cell>
          <cell r="CT29">
            <v>3</v>
          </cell>
          <cell r="CU29">
            <v>3</v>
          </cell>
          <cell r="CV29">
            <v>3</v>
          </cell>
          <cell r="CW29">
            <v>3</v>
          </cell>
          <cell r="CX29">
            <v>3</v>
          </cell>
          <cell r="CY29">
            <v>3</v>
          </cell>
          <cell r="CZ29">
            <v>13</v>
          </cell>
          <cell r="DA29">
            <v>13</v>
          </cell>
          <cell r="DB29">
            <v>13</v>
          </cell>
          <cell r="DC29">
            <v>13</v>
          </cell>
          <cell r="DD29">
            <v>13</v>
          </cell>
          <cell r="DE29">
            <v>13</v>
          </cell>
          <cell r="DF29">
            <v>13</v>
          </cell>
          <cell r="DG29">
            <v>13</v>
          </cell>
          <cell r="DH29">
            <v>13</v>
          </cell>
          <cell r="DI29">
            <v>13</v>
          </cell>
          <cell r="DJ29">
            <v>13</v>
          </cell>
          <cell r="DK29">
            <v>13</v>
          </cell>
          <cell r="DL29">
            <v>13</v>
          </cell>
          <cell r="DM29">
            <v>13</v>
          </cell>
          <cell r="DN29">
            <v>13</v>
          </cell>
          <cell r="DO29">
            <v>13</v>
          </cell>
          <cell r="DP29">
            <v>13</v>
          </cell>
          <cell r="DQ29">
            <v>13</v>
          </cell>
          <cell r="DR29">
            <v>13</v>
          </cell>
          <cell r="DS29">
            <v>13</v>
          </cell>
          <cell r="DT29">
            <v>13</v>
          </cell>
          <cell r="DU29">
            <v>13</v>
          </cell>
          <cell r="DV29">
            <v>13</v>
          </cell>
          <cell r="DW29">
            <v>13</v>
          </cell>
          <cell r="DX29">
            <v>13</v>
          </cell>
          <cell r="DY29">
            <v>13</v>
          </cell>
          <cell r="DZ29">
            <v>13</v>
          </cell>
          <cell r="EA29">
            <v>13</v>
          </cell>
          <cell r="EB29">
            <v>13</v>
          </cell>
          <cell r="EC29">
            <v>13</v>
          </cell>
          <cell r="ED29">
            <v>13</v>
          </cell>
          <cell r="EE29">
            <v>13</v>
          </cell>
          <cell r="EF29">
            <v>13</v>
          </cell>
          <cell r="EG29">
            <v>13</v>
          </cell>
          <cell r="EH29">
            <v>23</v>
          </cell>
          <cell r="EI29">
            <v>23</v>
          </cell>
          <cell r="EJ29">
            <v>23</v>
          </cell>
          <cell r="EK29">
            <v>23</v>
          </cell>
          <cell r="EL29">
            <v>33</v>
          </cell>
          <cell r="EM29">
            <v>33</v>
          </cell>
          <cell r="EN29">
            <v>33</v>
          </cell>
          <cell r="EO29">
            <v>33</v>
          </cell>
          <cell r="EP29">
            <v>43</v>
          </cell>
          <cell r="EQ29">
            <v>43</v>
          </cell>
          <cell r="ER29">
            <v>43</v>
          </cell>
          <cell r="ES29">
            <v>43</v>
          </cell>
          <cell r="ET29">
            <v>43</v>
          </cell>
          <cell r="EU29">
            <v>43</v>
          </cell>
          <cell r="EV29">
            <v>43</v>
          </cell>
          <cell r="EW29">
            <v>43</v>
          </cell>
          <cell r="EX29">
            <v>43</v>
          </cell>
          <cell r="EY29">
            <v>63</v>
          </cell>
          <cell r="EZ29">
            <v>63</v>
          </cell>
          <cell r="FA29">
            <v>63</v>
          </cell>
          <cell r="FB29">
            <v>63</v>
          </cell>
          <cell r="FC29">
            <v>73</v>
          </cell>
          <cell r="FD29">
            <v>73</v>
          </cell>
          <cell r="FE29">
            <v>73</v>
          </cell>
          <cell r="FF29">
            <v>73</v>
          </cell>
          <cell r="FG29">
            <v>73</v>
          </cell>
          <cell r="FH29">
            <v>73</v>
          </cell>
          <cell r="FI29">
            <v>78</v>
          </cell>
          <cell r="FJ29">
            <v>78</v>
          </cell>
          <cell r="FK29">
            <v>78</v>
          </cell>
          <cell r="FL29">
            <v>78</v>
          </cell>
          <cell r="FM29">
            <v>78</v>
          </cell>
          <cell r="FN29">
            <v>78</v>
          </cell>
          <cell r="FO29">
            <v>78</v>
          </cell>
          <cell r="FP29">
            <v>78</v>
          </cell>
          <cell r="FQ29">
            <v>78</v>
          </cell>
          <cell r="FR29">
            <v>78</v>
          </cell>
          <cell r="FS29">
            <v>78</v>
          </cell>
          <cell r="FT29">
            <v>78</v>
          </cell>
          <cell r="FU29">
            <v>78</v>
          </cell>
          <cell r="FV29">
            <v>78</v>
          </cell>
          <cell r="FW29">
            <v>78</v>
          </cell>
          <cell r="FX29">
            <v>78</v>
          </cell>
          <cell r="FY29">
            <v>78</v>
          </cell>
          <cell r="FZ29">
            <v>78</v>
          </cell>
          <cell r="GA29">
            <v>78</v>
          </cell>
          <cell r="GB29">
            <v>78</v>
          </cell>
          <cell r="GC29">
            <v>78</v>
          </cell>
          <cell r="GD29">
            <v>78</v>
          </cell>
          <cell r="GE29">
            <v>78</v>
          </cell>
          <cell r="GF29">
            <v>78</v>
          </cell>
          <cell r="GG29">
            <v>78</v>
          </cell>
          <cell r="GH29">
            <v>78</v>
          </cell>
          <cell r="GI29">
            <v>78</v>
          </cell>
          <cell r="GJ29">
            <v>78</v>
          </cell>
          <cell r="GK29">
            <v>78</v>
          </cell>
          <cell r="GL29">
            <v>78</v>
          </cell>
          <cell r="GM29">
            <v>78</v>
          </cell>
          <cell r="GN29">
            <v>78</v>
          </cell>
          <cell r="GO29">
            <v>78</v>
          </cell>
          <cell r="GP29">
            <v>78</v>
          </cell>
          <cell r="GQ29">
            <v>78</v>
          </cell>
          <cell r="GR29">
            <v>78</v>
          </cell>
          <cell r="GS29">
            <v>78</v>
          </cell>
          <cell r="GT29">
            <v>78</v>
          </cell>
          <cell r="GU29">
            <v>78</v>
          </cell>
          <cell r="GV29">
            <v>78</v>
          </cell>
          <cell r="GW29">
            <v>78</v>
          </cell>
          <cell r="GX29">
            <v>78</v>
          </cell>
          <cell r="GY29">
            <v>78</v>
          </cell>
          <cell r="GZ29">
            <v>78</v>
          </cell>
          <cell r="HA29">
            <v>78</v>
          </cell>
        </row>
        <row r="30">
          <cell r="D30" t="str">
            <v>82111-F2W63</v>
          </cell>
          <cell r="E30" t="str">
            <v>AT10</v>
          </cell>
          <cell r="F30" t="str">
            <v>B02</v>
          </cell>
          <cell r="G30" t="str">
            <v>QTY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20</v>
          </cell>
          <cell r="U30">
            <v>80</v>
          </cell>
          <cell r="V30">
            <v>70</v>
          </cell>
          <cell r="W30">
            <v>70</v>
          </cell>
          <cell r="X30">
            <v>60</v>
          </cell>
          <cell r="Y30">
            <v>20</v>
          </cell>
          <cell r="Z30">
            <v>80</v>
          </cell>
          <cell r="AA30">
            <v>50</v>
          </cell>
          <cell r="AB30">
            <v>60</v>
          </cell>
          <cell r="AC30">
            <v>60</v>
          </cell>
          <cell r="AD30">
            <v>50</v>
          </cell>
          <cell r="AE30">
            <v>50</v>
          </cell>
          <cell r="AF30">
            <v>30</v>
          </cell>
          <cell r="AG30">
            <v>50</v>
          </cell>
          <cell r="AH30">
            <v>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4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20</v>
          </cell>
          <cell r="DA30">
            <v>0</v>
          </cell>
          <cell r="DB30">
            <v>0</v>
          </cell>
          <cell r="DC30">
            <v>20</v>
          </cell>
          <cell r="DD30">
            <v>20</v>
          </cell>
          <cell r="DE30">
            <v>20</v>
          </cell>
          <cell r="DF30">
            <v>20</v>
          </cell>
          <cell r="DG30">
            <v>20</v>
          </cell>
          <cell r="DH30">
            <v>10</v>
          </cell>
          <cell r="DI30">
            <v>20</v>
          </cell>
          <cell r="DJ30">
            <v>0</v>
          </cell>
          <cell r="DK30">
            <v>20</v>
          </cell>
          <cell r="DL30">
            <v>20</v>
          </cell>
          <cell r="DM30">
            <v>10</v>
          </cell>
          <cell r="DN30">
            <v>20</v>
          </cell>
          <cell r="DO30">
            <v>20</v>
          </cell>
          <cell r="DP30">
            <v>20</v>
          </cell>
          <cell r="DQ30">
            <v>20</v>
          </cell>
          <cell r="DR30">
            <v>10</v>
          </cell>
          <cell r="DS30">
            <v>10</v>
          </cell>
          <cell r="DT30">
            <v>0</v>
          </cell>
          <cell r="DU30">
            <v>10</v>
          </cell>
          <cell r="DV30">
            <v>0</v>
          </cell>
          <cell r="DW30">
            <v>10</v>
          </cell>
          <cell r="DX30">
            <v>0</v>
          </cell>
          <cell r="DY30">
            <v>20</v>
          </cell>
          <cell r="DZ30">
            <v>20</v>
          </cell>
          <cell r="EA30">
            <v>20</v>
          </cell>
          <cell r="EB30">
            <v>20</v>
          </cell>
          <cell r="EC30">
            <v>10</v>
          </cell>
          <cell r="ED30">
            <v>10</v>
          </cell>
          <cell r="EE30">
            <v>10</v>
          </cell>
          <cell r="EF30">
            <v>10</v>
          </cell>
          <cell r="EG30">
            <v>10</v>
          </cell>
          <cell r="EH30">
            <v>20</v>
          </cell>
          <cell r="EI30">
            <v>20</v>
          </cell>
          <cell r="EJ30">
            <v>20</v>
          </cell>
          <cell r="EK30">
            <v>0</v>
          </cell>
          <cell r="EL30">
            <v>20</v>
          </cell>
          <cell r="EM30">
            <v>20</v>
          </cell>
          <cell r="EN30">
            <v>20</v>
          </cell>
          <cell r="EO30">
            <v>0</v>
          </cell>
          <cell r="EP30">
            <v>20</v>
          </cell>
          <cell r="EQ30">
            <v>20</v>
          </cell>
          <cell r="ER30">
            <v>10</v>
          </cell>
          <cell r="ES30">
            <v>0</v>
          </cell>
          <cell r="ET30">
            <v>0</v>
          </cell>
          <cell r="EU30">
            <v>20</v>
          </cell>
          <cell r="EV30">
            <v>10</v>
          </cell>
          <cell r="EW30">
            <v>20</v>
          </cell>
          <cell r="EX30">
            <v>0</v>
          </cell>
          <cell r="EY30">
            <v>20</v>
          </cell>
          <cell r="EZ30">
            <v>10</v>
          </cell>
          <cell r="FA30">
            <v>0</v>
          </cell>
          <cell r="FB30">
            <v>0</v>
          </cell>
          <cell r="FC30">
            <v>20</v>
          </cell>
          <cell r="FD30">
            <v>30</v>
          </cell>
          <cell r="FE30">
            <v>0</v>
          </cell>
          <cell r="FF30">
            <v>0</v>
          </cell>
          <cell r="FG30">
            <v>14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</row>
        <row r="31">
          <cell r="D31" t="str">
            <v>B/O</v>
          </cell>
          <cell r="E31">
            <v>0</v>
          </cell>
          <cell r="F31">
            <v>0</v>
          </cell>
          <cell r="G31" t="str">
            <v>CUM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20</v>
          </cell>
          <cell r="U31">
            <v>100</v>
          </cell>
          <cell r="V31">
            <v>170</v>
          </cell>
          <cell r="W31">
            <v>240</v>
          </cell>
          <cell r="X31">
            <v>300</v>
          </cell>
          <cell r="Y31">
            <v>320</v>
          </cell>
          <cell r="Z31">
            <v>400</v>
          </cell>
          <cell r="AA31">
            <v>450</v>
          </cell>
          <cell r="AB31">
            <v>510</v>
          </cell>
          <cell r="AC31">
            <v>570</v>
          </cell>
          <cell r="AD31">
            <v>620</v>
          </cell>
          <cell r="AE31">
            <v>670</v>
          </cell>
          <cell r="AF31">
            <v>700</v>
          </cell>
          <cell r="AG31">
            <v>750</v>
          </cell>
          <cell r="AH31">
            <v>764</v>
          </cell>
          <cell r="AI31">
            <v>768</v>
          </cell>
          <cell r="AJ31">
            <v>768</v>
          </cell>
          <cell r="AK31">
            <v>768</v>
          </cell>
          <cell r="AL31">
            <v>768</v>
          </cell>
          <cell r="AM31">
            <v>768</v>
          </cell>
          <cell r="AN31">
            <v>768</v>
          </cell>
          <cell r="AO31">
            <v>768</v>
          </cell>
          <cell r="AP31">
            <v>768</v>
          </cell>
          <cell r="AQ31">
            <v>768</v>
          </cell>
          <cell r="AR31">
            <v>768</v>
          </cell>
          <cell r="AS31">
            <v>768</v>
          </cell>
          <cell r="AT31">
            <v>768</v>
          </cell>
          <cell r="AU31">
            <v>768</v>
          </cell>
          <cell r="AV31">
            <v>768</v>
          </cell>
          <cell r="AW31">
            <v>768</v>
          </cell>
          <cell r="AX31">
            <v>768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4</v>
          </cell>
          <cell r="BT31">
            <v>4</v>
          </cell>
          <cell r="BU31">
            <v>4</v>
          </cell>
          <cell r="BV31">
            <v>4</v>
          </cell>
          <cell r="BW31">
            <v>4</v>
          </cell>
          <cell r="BX31">
            <v>4</v>
          </cell>
          <cell r="BY31">
            <v>4</v>
          </cell>
          <cell r="BZ31">
            <v>4</v>
          </cell>
          <cell r="CA31">
            <v>4</v>
          </cell>
          <cell r="CB31">
            <v>4</v>
          </cell>
          <cell r="CC31">
            <v>4</v>
          </cell>
          <cell r="CD31">
            <v>4</v>
          </cell>
          <cell r="CE31">
            <v>4</v>
          </cell>
          <cell r="CF31">
            <v>4</v>
          </cell>
          <cell r="CG31">
            <v>4</v>
          </cell>
          <cell r="CH31">
            <v>4</v>
          </cell>
          <cell r="CI31">
            <v>4</v>
          </cell>
          <cell r="CJ31">
            <v>4</v>
          </cell>
          <cell r="CK31">
            <v>4</v>
          </cell>
          <cell r="CL31">
            <v>4</v>
          </cell>
          <cell r="CM31">
            <v>4</v>
          </cell>
          <cell r="CN31">
            <v>4</v>
          </cell>
          <cell r="CO31">
            <v>4</v>
          </cell>
          <cell r="CP31">
            <v>4</v>
          </cell>
          <cell r="CQ31">
            <v>4</v>
          </cell>
          <cell r="CR31">
            <v>4</v>
          </cell>
          <cell r="CS31">
            <v>4</v>
          </cell>
          <cell r="CT31">
            <v>4</v>
          </cell>
          <cell r="CU31">
            <v>4</v>
          </cell>
          <cell r="CV31">
            <v>4</v>
          </cell>
          <cell r="CW31">
            <v>4</v>
          </cell>
          <cell r="CX31">
            <v>4</v>
          </cell>
          <cell r="CY31">
            <v>4</v>
          </cell>
          <cell r="CZ31">
            <v>24</v>
          </cell>
          <cell r="DA31">
            <v>24</v>
          </cell>
          <cell r="DB31">
            <v>24</v>
          </cell>
          <cell r="DC31">
            <v>44</v>
          </cell>
          <cell r="DD31">
            <v>64</v>
          </cell>
          <cell r="DE31">
            <v>84</v>
          </cell>
          <cell r="DF31">
            <v>104</v>
          </cell>
          <cell r="DG31">
            <v>124</v>
          </cell>
          <cell r="DH31">
            <v>134</v>
          </cell>
          <cell r="DI31">
            <v>154</v>
          </cell>
          <cell r="DJ31">
            <v>154</v>
          </cell>
          <cell r="DK31">
            <v>174</v>
          </cell>
          <cell r="DL31">
            <v>194</v>
          </cell>
          <cell r="DM31">
            <v>204</v>
          </cell>
          <cell r="DN31">
            <v>224</v>
          </cell>
          <cell r="DO31">
            <v>244</v>
          </cell>
          <cell r="DP31">
            <v>264</v>
          </cell>
          <cell r="DQ31">
            <v>284</v>
          </cell>
          <cell r="DR31">
            <v>294</v>
          </cell>
          <cell r="DS31">
            <v>304</v>
          </cell>
          <cell r="DT31">
            <v>304</v>
          </cell>
          <cell r="DU31">
            <v>314</v>
          </cell>
          <cell r="DV31">
            <v>314</v>
          </cell>
          <cell r="DW31">
            <v>324</v>
          </cell>
          <cell r="DX31">
            <v>324</v>
          </cell>
          <cell r="DY31">
            <v>344</v>
          </cell>
          <cell r="DZ31">
            <v>364</v>
          </cell>
          <cell r="EA31">
            <v>384</v>
          </cell>
          <cell r="EB31">
            <v>404</v>
          </cell>
          <cell r="EC31">
            <v>414</v>
          </cell>
          <cell r="ED31">
            <v>424</v>
          </cell>
          <cell r="EE31">
            <v>434</v>
          </cell>
          <cell r="EF31">
            <v>444</v>
          </cell>
          <cell r="EG31">
            <v>454</v>
          </cell>
          <cell r="EH31">
            <v>474</v>
          </cell>
          <cell r="EI31">
            <v>494</v>
          </cell>
          <cell r="EJ31">
            <v>514</v>
          </cell>
          <cell r="EK31">
            <v>514</v>
          </cell>
          <cell r="EL31">
            <v>534</v>
          </cell>
          <cell r="EM31">
            <v>554</v>
          </cell>
          <cell r="EN31">
            <v>574</v>
          </cell>
          <cell r="EO31">
            <v>574</v>
          </cell>
          <cell r="EP31">
            <v>594</v>
          </cell>
          <cell r="EQ31">
            <v>614</v>
          </cell>
          <cell r="ER31">
            <v>624</v>
          </cell>
          <cell r="ES31">
            <v>624</v>
          </cell>
          <cell r="ET31">
            <v>624</v>
          </cell>
          <cell r="EU31">
            <v>644</v>
          </cell>
          <cell r="EV31">
            <v>654</v>
          </cell>
          <cell r="EW31">
            <v>674</v>
          </cell>
          <cell r="EX31">
            <v>674</v>
          </cell>
          <cell r="EY31">
            <v>694</v>
          </cell>
          <cell r="EZ31">
            <v>704</v>
          </cell>
          <cell r="FA31">
            <v>704</v>
          </cell>
          <cell r="FB31">
            <v>704</v>
          </cell>
          <cell r="FC31">
            <v>724</v>
          </cell>
          <cell r="FD31">
            <v>754</v>
          </cell>
          <cell r="FE31">
            <v>754</v>
          </cell>
          <cell r="FF31">
            <v>754</v>
          </cell>
          <cell r="FG31">
            <v>768</v>
          </cell>
          <cell r="FH31">
            <v>768</v>
          </cell>
          <cell r="FI31">
            <v>768</v>
          </cell>
          <cell r="FJ31">
            <v>768</v>
          </cell>
          <cell r="FK31">
            <v>768</v>
          </cell>
          <cell r="FL31">
            <v>768</v>
          </cell>
          <cell r="FM31">
            <v>768</v>
          </cell>
          <cell r="FN31">
            <v>768</v>
          </cell>
          <cell r="FO31">
            <v>768</v>
          </cell>
          <cell r="FP31">
            <v>768</v>
          </cell>
          <cell r="FQ31">
            <v>768</v>
          </cell>
          <cell r="FR31">
            <v>768</v>
          </cell>
          <cell r="FS31">
            <v>768</v>
          </cell>
          <cell r="FT31">
            <v>768</v>
          </cell>
          <cell r="FU31">
            <v>768</v>
          </cell>
          <cell r="FV31">
            <v>768</v>
          </cell>
          <cell r="FW31">
            <v>768</v>
          </cell>
          <cell r="FX31">
            <v>768</v>
          </cell>
          <cell r="FY31">
            <v>768</v>
          </cell>
          <cell r="FZ31">
            <v>768</v>
          </cell>
          <cell r="GA31">
            <v>768</v>
          </cell>
          <cell r="GB31">
            <v>768</v>
          </cell>
          <cell r="GC31">
            <v>768</v>
          </cell>
          <cell r="GD31">
            <v>768</v>
          </cell>
          <cell r="GE31">
            <v>768</v>
          </cell>
          <cell r="GF31">
            <v>768</v>
          </cell>
          <cell r="GG31">
            <v>768</v>
          </cell>
          <cell r="GH31">
            <v>768</v>
          </cell>
          <cell r="GI31">
            <v>768</v>
          </cell>
          <cell r="GJ31">
            <v>768</v>
          </cell>
          <cell r="GK31">
            <v>768</v>
          </cell>
          <cell r="GL31">
            <v>768</v>
          </cell>
          <cell r="GM31">
            <v>768</v>
          </cell>
          <cell r="GN31">
            <v>768</v>
          </cell>
          <cell r="GO31">
            <v>768</v>
          </cell>
          <cell r="GP31">
            <v>768</v>
          </cell>
          <cell r="GQ31">
            <v>768</v>
          </cell>
          <cell r="GR31">
            <v>768</v>
          </cell>
          <cell r="GS31">
            <v>768</v>
          </cell>
          <cell r="GT31">
            <v>768</v>
          </cell>
          <cell r="GU31">
            <v>768</v>
          </cell>
          <cell r="GV31">
            <v>768</v>
          </cell>
          <cell r="GW31">
            <v>768</v>
          </cell>
          <cell r="GX31">
            <v>768</v>
          </cell>
          <cell r="GY31">
            <v>768</v>
          </cell>
          <cell r="GZ31">
            <v>768</v>
          </cell>
          <cell r="HA31">
            <v>768</v>
          </cell>
        </row>
        <row r="32">
          <cell r="D32" t="str">
            <v>82111-F2W83</v>
          </cell>
          <cell r="E32" t="str">
            <v>AT10</v>
          </cell>
          <cell r="F32" t="str">
            <v>B03</v>
          </cell>
          <cell r="G32" t="str">
            <v>QTY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40</v>
          </cell>
          <cell r="U32">
            <v>110</v>
          </cell>
          <cell r="V32">
            <v>70</v>
          </cell>
          <cell r="W32">
            <v>40</v>
          </cell>
          <cell r="X32">
            <v>70</v>
          </cell>
          <cell r="Y32">
            <v>70</v>
          </cell>
          <cell r="Z32">
            <v>40</v>
          </cell>
          <cell r="AA32">
            <v>60</v>
          </cell>
          <cell r="AB32">
            <v>40</v>
          </cell>
          <cell r="AC32">
            <v>110</v>
          </cell>
          <cell r="AD32">
            <v>110</v>
          </cell>
          <cell r="AE32">
            <v>80</v>
          </cell>
          <cell r="AF32">
            <v>80</v>
          </cell>
          <cell r="AG32">
            <v>50</v>
          </cell>
          <cell r="AH32">
            <v>70</v>
          </cell>
          <cell r="AI32">
            <v>90</v>
          </cell>
          <cell r="AJ32">
            <v>70</v>
          </cell>
          <cell r="AK32">
            <v>90</v>
          </cell>
          <cell r="AL32">
            <v>18</v>
          </cell>
          <cell r="AM32">
            <v>48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4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40</v>
          </cell>
          <cell r="DA32">
            <v>0</v>
          </cell>
          <cell r="DB32">
            <v>0</v>
          </cell>
          <cell r="DC32">
            <v>30</v>
          </cell>
          <cell r="DD32">
            <v>30</v>
          </cell>
          <cell r="DE32">
            <v>30</v>
          </cell>
          <cell r="DF32">
            <v>20</v>
          </cell>
          <cell r="DG32">
            <v>20</v>
          </cell>
          <cell r="DH32">
            <v>20</v>
          </cell>
          <cell r="DI32">
            <v>20</v>
          </cell>
          <cell r="DJ32">
            <v>0</v>
          </cell>
          <cell r="DK32">
            <v>10</v>
          </cell>
          <cell r="DL32">
            <v>10</v>
          </cell>
          <cell r="DM32">
            <v>10</v>
          </cell>
          <cell r="DN32">
            <v>10</v>
          </cell>
          <cell r="DO32">
            <v>10</v>
          </cell>
          <cell r="DP32">
            <v>20</v>
          </cell>
          <cell r="DQ32">
            <v>20</v>
          </cell>
          <cell r="DR32">
            <v>20</v>
          </cell>
          <cell r="DS32">
            <v>10</v>
          </cell>
          <cell r="DT32">
            <v>10</v>
          </cell>
          <cell r="DU32">
            <v>20</v>
          </cell>
          <cell r="DV32">
            <v>0</v>
          </cell>
          <cell r="DW32">
            <v>20</v>
          </cell>
          <cell r="DX32">
            <v>20</v>
          </cell>
          <cell r="DY32">
            <v>10</v>
          </cell>
          <cell r="DZ32">
            <v>10</v>
          </cell>
          <cell r="EA32">
            <v>10</v>
          </cell>
          <cell r="EB32">
            <v>10</v>
          </cell>
          <cell r="EC32">
            <v>20</v>
          </cell>
          <cell r="ED32">
            <v>10</v>
          </cell>
          <cell r="EE32">
            <v>10</v>
          </cell>
          <cell r="EF32">
            <v>10</v>
          </cell>
          <cell r="EG32">
            <v>10</v>
          </cell>
          <cell r="EH32">
            <v>20</v>
          </cell>
          <cell r="EI32">
            <v>20</v>
          </cell>
          <cell r="EJ32">
            <v>0</v>
          </cell>
          <cell r="EK32">
            <v>0</v>
          </cell>
          <cell r="EL32">
            <v>50</v>
          </cell>
          <cell r="EM32">
            <v>30</v>
          </cell>
          <cell r="EN32">
            <v>30</v>
          </cell>
          <cell r="EO32">
            <v>0</v>
          </cell>
          <cell r="EP32">
            <v>50</v>
          </cell>
          <cell r="EQ32">
            <v>30</v>
          </cell>
          <cell r="ER32">
            <v>30</v>
          </cell>
          <cell r="ES32">
            <v>0</v>
          </cell>
          <cell r="ET32">
            <v>0</v>
          </cell>
          <cell r="EU32">
            <v>20</v>
          </cell>
          <cell r="EV32">
            <v>30</v>
          </cell>
          <cell r="EW32">
            <v>30</v>
          </cell>
          <cell r="EX32">
            <v>0</v>
          </cell>
          <cell r="EY32">
            <v>40</v>
          </cell>
          <cell r="EZ32">
            <v>0</v>
          </cell>
          <cell r="FA32">
            <v>40</v>
          </cell>
          <cell r="FB32">
            <v>0</v>
          </cell>
          <cell r="FC32">
            <v>30</v>
          </cell>
          <cell r="FD32">
            <v>0</v>
          </cell>
          <cell r="FE32">
            <v>20</v>
          </cell>
          <cell r="FF32">
            <v>0</v>
          </cell>
          <cell r="FG32">
            <v>20</v>
          </cell>
          <cell r="FH32">
            <v>0</v>
          </cell>
          <cell r="FI32">
            <v>20</v>
          </cell>
          <cell r="FJ32">
            <v>20</v>
          </cell>
          <cell r="FK32">
            <v>10</v>
          </cell>
          <cell r="FL32">
            <v>20</v>
          </cell>
          <cell r="FM32">
            <v>30</v>
          </cell>
          <cell r="FN32">
            <v>20</v>
          </cell>
          <cell r="FO32">
            <v>20</v>
          </cell>
          <cell r="FP32">
            <v>20</v>
          </cell>
          <cell r="FQ32">
            <v>20</v>
          </cell>
          <cell r="FR32">
            <v>20</v>
          </cell>
          <cell r="FS32">
            <v>10</v>
          </cell>
          <cell r="FT32">
            <v>30</v>
          </cell>
          <cell r="FU32">
            <v>20</v>
          </cell>
          <cell r="FV32">
            <v>20</v>
          </cell>
          <cell r="FW32">
            <v>0</v>
          </cell>
          <cell r="FX32">
            <v>20</v>
          </cell>
          <cell r="FY32">
            <v>18</v>
          </cell>
          <cell r="FZ32">
            <v>0</v>
          </cell>
          <cell r="GA32">
            <v>0</v>
          </cell>
          <cell r="GB32">
            <v>0</v>
          </cell>
          <cell r="GC32">
            <v>48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  <cell r="HA32">
            <v>0</v>
          </cell>
        </row>
        <row r="33">
          <cell r="D33" t="str">
            <v>10月 B/O</v>
          </cell>
          <cell r="E33">
            <v>0</v>
          </cell>
          <cell r="F33">
            <v>0</v>
          </cell>
          <cell r="G33" t="str">
            <v>CUM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40</v>
          </cell>
          <cell r="U33">
            <v>150</v>
          </cell>
          <cell r="V33">
            <v>220</v>
          </cell>
          <cell r="W33">
            <v>260</v>
          </cell>
          <cell r="X33">
            <v>330</v>
          </cell>
          <cell r="Y33">
            <v>400</v>
          </cell>
          <cell r="Z33">
            <v>440</v>
          </cell>
          <cell r="AA33">
            <v>500</v>
          </cell>
          <cell r="AB33">
            <v>540</v>
          </cell>
          <cell r="AC33">
            <v>650</v>
          </cell>
          <cell r="AD33">
            <v>760</v>
          </cell>
          <cell r="AE33">
            <v>840</v>
          </cell>
          <cell r="AF33">
            <v>920</v>
          </cell>
          <cell r="AG33">
            <v>970</v>
          </cell>
          <cell r="AH33">
            <v>1040</v>
          </cell>
          <cell r="AI33">
            <v>1134</v>
          </cell>
          <cell r="AJ33">
            <v>1204</v>
          </cell>
          <cell r="AK33">
            <v>1294</v>
          </cell>
          <cell r="AL33">
            <v>1312</v>
          </cell>
          <cell r="AM33">
            <v>1360</v>
          </cell>
          <cell r="AN33">
            <v>1360</v>
          </cell>
          <cell r="AO33">
            <v>1360</v>
          </cell>
          <cell r="AP33">
            <v>1360</v>
          </cell>
          <cell r="AQ33">
            <v>1360</v>
          </cell>
          <cell r="AR33">
            <v>1360</v>
          </cell>
          <cell r="AS33">
            <v>1360</v>
          </cell>
          <cell r="AT33">
            <v>1360</v>
          </cell>
          <cell r="AU33">
            <v>1360</v>
          </cell>
          <cell r="AV33">
            <v>1360</v>
          </cell>
          <cell r="AW33">
            <v>1360</v>
          </cell>
          <cell r="AX33">
            <v>1360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4</v>
          </cell>
          <cell r="BT33">
            <v>4</v>
          </cell>
          <cell r="BU33">
            <v>4</v>
          </cell>
          <cell r="BV33">
            <v>4</v>
          </cell>
          <cell r="BW33">
            <v>4</v>
          </cell>
          <cell r="BX33">
            <v>4</v>
          </cell>
          <cell r="BY33">
            <v>4</v>
          </cell>
          <cell r="BZ33">
            <v>4</v>
          </cell>
          <cell r="CA33">
            <v>4</v>
          </cell>
          <cell r="CB33">
            <v>4</v>
          </cell>
          <cell r="CC33">
            <v>4</v>
          </cell>
          <cell r="CD33">
            <v>4</v>
          </cell>
          <cell r="CE33">
            <v>4</v>
          </cell>
          <cell r="CF33">
            <v>4</v>
          </cell>
          <cell r="CG33">
            <v>4</v>
          </cell>
          <cell r="CH33">
            <v>4</v>
          </cell>
          <cell r="CI33">
            <v>4</v>
          </cell>
          <cell r="CJ33">
            <v>4</v>
          </cell>
          <cell r="CK33">
            <v>4</v>
          </cell>
          <cell r="CL33">
            <v>4</v>
          </cell>
          <cell r="CM33">
            <v>4</v>
          </cell>
          <cell r="CN33">
            <v>4</v>
          </cell>
          <cell r="CO33">
            <v>4</v>
          </cell>
          <cell r="CP33">
            <v>4</v>
          </cell>
          <cell r="CQ33">
            <v>4</v>
          </cell>
          <cell r="CR33">
            <v>4</v>
          </cell>
          <cell r="CS33">
            <v>4</v>
          </cell>
          <cell r="CT33">
            <v>4</v>
          </cell>
          <cell r="CU33">
            <v>4</v>
          </cell>
          <cell r="CV33">
            <v>4</v>
          </cell>
          <cell r="CW33">
            <v>4</v>
          </cell>
          <cell r="CX33">
            <v>4</v>
          </cell>
          <cell r="CY33">
            <v>4</v>
          </cell>
          <cell r="CZ33">
            <v>44</v>
          </cell>
          <cell r="DA33">
            <v>44</v>
          </cell>
          <cell r="DB33">
            <v>44</v>
          </cell>
          <cell r="DC33">
            <v>74</v>
          </cell>
          <cell r="DD33">
            <v>104</v>
          </cell>
          <cell r="DE33">
            <v>134</v>
          </cell>
          <cell r="DF33">
            <v>154</v>
          </cell>
          <cell r="DG33">
            <v>174</v>
          </cell>
          <cell r="DH33">
            <v>194</v>
          </cell>
          <cell r="DI33">
            <v>214</v>
          </cell>
          <cell r="DJ33">
            <v>214</v>
          </cell>
          <cell r="DK33">
            <v>224</v>
          </cell>
          <cell r="DL33">
            <v>234</v>
          </cell>
          <cell r="DM33">
            <v>244</v>
          </cell>
          <cell r="DN33">
            <v>254</v>
          </cell>
          <cell r="DO33">
            <v>264</v>
          </cell>
          <cell r="DP33">
            <v>284</v>
          </cell>
          <cell r="DQ33">
            <v>304</v>
          </cell>
          <cell r="DR33">
            <v>324</v>
          </cell>
          <cell r="DS33">
            <v>334</v>
          </cell>
          <cell r="DT33">
            <v>344</v>
          </cell>
          <cell r="DU33">
            <v>364</v>
          </cell>
          <cell r="DV33">
            <v>364</v>
          </cell>
          <cell r="DW33">
            <v>384</v>
          </cell>
          <cell r="DX33">
            <v>404</v>
          </cell>
          <cell r="DY33">
            <v>414</v>
          </cell>
          <cell r="DZ33">
            <v>424</v>
          </cell>
          <cell r="EA33">
            <v>434</v>
          </cell>
          <cell r="EB33">
            <v>444</v>
          </cell>
          <cell r="EC33">
            <v>464</v>
          </cell>
          <cell r="ED33">
            <v>474</v>
          </cell>
          <cell r="EE33">
            <v>484</v>
          </cell>
          <cell r="EF33">
            <v>494</v>
          </cell>
          <cell r="EG33">
            <v>504</v>
          </cell>
          <cell r="EH33">
            <v>524</v>
          </cell>
          <cell r="EI33">
            <v>544</v>
          </cell>
          <cell r="EJ33">
            <v>544</v>
          </cell>
          <cell r="EK33">
            <v>544</v>
          </cell>
          <cell r="EL33">
            <v>594</v>
          </cell>
          <cell r="EM33">
            <v>624</v>
          </cell>
          <cell r="EN33">
            <v>654</v>
          </cell>
          <cell r="EO33">
            <v>654</v>
          </cell>
          <cell r="EP33">
            <v>704</v>
          </cell>
          <cell r="EQ33">
            <v>734</v>
          </cell>
          <cell r="ER33">
            <v>764</v>
          </cell>
          <cell r="ES33">
            <v>764</v>
          </cell>
          <cell r="ET33">
            <v>764</v>
          </cell>
          <cell r="EU33">
            <v>784</v>
          </cell>
          <cell r="EV33">
            <v>814</v>
          </cell>
          <cell r="EW33">
            <v>844</v>
          </cell>
          <cell r="EX33">
            <v>844</v>
          </cell>
          <cell r="EY33">
            <v>884</v>
          </cell>
          <cell r="EZ33">
            <v>884</v>
          </cell>
          <cell r="FA33">
            <v>924</v>
          </cell>
          <cell r="FB33">
            <v>924</v>
          </cell>
          <cell r="FC33">
            <v>954</v>
          </cell>
          <cell r="FD33">
            <v>954</v>
          </cell>
          <cell r="FE33">
            <v>974</v>
          </cell>
          <cell r="FF33">
            <v>974</v>
          </cell>
          <cell r="FG33">
            <v>994</v>
          </cell>
          <cell r="FH33">
            <v>994</v>
          </cell>
          <cell r="FI33">
            <v>1014</v>
          </cell>
          <cell r="FJ33">
            <v>1034</v>
          </cell>
          <cell r="FK33">
            <v>1044</v>
          </cell>
          <cell r="FL33">
            <v>1064</v>
          </cell>
          <cell r="FM33">
            <v>1094</v>
          </cell>
          <cell r="FN33">
            <v>1114</v>
          </cell>
          <cell r="FO33">
            <v>1134</v>
          </cell>
          <cell r="FP33">
            <v>1154</v>
          </cell>
          <cell r="FQ33">
            <v>1174</v>
          </cell>
          <cell r="FR33">
            <v>1194</v>
          </cell>
          <cell r="FS33">
            <v>1204</v>
          </cell>
          <cell r="FT33">
            <v>1234</v>
          </cell>
          <cell r="FU33">
            <v>1254</v>
          </cell>
          <cell r="FV33">
            <v>1274</v>
          </cell>
          <cell r="FW33">
            <v>1274</v>
          </cell>
          <cell r="FX33">
            <v>1294</v>
          </cell>
          <cell r="FY33">
            <v>1312</v>
          </cell>
          <cell r="FZ33">
            <v>1312</v>
          </cell>
          <cell r="GA33">
            <v>1312</v>
          </cell>
          <cell r="GB33">
            <v>1312</v>
          </cell>
          <cell r="GC33">
            <v>1360</v>
          </cell>
          <cell r="GD33">
            <v>1360</v>
          </cell>
          <cell r="GE33">
            <v>1360</v>
          </cell>
          <cell r="GF33">
            <v>1360</v>
          </cell>
          <cell r="GG33">
            <v>1360</v>
          </cell>
          <cell r="GH33">
            <v>1360</v>
          </cell>
          <cell r="GI33">
            <v>1360</v>
          </cell>
          <cell r="GJ33">
            <v>1360</v>
          </cell>
          <cell r="GK33">
            <v>1360</v>
          </cell>
          <cell r="GL33">
            <v>1360</v>
          </cell>
          <cell r="GM33">
            <v>1360</v>
          </cell>
          <cell r="GN33">
            <v>1360</v>
          </cell>
          <cell r="GO33">
            <v>1360</v>
          </cell>
          <cell r="GP33">
            <v>1360</v>
          </cell>
          <cell r="GQ33">
            <v>1360</v>
          </cell>
          <cell r="GR33">
            <v>1360</v>
          </cell>
          <cell r="GS33">
            <v>1360</v>
          </cell>
          <cell r="GT33">
            <v>1360</v>
          </cell>
          <cell r="GU33">
            <v>1360</v>
          </cell>
          <cell r="GV33">
            <v>1360</v>
          </cell>
          <cell r="GW33">
            <v>1360</v>
          </cell>
          <cell r="GX33">
            <v>1360</v>
          </cell>
          <cell r="GY33">
            <v>1360</v>
          </cell>
          <cell r="GZ33">
            <v>1360</v>
          </cell>
          <cell r="HA33">
            <v>1360</v>
          </cell>
        </row>
        <row r="34">
          <cell r="D34" t="str">
            <v>82111-F2W92</v>
          </cell>
          <cell r="E34" t="str">
            <v>AT10</v>
          </cell>
          <cell r="F34" t="str">
            <v>C02</v>
          </cell>
          <cell r="G34" t="str">
            <v>QTY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90</v>
          </cell>
          <cell r="U34">
            <v>500</v>
          </cell>
          <cell r="V34">
            <v>610</v>
          </cell>
          <cell r="W34">
            <v>540</v>
          </cell>
          <cell r="X34">
            <v>760</v>
          </cell>
          <cell r="Y34">
            <v>530</v>
          </cell>
          <cell r="Z34">
            <v>830</v>
          </cell>
          <cell r="AA34">
            <v>770</v>
          </cell>
          <cell r="AB34">
            <v>780</v>
          </cell>
          <cell r="AC34">
            <v>680</v>
          </cell>
          <cell r="AD34">
            <v>770</v>
          </cell>
          <cell r="AE34">
            <v>650</v>
          </cell>
          <cell r="AF34">
            <v>860</v>
          </cell>
          <cell r="AG34">
            <v>510</v>
          </cell>
          <cell r="AH34">
            <v>530</v>
          </cell>
          <cell r="AI34">
            <v>820</v>
          </cell>
          <cell r="AJ34">
            <v>790</v>
          </cell>
          <cell r="AK34">
            <v>830</v>
          </cell>
          <cell r="AL34">
            <v>714</v>
          </cell>
          <cell r="AM34">
            <v>126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30</v>
          </cell>
          <cell r="DA34">
            <v>30</v>
          </cell>
          <cell r="DB34">
            <v>30</v>
          </cell>
          <cell r="DC34">
            <v>120</v>
          </cell>
          <cell r="DD34">
            <v>120</v>
          </cell>
          <cell r="DE34">
            <v>130</v>
          </cell>
          <cell r="DF34">
            <v>130</v>
          </cell>
          <cell r="DG34">
            <v>150</v>
          </cell>
          <cell r="DH34">
            <v>150</v>
          </cell>
          <cell r="DI34">
            <v>150</v>
          </cell>
          <cell r="DJ34">
            <v>0</v>
          </cell>
          <cell r="DK34">
            <v>160</v>
          </cell>
          <cell r="DL34">
            <v>140</v>
          </cell>
          <cell r="DM34">
            <v>130</v>
          </cell>
          <cell r="DN34">
            <v>130</v>
          </cell>
          <cell r="DO34">
            <v>140</v>
          </cell>
          <cell r="DP34">
            <v>190</v>
          </cell>
          <cell r="DQ34">
            <v>190</v>
          </cell>
          <cell r="DR34">
            <v>190</v>
          </cell>
          <cell r="DS34">
            <v>190</v>
          </cell>
          <cell r="DT34">
            <v>130</v>
          </cell>
          <cell r="DU34">
            <v>130</v>
          </cell>
          <cell r="DV34">
            <v>0</v>
          </cell>
          <cell r="DW34">
            <v>140</v>
          </cell>
          <cell r="DX34">
            <v>130</v>
          </cell>
          <cell r="DY34">
            <v>210</v>
          </cell>
          <cell r="DZ34">
            <v>210</v>
          </cell>
          <cell r="EA34">
            <v>210</v>
          </cell>
          <cell r="EB34">
            <v>200</v>
          </cell>
          <cell r="EC34">
            <v>160</v>
          </cell>
          <cell r="ED34">
            <v>160</v>
          </cell>
          <cell r="EE34">
            <v>150</v>
          </cell>
          <cell r="EF34">
            <v>150</v>
          </cell>
          <cell r="EG34">
            <v>150</v>
          </cell>
          <cell r="EH34">
            <v>200</v>
          </cell>
          <cell r="EI34">
            <v>200</v>
          </cell>
          <cell r="EJ34">
            <v>190</v>
          </cell>
          <cell r="EK34">
            <v>190</v>
          </cell>
          <cell r="EL34">
            <v>180</v>
          </cell>
          <cell r="EM34">
            <v>180</v>
          </cell>
          <cell r="EN34">
            <v>180</v>
          </cell>
          <cell r="EO34">
            <v>140</v>
          </cell>
          <cell r="EP34">
            <v>160</v>
          </cell>
          <cell r="EQ34">
            <v>160</v>
          </cell>
          <cell r="ER34">
            <v>160</v>
          </cell>
          <cell r="ES34">
            <v>140</v>
          </cell>
          <cell r="ET34">
            <v>150</v>
          </cell>
          <cell r="EU34">
            <v>200</v>
          </cell>
          <cell r="EV34">
            <v>250</v>
          </cell>
          <cell r="EW34">
            <v>200</v>
          </cell>
          <cell r="EX34">
            <v>0</v>
          </cell>
          <cell r="EY34">
            <v>220</v>
          </cell>
          <cell r="EZ34">
            <v>220</v>
          </cell>
          <cell r="FA34">
            <v>220</v>
          </cell>
          <cell r="FB34">
            <v>200</v>
          </cell>
          <cell r="FC34">
            <v>130</v>
          </cell>
          <cell r="FD34">
            <v>130</v>
          </cell>
          <cell r="FE34">
            <v>130</v>
          </cell>
          <cell r="FF34">
            <v>120</v>
          </cell>
          <cell r="FG34">
            <v>140</v>
          </cell>
          <cell r="FH34">
            <v>0</v>
          </cell>
          <cell r="FI34">
            <v>140</v>
          </cell>
          <cell r="FJ34">
            <v>150</v>
          </cell>
          <cell r="FK34">
            <v>100</v>
          </cell>
          <cell r="FL34">
            <v>200</v>
          </cell>
          <cell r="FM34">
            <v>210</v>
          </cell>
          <cell r="FN34">
            <v>200</v>
          </cell>
          <cell r="FO34">
            <v>210</v>
          </cell>
          <cell r="FP34">
            <v>198</v>
          </cell>
          <cell r="FQ34">
            <v>198</v>
          </cell>
          <cell r="FR34">
            <v>198</v>
          </cell>
          <cell r="FS34">
            <v>196</v>
          </cell>
          <cell r="FT34">
            <v>210</v>
          </cell>
          <cell r="FU34">
            <v>210</v>
          </cell>
          <cell r="FV34">
            <v>210</v>
          </cell>
          <cell r="FW34">
            <v>0</v>
          </cell>
          <cell r="FX34">
            <v>200</v>
          </cell>
          <cell r="FY34">
            <v>180</v>
          </cell>
          <cell r="FZ34">
            <v>180</v>
          </cell>
          <cell r="GA34">
            <v>180</v>
          </cell>
          <cell r="GB34">
            <v>174</v>
          </cell>
          <cell r="GC34">
            <v>78</v>
          </cell>
          <cell r="GD34">
            <v>48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0</v>
          </cell>
          <cell r="GN34">
            <v>0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A34">
            <v>0</v>
          </cell>
        </row>
        <row r="35">
          <cell r="D35" t="str">
            <v>10月 B/O</v>
          </cell>
          <cell r="E35">
            <v>0</v>
          </cell>
          <cell r="F35">
            <v>0</v>
          </cell>
          <cell r="G35" t="str">
            <v>CUM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90</v>
          </cell>
          <cell r="U35">
            <v>590</v>
          </cell>
          <cell r="V35">
            <v>1200</v>
          </cell>
          <cell r="W35">
            <v>1740</v>
          </cell>
          <cell r="X35">
            <v>2500</v>
          </cell>
          <cell r="Y35">
            <v>3030</v>
          </cell>
          <cell r="Z35">
            <v>3860</v>
          </cell>
          <cell r="AA35">
            <v>4630</v>
          </cell>
          <cell r="AB35">
            <v>5410</v>
          </cell>
          <cell r="AC35">
            <v>6090</v>
          </cell>
          <cell r="AD35">
            <v>6860</v>
          </cell>
          <cell r="AE35">
            <v>7510</v>
          </cell>
          <cell r="AF35">
            <v>8370</v>
          </cell>
          <cell r="AG35">
            <v>8880</v>
          </cell>
          <cell r="AH35">
            <v>9410</v>
          </cell>
          <cell r="AI35">
            <v>10230</v>
          </cell>
          <cell r="AJ35">
            <v>11020</v>
          </cell>
          <cell r="AK35">
            <v>11850</v>
          </cell>
          <cell r="AL35">
            <v>12564</v>
          </cell>
          <cell r="AM35">
            <v>12690</v>
          </cell>
          <cell r="AN35">
            <v>12690</v>
          </cell>
          <cell r="AO35">
            <v>12690</v>
          </cell>
          <cell r="AP35">
            <v>12690</v>
          </cell>
          <cell r="AQ35">
            <v>12690</v>
          </cell>
          <cell r="AR35">
            <v>12690</v>
          </cell>
          <cell r="AS35">
            <v>12690</v>
          </cell>
          <cell r="AT35">
            <v>12690</v>
          </cell>
          <cell r="AU35">
            <v>12690</v>
          </cell>
          <cell r="AV35">
            <v>12690</v>
          </cell>
          <cell r="AW35">
            <v>12690</v>
          </cell>
          <cell r="AX35">
            <v>12690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30</v>
          </cell>
          <cell r="DA35">
            <v>60</v>
          </cell>
          <cell r="DB35">
            <v>90</v>
          </cell>
          <cell r="DC35">
            <v>210</v>
          </cell>
          <cell r="DD35">
            <v>330</v>
          </cell>
          <cell r="DE35">
            <v>460</v>
          </cell>
          <cell r="DF35">
            <v>590</v>
          </cell>
          <cell r="DG35">
            <v>740</v>
          </cell>
          <cell r="DH35">
            <v>890</v>
          </cell>
          <cell r="DI35">
            <v>1040</v>
          </cell>
          <cell r="DJ35">
            <v>1040</v>
          </cell>
          <cell r="DK35">
            <v>1200</v>
          </cell>
          <cell r="DL35">
            <v>1340</v>
          </cell>
          <cell r="DM35">
            <v>1470</v>
          </cell>
          <cell r="DN35">
            <v>1600</v>
          </cell>
          <cell r="DO35">
            <v>1740</v>
          </cell>
          <cell r="DP35">
            <v>1930</v>
          </cell>
          <cell r="DQ35">
            <v>2120</v>
          </cell>
          <cell r="DR35">
            <v>2310</v>
          </cell>
          <cell r="DS35">
            <v>2500</v>
          </cell>
          <cell r="DT35">
            <v>2630</v>
          </cell>
          <cell r="DU35">
            <v>2760</v>
          </cell>
          <cell r="DV35">
            <v>2760</v>
          </cell>
          <cell r="DW35">
            <v>2900</v>
          </cell>
          <cell r="DX35">
            <v>3030</v>
          </cell>
          <cell r="DY35">
            <v>3240</v>
          </cell>
          <cell r="DZ35">
            <v>3450</v>
          </cell>
          <cell r="EA35">
            <v>3660</v>
          </cell>
          <cell r="EB35">
            <v>3860</v>
          </cell>
          <cell r="EC35">
            <v>4020</v>
          </cell>
          <cell r="ED35">
            <v>4180</v>
          </cell>
          <cell r="EE35">
            <v>4330</v>
          </cell>
          <cell r="EF35">
            <v>4480</v>
          </cell>
          <cell r="EG35">
            <v>4630</v>
          </cell>
          <cell r="EH35">
            <v>4830</v>
          </cell>
          <cell r="EI35">
            <v>5030</v>
          </cell>
          <cell r="EJ35">
            <v>5220</v>
          </cell>
          <cell r="EK35">
            <v>5410</v>
          </cell>
          <cell r="EL35">
            <v>5590</v>
          </cell>
          <cell r="EM35">
            <v>5770</v>
          </cell>
          <cell r="EN35">
            <v>5950</v>
          </cell>
          <cell r="EO35">
            <v>6090</v>
          </cell>
          <cell r="EP35">
            <v>6250</v>
          </cell>
          <cell r="EQ35">
            <v>6410</v>
          </cell>
          <cell r="ER35">
            <v>6570</v>
          </cell>
          <cell r="ES35">
            <v>6710</v>
          </cell>
          <cell r="ET35">
            <v>6860</v>
          </cell>
          <cell r="EU35">
            <v>7060</v>
          </cell>
          <cell r="EV35">
            <v>7310</v>
          </cell>
          <cell r="EW35">
            <v>7510</v>
          </cell>
          <cell r="EX35">
            <v>7510</v>
          </cell>
          <cell r="EY35">
            <v>7730</v>
          </cell>
          <cell r="EZ35">
            <v>7950</v>
          </cell>
          <cell r="FA35">
            <v>8170</v>
          </cell>
          <cell r="FB35">
            <v>8370</v>
          </cell>
          <cell r="FC35">
            <v>8500</v>
          </cell>
          <cell r="FD35">
            <v>8630</v>
          </cell>
          <cell r="FE35">
            <v>8760</v>
          </cell>
          <cell r="FF35">
            <v>8880</v>
          </cell>
          <cell r="FG35">
            <v>9020</v>
          </cell>
          <cell r="FH35">
            <v>9020</v>
          </cell>
          <cell r="FI35">
            <v>9160</v>
          </cell>
          <cell r="FJ35">
            <v>9310</v>
          </cell>
          <cell r="FK35">
            <v>9410</v>
          </cell>
          <cell r="FL35">
            <v>9610</v>
          </cell>
          <cell r="FM35">
            <v>9820</v>
          </cell>
          <cell r="FN35">
            <v>10020</v>
          </cell>
          <cell r="FO35">
            <v>10230</v>
          </cell>
          <cell r="FP35">
            <v>10428</v>
          </cell>
          <cell r="FQ35">
            <v>10626</v>
          </cell>
          <cell r="FR35">
            <v>10824</v>
          </cell>
          <cell r="FS35">
            <v>11020</v>
          </cell>
          <cell r="FT35">
            <v>11230</v>
          </cell>
          <cell r="FU35">
            <v>11440</v>
          </cell>
          <cell r="FV35">
            <v>11650</v>
          </cell>
          <cell r="FW35">
            <v>11650</v>
          </cell>
          <cell r="FX35">
            <v>11850</v>
          </cell>
          <cell r="FY35">
            <v>12030</v>
          </cell>
          <cell r="FZ35">
            <v>12210</v>
          </cell>
          <cell r="GA35">
            <v>12390</v>
          </cell>
          <cell r="GB35">
            <v>12564</v>
          </cell>
          <cell r="GC35">
            <v>12642</v>
          </cell>
          <cell r="GD35">
            <v>12690</v>
          </cell>
          <cell r="GE35">
            <v>12690</v>
          </cell>
          <cell r="GF35">
            <v>12690</v>
          </cell>
          <cell r="GG35">
            <v>12690</v>
          </cell>
          <cell r="GH35">
            <v>12690</v>
          </cell>
          <cell r="GI35">
            <v>12690</v>
          </cell>
          <cell r="GJ35">
            <v>12690</v>
          </cell>
          <cell r="GK35">
            <v>12690</v>
          </cell>
          <cell r="GL35">
            <v>12690</v>
          </cell>
          <cell r="GM35">
            <v>12690</v>
          </cell>
          <cell r="GN35">
            <v>12690</v>
          </cell>
          <cell r="GO35">
            <v>12690</v>
          </cell>
          <cell r="GP35">
            <v>12690</v>
          </cell>
          <cell r="GQ35">
            <v>12690</v>
          </cell>
          <cell r="GR35">
            <v>12690</v>
          </cell>
          <cell r="GS35">
            <v>12690</v>
          </cell>
          <cell r="GT35">
            <v>12690</v>
          </cell>
          <cell r="GU35">
            <v>12690</v>
          </cell>
          <cell r="GV35">
            <v>12690</v>
          </cell>
          <cell r="GW35">
            <v>12690</v>
          </cell>
          <cell r="GX35">
            <v>12690</v>
          </cell>
          <cell r="GY35">
            <v>12690</v>
          </cell>
          <cell r="GZ35">
            <v>12690</v>
          </cell>
          <cell r="HA35">
            <v>12690</v>
          </cell>
        </row>
        <row r="36">
          <cell r="D36" t="str">
            <v>82111-F2X02</v>
          </cell>
          <cell r="E36" t="str">
            <v>AT10</v>
          </cell>
          <cell r="F36" t="str">
            <v>A03</v>
          </cell>
          <cell r="G36" t="str">
            <v>QTY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</v>
          </cell>
          <cell r="U36">
            <v>50</v>
          </cell>
          <cell r="V36">
            <v>80</v>
          </cell>
          <cell r="W36">
            <v>80</v>
          </cell>
          <cell r="X36">
            <v>90</v>
          </cell>
          <cell r="Y36">
            <v>100</v>
          </cell>
          <cell r="Z36">
            <v>120</v>
          </cell>
          <cell r="AA36">
            <v>110</v>
          </cell>
          <cell r="AB36">
            <v>200</v>
          </cell>
          <cell r="AC36">
            <v>440</v>
          </cell>
          <cell r="AD36">
            <v>200</v>
          </cell>
          <cell r="AE36">
            <v>590</v>
          </cell>
          <cell r="AF36">
            <v>410</v>
          </cell>
          <cell r="AG36">
            <v>240</v>
          </cell>
          <cell r="AH36">
            <v>430</v>
          </cell>
          <cell r="AI36">
            <v>250</v>
          </cell>
          <cell r="AJ36">
            <v>50</v>
          </cell>
          <cell r="AK36">
            <v>100</v>
          </cell>
          <cell r="AL36">
            <v>66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4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20</v>
          </cell>
          <cell r="DA36">
            <v>0</v>
          </cell>
          <cell r="DB36">
            <v>0</v>
          </cell>
          <cell r="DC36">
            <v>20</v>
          </cell>
          <cell r="DD36">
            <v>10</v>
          </cell>
          <cell r="DE36">
            <v>10</v>
          </cell>
          <cell r="DF36">
            <v>10</v>
          </cell>
          <cell r="DG36">
            <v>20</v>
          </cell>
          <cell r="DH36">
            <v>20</v>
          </cell>
          <cell r="DI36">
            <v>20</v>
          </cell>
          <cell r="DJ36">
            <v>0</v>
          </cell>
          <cell r="DK36">
            <v>20</v>
          </cell>
          <cell r="DL36">
            <v>20</v>
          </cell>
          <cell r="DM36">
            <v>20</v>
          </cell>
          <cell r="DN36">
            <v>20</v>
          </cell>
          <cell r="DO36">
            <v>20</v>
          </cell>
          <cell r="DP36">
            <v>30</v>
          </cell>
          <cell r="DQ36">
            <v>20</v>
          </cell>
          <cell r="DR36">
            <v>20</v>
          </cell>
          <cell r="DS36">
            <v>20</v>
          </cell>
          <cell r="DT36">
            <v>30</v>
          </cell>
          <cell r="DU36">
            <v>30</v>
          </cell>
          <cell r="DV36">
            <v>0</v>
          </cell>
          <cell r="DW36">
            <v>20</v>
          </cell>
          <cell r="DX36">
            <v>20</v>
          </cell>
          <cell r="DY36">
            <v>30</v>
          </cell>
          <cell r="DZ36">
            <v>30</v>
          </cell>
          <cell r="EA36">
            <v>30</v>
          </cell>
          <cell r="EB36">
            <v>30</v>
          </cell>
          <cell r="EC36">
            <v>30</v>
          </cell>
          <cell r="ED36">
            <v>20</v>
          </cell>
          <cell r="EE36">
            <v>20</v>
          </cell>
          <cell r="EF36">
            <v>20</v>
          </cell>
          <cell r="EG36">
            <v>20</v>
          </cell>
          <cell r="EH36">
            <v>50</v>
          </cell>
          <cell r="EI36">
            <v>50</v>
          </cell>
          <cell r="EJ36">
            <v>50</v>
          </cell>
          <cell r="EK36">
            <v>50</v>
          </cell>
          <cell r="EL36">
            <v>110</v>
          </cell>
          <cell r="EM36">
            <v>110</v>
          </cell>
          <cell r="EN36">
            <v>110</v>
          </cell>
          <cell r="EO36">
            <v>110</v>
          </cell>
          <cell r="EP36">
            <v>60</v>
          </cell>
          <cell r="EQ36">
            <v>40</v>
          </cell>
          <cell r="ER36">
            <v>60</v>
          </cell>
          <cell r="ES36">
            <v>40</v>
          </cell>
          <cell r="ET36">
            <v>0</v>
          </cell>
          <cell r="EU36">
            <v>210</v>
          </cell>
          <cell r="EV36">
            <v>230</v>
          </cell>
          <cell r="EW36">
            <v>150</v>
          </cell>
          <cell r="EX36">
            <v>0</v>
          </cell>
          <cell r="EY36">
            <v>100</v>
          </cell>
          <cell r="EZ36">
            <v>100</v>
          </cell>
          <cell r="FA36">
            <v>100</v>
          </cell>
          <cell r="FB36">
            <v>110</v>
          </cell>
          <cell r="FC36">
            <v>60</v>
          </cell>
          <cell r="FD36">
            <v>60</v>
          </cell>
          <cell r="FE36">
            <v>60</v>
          </cell>
          <cell r="FF36">
            <v>60</v>
          </cell>
          <cell r="FG36">
            <v>120</v>
          </cell>
          <cell r="FH36">
            <v>0</v>
          </cell>
          <cell r="FI36">
            <v>100</v>
          </cell>
          <cell r="FJ36">
            <v>110</v>
          </cell>
          <cell r="FK36">
            <v>100</v>
          </cell>
          <cell r="FL36">
            <v>90</v>
          </cell>
          <cell r="FM36">
            <v>0</v>
          </cell>
          <cell r="FN36">
            <v>90</v>
          </cell>
          <cell r="FO36">
            <v>70</v>
          </cell>
          <cell r="FP36">
            <v>0</v>
          </cell>
          <cell r="FQ36">
            <v>0</v>
          </cell>
          <cell r="FR36">
            <v>20</v>
          </cell>
          <cell r="FS36">
            <v>30</v>
          </cell>
          <cell r="FT36">
            <v>28</v>
          </cell>
          <cell r="FU36">
            <v>24</v>
          </cell>
          <cell r="FV36">
            <v>24</v>
          </cell>
          <cell r="FW36">
            <v>0</v>
          </cell>
          <cell r="FX36">
            <v>24</v>
          </cell>
          <cell r="FY36">
            <v>24</v>
          </cell>
          <cell r="FZ36">
            <v>24</v>
          </cell>
          <cell r="GA36">
            <v>18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</row>
        <row r="37">
          <cell r="D37" t="str">
            <v>10月 B/O</v>
          </cell>
          <cell r="E37">
            <v>0</v>
          </cell>
          <cell r="F37">
            <v>0</v>
          </cell>
          <cell r="G37" t="str">
            <v>CUM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</v>
          </cell>
          <cell r="U37">
            <v>70</v>
          </cell>
          <cell r="V37">
            <v>150</v>
          </cell>
          <cell r="W37">
            <v>230</v>
          </cell>
          <cell r="X37">
            <v>320</v>
          </cell>
          <cell r="Y37">
            <v>420</v>
          </cell>
          <cell r="Z37">
            <v>540</v>
          </cell>
          <cell r="AA37">
            <v>650</v>
          </cell>
          <cell r="AB37">
            <v>850</v>
          </cell>
          <cell r="AC37">
            <v>1290</v>
          </cell>
          <cell r="AD37">
            <v>1490</v>
          </cell>
          <cell r="AE37">
            <v>2080</v>
          </cell>
          <cell r="AF37">
            <v>2490</v>
          </cell>
          <cell r="AG37">
            <v>2730</v>
          </cell>
          <cell r="AH37">
            <v>3160</v>
          </cell>
          <cell r="AI37">
            <v>3414</v>
          </cell>
          <cell r="AJ37">
            <v>3464</v>
          </cell>
          <cell r="AK37">
            <v>3564</v>
          </cell>
          <cell r="AL37">
            <v>3630</v>
          </cell>
          <cell r="AM37">
            <v>3630</v>
          </cell>
          <cell r="AN37">
            <v>3630</v>
          </cell>
          <cell r="AO37">
            <v>3630</v>
          </cell>
          <cell r="AP37">
            <v>3630</v>
          </cell>
          <cell r="AQ37">
            <v>3630</v>
          </cell>
          <cell r="AR37">
            <v>3630</v>
          </cell>
          <cell r="AS37">
            <v>3630</v>
          </cell>
          <cell r="AT37">
            <v>3630</v>
          </cell>
          <cell r="AU37">
            <v>3630</v>
          </cell>
          <cell r="AV37">
            <v>3630</v>
          </cell>
          <cell r="AW37">
            <v>3630</v>
          </cell>
          <cell r="AX37">
            <v>3630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4</v>
          </cell>
          <cell r="BT37">
            <v>4</v>
          </cell>
          <cell r="BU37">
            <v>4</v>
          </cell>
          <cell r="BV37">
            <v>4</v>
          </cell>
          <cell r="BW37">
            <v>4</v>
          </cell>
          <cell r="BX37">
            <v>4</v>
          </cell>
          <cell r="BY37">
            <v>4</v>
          </cell>
          <cell r="BZ37">
            <v>4</v>
          </cell>
          <cell r="CA37">
            <v>4</v>
          </cell>
          <cell r="CB37">
            <v>4</v>
          </cell>
          <cell r="CC37">
            <v>4</v>
          </cell>
          <cell r="CD37">
            <v>4</v>
          </cell>
          <cell r="CE37">
            <v>4</v>
          </cell>
          <cell r="CF37">
            <v>4</v>
          </cell>
          <cell r="CG37">
            <v>4</v>
          </cell>
          <cell r="CH37">
            <v>4</v>
          </cell>
          <cell r="CI37">
            <v>4</v>
          </cell>
          <cell r="CJ37">
            <v>4</v>
          </cell>
          <cell r="CK37">
            <v>4</v>
          </cell>
          <cell r="CL37">
            <v>4</v>
          </cell>
          <cell r="CM37">
            <v>4</v>
          </cell>
          <cell r="CN37">
            <v>4</v>
          </cell>
          <cell r="CO37">
            <v>4</v>
          </cell>
          <cell r="CP37">
            <v>4</v>
          </cell>
          <cell r="CQ37">
            <v>4</v>
          </cell>
          <cell r="CR37">
            <v>4</v>
          </cell>
          <cell r="CS37">
            <v>4</v>
          </cell>
          <cell r="CT37">
            <v>4</v>
          </cell>
          <cell r="CU37">
            <v>4</v>
          </cell>
          <cell r="CV37">
            <v>4</v>
          </cell>
          <cell r="CW37">
            <v>4</v>
          </cell>
          <cell r="CX37">
            <v>4</v>
          </cell>
          <cell r="CY37">
            <v>4</v>
          </cell>
          <cell r="CZ37">
            <v>24</v>
          </cell>
          <cell r="DA37">
            <v>24</v>
          </cell>
          <cell r="DB37">
            <v>24</v>
          </cell>
          <cell r="DC37">
            <v>44</v>
          </cell>
          <cell r="DD37">
            <v>54</v>
          </cell>
          <cell r="DE37">
            <v>64</v>
          </cell>
          <cell r="DF37">
            <v>74</v>
          </cell>
          <cell r="DG37">
            <v>94</v>
          </cell>
          <cell r="DH37">
            <v>114</v>
          </cell>
          <cell r="DI37">
            <v>134</v>
          </cell>
          <cell r="DJ37">
            <v>134</v>
          </cell>
          <cell r="DK37">
            <v>154</v>
          </cell>
          <cell r="DL37">
            <v>174</v>
          </cell>
          <cell r="DM37">
            <v>194</v>
          </cell>
          <cell r="DN37">
            <v>214</v>
          </cell>
          <cell r="DO37">
            <v>234</v>
          </cell>
          <cell r="DP37">
            <v>264</v>
          </cell>
          <cell r="DQ37">
            <v>284</v>
          </cell>
          <cell r="DR37">
            <v>304</v>
          </cell>
          <cell r="DS37">
            <v>324</v>
          </cell>
          <cell r="DT37">
            <v>354</v>
          </cell>
          <cell r="DU37">
            <v>384</v>
          </cell>
          <cell r="DV37">
            <v>384</v>
          </cell>
          <cell r="DW37">
            <v>404</v>
          </cell>
          <cell r="DX37">
            <v>424</v>
          </cell>
          <cell r="DY37">
            <v>454</v>
          </cell>
          <cell r="DZ37">
            <v>484</v>
          </cell>
          <cell r="EA37">
            <v>514</v>
          </cell>
          <cell r="EB37">
            <v>544</v>
          </cell>
          <cell r="EC37">
            <v>574</v>
          </cell>
          <cell r="ED37">
            <v>594</v>
          </cell>
          <cell r="EE37">
            <v>614</v>
          </cell>
          <cell r="EF37">
            <v>634</v>
          </cell>
          <cell r="EG37">
            <v>654</v>
          </cell>
          <cell r="EH37">
            <v>704</v>
          </cell>
          <cell r="EI37">
            <v>754</v>
          </cell>
          <cell r="EJ37">
            <v>804</v>
          </cell>
          <cell r="EK37">
            <v>854</v>
          </cell>
          <cell r="EL37">
            <v>964</v>
          </cell>
          <cell r="EM37">
            <v>1074</v>
          </cell>
          <cell r="EN37">
            <v>1184</v>
          </cell>
          <cell r="EO37">
            <v>1294</v>
          </cell>
          <cell r="EP37">
            <v>1354</v>
          </cell>
          <cell r="EQ37">
            <v>1394</v>
          </cell>
          <cell r="ER37">
            <v>1454</v>
          </cell>
          <cell r="ES37">
            <v>1494</v>
          </cell>
          <cell r="ET37">
            <v>1494</v>
          </cell>
          <cell r="EU37">
            <v>1704</v>
          </cell>
          <cell r="EV37">
            <v>1934</v>
          </cell>
          <cell r="EW37">
            <v>2084</v>
          </cell>
          <cell r="EX37">
            <v>2084</v>
          </cell>
          <cell r="EY37">
            <v>2184</v>
          </cell>
          <cell r="EZ37">
            <v>2284</v>
          </cell>
          <cell r="FA37">
            <v>2384</v>
          </cell>
          <cell r="FB37">
            <v>2494</v>
          </cell>
          <cell r="FC37">
            <v>2554</v>
          </cell>
          <cell r="FD37">
            <v>2614</v>
          </cell>
          <cell r="FE37">
            <v>2674</v>
          </cell>
          <cell r="FF37">
            <v>2734</v>
          </cell>
          <cell r="FG37">
            <v>2854</v>
          </cell>
          <cell r="FH37">
            <v>2854</v>
          </cell>
          <cell r="FI37">
            <v>2954</v>
          </cell>
          <cell r="FJ37">
            <v>3064</v>
          </cell>
          <cell r="FK37">
            <v>3164</v>
          </cell>
          <cell r="FL37">
            <v>3254</v>
          </cell>
          <cell r="FM37">
            <v>3254</v>
          </cell>
          <cell r="FN37">
            <v>3344</v>
          </cell>
          <cell r="FO37">
            <v>3414</v>
          </cell>
          <cell r="FP37">
            <v>3414</v>
          </cell>
          <cell r="FQ37">
            <v>3414</v>
          </cell>
          <cell r="FR37">
            <v>3434</v>
          </cell>
          <cell r="FS37">
            <v>3464</v>
          </cell>
          <cell r="FT37">
            <v>3492</v>
          </cell>
          <cell r="FU37">
            <v>3516</v>
          </cell>
          <cell r="FV37">
            <v>3540</v>
          </cell>
          <cell r="FW37">
            <v>3540</v>
          </cell>
          <cell r="FX37">
            <v>3564</v>
          </cell>
          <cell r="FY37">
            <v>3588</v>
          </cell>
          <cell r="FZ37">
            <v>3612</v>
          </cell>
          <cell r="GA37">
            <v>3630</v>
          </cell>
          <cell r="GB37">
            <v>3630</v>
          </cell>
          <cell r="GC37">
            <v>3630</v>
          </cell>
          <cell r="GD37">
            <v>3630</v>
          </cell>
          <cell r="GE37">
            <v>3630</v>
          </cell>
          <cell r="GF37">
            <v>3630</v>
          </cell>
          <cell r="GG37">
            <v>3630</v>
          </cell>
          <cell r="GH37">
            <v>3630</v>
          </cell>
          <cell r="GI37">
            <v>3630</v>
          </cell>
          <cell r="GJ37">
            <v>3630</v>
          </cell>
          <cell r="GK37">
            <v>3630</v>
          </cell>
          <cell r="GL37">
            <v>3630</v>
          </cell>
          <cell r="GM37">
            <v>3630</v>
          </cell>
          <cell r="GN37">
            <v>3630</v>
          </cell>
          <cell r="GO37">
            <v>3630</v>
          </cell>
          <cell r="GP37">
            <v>3630</v>
          </cell>
          <cell r="GQ37">
            <v>3630</v>
          </cell>
          <cell r="GR37">
            <v>3630</v>
          </cell>
          <cell r="GS37">
            <v>3630</v>
          </cell>
          <cell r="GT37">
            <v>3630</v>
          </cell>
          <cell r="GU37">
            <v>3630</v>
          </cell>
          <cell r="GV37">
            <v>3630</v>
          </cell>
          <cell r="GW37">
            <v>3630</v>
          </cell>
          <cell r="GX37">
            <v>3630</v>
          </cell>
          <cell r="GY37">
            <v>3630</v>
          </cell>
          <cell r="GZ37">
            <v>3630</v>
          </cell>
          <cell r="HA37">
            <v>3630</v>
          </cell>
        </row>
        <row r="38">
          <cell r="D38" t="str">
            <v>82111-F2C11</v>
          </cell>
          <cell r="E38" t="str">
            <v>AT10</v>
          </cell>
          <cell r="F38" t="str">
            <v>B00</v>
          </cell>
          <cell r="G38" t="str">
            <v>QTY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</v>
          </cell>
          <cell r="U38">
            <v>70</v>
          </cell>
          <cell r="V38">
            <v>90</v>
          </cell>
          <cell r="W38">
            <v>40</v>
          </cell>
          <cell r="X38">
            <v>40</v>
          </cell>
          <cell r="Y38">
            <v>20</v>
          </cell>
          <cell r="Z38">
            <v>80</v>
          </cell>
          <cell r="AA38">
            <v>80</v>
          </cell>
          <cell r="AB38">
            <v>90</v>
          </cell>
          <cell r="AC38">
            <v>80</v>
          </cell>
          <cell r="AD38">
            <v>60</v>
          </cell>
          <cell r="AE38">
            <v>60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20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10</v>
          </cell>
          <cell r="DA38">
            <v>10</v>
          </cell>
          <cell r="DB38">
            <v>0</v>
          </cell>
          <cell r="DC38">
            <v>20</v>
          </cell>
          <cell r="DD38">
            <v>20</v>
          </cell>
          <cell r="DE38">
            <v>20</v>
          </cell>
          <cell r="DF38">
            <v>10</v>
          </cell>
          <cell r="DG38">
            <v>20</v>
          </cell>
          <cell r="DH38">
            <v>20</v>
          </cell>
          <cell r="DI38">
            <v>20</v>
          </cell>
          <cell r="DJ38">
            <v>0</v>
          </cell>
          <cell r="DK38">
            <v>30</v>
          </cell>
          <cell r="DL38">
            <v>10</v>
          </cell>
          <cell r="DM38">
            <v>10</v>
          </cell>
          <cell r="DN38">
            <v>10</v>
          </cell>
          <cell r="DO38">
            <v>10</v>
          </cell>
          <cell r="DP38">
            <v>10</v>
          </cell>
          <cell r="DQ38">
            <v>10</v>
          </cell>
          <cell r="DR38">
            <v>10</v>
          </cell>
          <cell r="DS38">
            <v>10</v>
          </cell>
          <cell r="DT38">
            <v>10</v>
          </cell>
          <cell r="DU38">
            <v>0</v>
          </cell>
          <cell r="DV38">
            <v>0</v>
          </cell>
          <cell r="DW38">
            <v>10</v>
          </cell>
          <cell r="DX38">
            <v>0</v>
          </cell>
          <cell r="DY38">
            <v>20</v>
          </cell>
          <cell r="DZ38">
            <v>20</v>
          </cell>
          <cell r="EA38">
            <v>20</v>
          </cell>
          <cell r="EB38">
            <v>20</v>
          </cell>
          <cell r="EC38">
            <v>20</v>
          </cell>
          <cell r="ED38">
            <v>20</v>
          </cell>
          <cell r="EE38">
            <v>20</v>
          </cell>
          <cell r="EF38">
            <v>10</v>
          </cell>
          <cell r="EG38">
            <v>10</v>
          </cell>
          <cell r="EH38">
            <v>30</v>
          </cell>
          <cell r="EI38">
            <v>20</v>
          </cell>
          <cell r="EJ38">
            <v>20</v>
          </cell>
          <cell r="EK38">
            <v>20</v>
          </cell>
          <cell r="EL38">
            <v>20</v>
          </cell>
          <cell r="EM38">
            <v>20</v>
          </cell>
          <cell r="EN38">
            <v>20</v>
          </cell>
          <cell r="EO38">
            <v>20</v>
          </cell>
          <cell r="EP38">
            <v>20</v>
          </cell>
          <cell r="EQ38">
            <v>20</v>
          </cell>
          <cell r="ER38">
            <v>20</v>
          </cell>
          <cell r="ES38">
            <v>0</v>
          </cell>
          <cell r="ET38">
            <v>0</v>
          </cell>
          <cell r="EU38">
            <v>20</v>
          </cell>
          <cell r="EV38">
            <v>20</v>
          </cell>
          <cell r="EW38">
            <v>20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</row>
        <row r="39">
          <cell r="D39" t="str">
            <v>B/O</v>
          </cell>
          <cell r="E39">
            <v>0</v>
          </cell>
          <cell r="F39">
            <v>0</v>
          </cell>
          <cell r="G39" t="str">
            <v>CUM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20</v>
          </cell>
          <cell r="U39">
            <v>90</v>
          </cell>
          <cell r="V39">
            <v>180</v>
          </cell>
          <cell r="W39">
            <v>220</v>
          </cell>
          <cell r="X39">
            <v>260</v>
          </cell>
          <cell r="Y39">
            <v>280</v>
          </cell>
          <cell r="Z39">
            <v>360</v>
          </cell>
          <cell r="AA39">
            <v>440</v>
          </cell>
          <cell r="AB39">
            <v>530</v>
          </cell>
          <cell r="AC39">
            <v>610</v>
          </cell>
          <cell r="AD39">
            <v>670</v>
          </cell>
          <cell r="AE39">
            <v>730</v>
          </cell>
          <cell r="AF39">
            <v>730</v>
          </cell>
          <cell r="AG39">
            <v>730</v>
          </cell>
          <cell r="AH39">
            <v>730</v>
          </cell>
          <cell r="AI39">
            <v>750</v>
          </cell>
          <cell r="AJ39">
            <v>750</v>
          </cell>
          <cell r="AK39">
            <v>750</v>
          </cell>
          <cell r="AL39">
            <v>750</v>
          </cell>
          <cell r="AM39">
            <v>750</v>
          </cell>
          <cell r="AN39">
            <v>750</v>
          </cell>
          <cell r="AO39">
            <v>750</v>
          </cell>
          <cell r="AP39">
            <v>750</v>
          </cell>
          <cell r="AQ39">
            <v>750</v>
          </cell>
          <cell r="AR39">
            <v>750</v>
          </cell>
          <cell r="AS39">
            <v>750</v>
          </cell>
          <cell r="AT39">
            <v>750</v>
          </cell>
          <cell r="AU39">
            <v>750</v>
          </cell>
          <cell r="AV39">
            <v>750</v>
          </cell>
          <cell r="AW39">
            <v>750</v>
          </cell>
          <cell r="AX39">
            <v>750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20</v>
          </cell>
          <cell r="BT39">
            <v>20</v>
          </cell>
          <cell r="BU39">
            <v>20</v>
          </cell>
          <cell r="BV39">
            <v>20</v>
          </cell>
          <cell r="BW39">
            <v>20</v>
          </cell>
          <cell r="BX39">
            <v>20</v>
          </cell>
          <cell r="BY39">
            <v>20</v>
          </cell>
          <cell r="BZ39">
            <v>20</v>
          </cell>
          <cell r="CA39">
            <v>20</v>
          </cell>
          <cell r="CB39">
            <v>20</v>
          </cell>
          <cell r="CC39">
            <v>20</v>
          </cell>
          <cell r="CD39">
            <v>20</v>
          </cell>
          <cell r="CE39">
            <v>20</v>
          </cell>
          <cell r="CF39">
            <v>20</v>
          </cell>
          <cell r="CG39">
            <v>20</v>
          </cell>
          <cell r="CH39">
            <v>20</v>
          </cell>
          <cell r="CI39">
            <v>20</v>
          </cell>
          <cell r="CJ39">
            <v>20</v>
          </cell>
          <cell r="CK39">
            <v>20</v>
          </cell>
          <cell r="CL39">
            <v>20</v>
          </cell>
          <cell r="CM39">
            <v>20</v>
          </cell>
          <cell r="CN39">
            <v>20</v>
          </cell>
          <cell r="CO39">
            <v>20</v>
          </cell>
          <cell r="CP39">
            <v>20</v>
          </cell>
          <cell r="CQ39">
            <v>20</v>
          </cell>
          <cell r="CR39">
            <v>20</v>
          </cell>
          <cell r="CS39">
            <v>20</v>
          </cell>
          <cell r="CT39">
            <v>20</v>
          </cell>
          <cell r="CU39">
            <v>20</v>
          </cell>
          <cell r="CV39">
            <v>20</v>
          </cell>
          <cell r="CW39">
            <v>20</v>
          </cell>
          <cell r="CX39">
            <v>20</v>
          </cell>
          <cell r="CY39">
            <v>20</v>
          </cell>
          <cell r="CZ39">
            <v>30</v>
          </cell>
          <cell r="DA39">
            <v>40</v>
          </cell>
          <cell r="DB39">
            <v>40</v>
          </cell>
          <cell r="DC39">
            <v>60</v>
          </cell>
          <cell r="DD39">
            <v>80</v>
          </cell>
          <cell r="DE39">
            <v>100</v>
          </cell>
          <cell r="DF39">
            <v>110</v>
          </cell>
          <cell r="DG39">
            <v>130</v>
          </cell>
          <cell r="DH39">
            <v>150</v>
          </cell>
          <cell r="DI39">
            <v>170</v>
          </cell>
          <cell r="DJ39">
            <v>170</v>
          </cell>
          <cell r="DK39">
            <v>200</v>
          </cell>
          <cell r="DL39">
            <v>210</v>
          </cell>
          <cell r="DM39">
            <v>220</v>
          </cell>
          <cell r="DN39">
            <v>230</v>
          </cell>
          <cell r="DO39">
            <v>240</v>
          </cell>
          <cell r="DP39">
            <v>250</v>
          </cell>
          <cell r="DQ39">
            <v>260</v>
          </cell>
          <cell r="DR39">
            <v>270</v>
          </cell>
          <cell r="DS39">
            <v>280</v>
          </cell>
          <cell r="DT39">
            <v>290</v>
          </cell>
          <cell r="DU39">
            <v>290</v>
          </cell>
          <cell r="DV39">
            <v>290</v>
          </cell>
          <cell r="DW39">
            <v>300</v>
          </cell>
          <cell r="DX39">
            <v>300</v>
          </cell>
          <cell r="DY39">
            <v>320</v>
          </cell>
          <cell r="DZ39">
            <v>340</v>
          </cell>
          <cell r="EA39">
            <v>360</v>
          </cell>
          <cell r="EB39">
            <v>380</v>
          </cell>
          <cell r="EC39">
            <v>400</v>
          </cell>
          <cell r="ED39">
            <v>420</v>
          </cell>
          <cell r="EE39">
            <v>440</v>
          </cell>
          <cell r="EF39">
            <v>450</v>
          </cell>
          <cell r="EG39">
            <v>460</v>
          </cell>
          <cell r="EH39">
            <v>490</v>
          </cell>
          <cell r="EI39">
            <v>510</v>
          </cell>
          <cell r="EJ39">
            <v>530</v>
          </cell>
          <cell r="EK39">
            <v>550</v>
          </cell>
          <cell r="EL39">
            <v>570</v>
          </cell>
          <cell r="EM39">
            <v>590</v>
          </cell>
          <cell r="EN39">
            <v>610</v>
          </cell>
          <cell r="EO39">
            <v>630</v>
          </cell>
          <cell r="EP39">
            <v>650</v>
          </cell>
          <cell r="EQ39">
            <v>670</v>
          </cell>
          <cell r="ER39">
            <v>690</v>
          </cell>
          <cell r="ES39">
            <v>690</v>
          </cell>
          <cell r="ET39">
            <v>690</v>
          </cell>
          <cell r="EU39">
            <v>710</v>
          </cell>
          <cell r="EV39">
            <v>730</v>
          </cell>
          <cell r="EW39">
            <v>750</v>
          </cell>
          <cell r="EX39">
            <v>750</v>
          </cell>
          <cell r="EY39">
            <v>750</v>
          </cell>
          <cell r="EZ39">
            <v>750</v>
          </cell>
          <cell r="FA39">
            <v>750</v>
          </cell>
          <cell r="FB39">
            <v>750</v>
          </cell>
          <cell r="FC39">
            <v>750</v>
          </cell>
          <cell r="FD39">
            <v>750</v>
          </cell>
          <cell r="FE39">
            <v>750</v>
          </cell>
          <cell r="FF39">
            <v>750</v>
          </cell>
          <cell r="FG39">
            <v>750</v>
          </cell>
          <cell r="FH39">
            <v>750</v>
          </cell>
          <cell r="FI39">
            <v>750</v>
          </cell>
          <cell r="FJ39">
            <v>750</v>
          </cell>
          <cell r="FK39">
            <v>750</v>
          </cell>
          <cell r="FL39">
            <v>750</v>
          </cell>
          <cell r="FM39">
            <v>750</v>
          </cell>
          <cell r="FN39">
            <v>750</v>
          </cell>
          <cell r="FO39">
            <v>750</v>
          </cell>
          <cell r="FP39">
            <v>750</v>
          </cell>
          <cell r="FQ39">
            <v>750</v>
          </cell>
          <cell r="FR39">
            <v>750</v>
          </cell>
          <cell r="FS39">
            <v>750</v>
          </cell>
          <cell r="FT39">
            <v>750</v>
          </cell>
          <cell r="FU39">
            <v>750</v>
          </cell>
          <cell r="FV39">
            <v>750</v>
          </cell>
          <cell r="FW39">
            <v>750</v>
          </cell>
          <cell r="FX39">
            <v>750</v>
          </cell>
          <cell r="FY39">
            <v>750</v>
          </cell>
          <cell r="FZ39">
            <v>750</v>
          </cell>
          <cell r="GA39">
            <v>750</v>
          </cell>
          <cell r="GB39">
            <v>750</v>
          </cell>
          <cell r="GC39">
            <v>750</v>
          </cell>
          <cell r="GD39">
            <v>750</v>
          </cell>
          <cell r="GE39">
            <v>750</v>
          </cell>
          <cell r="GF39">
            <v>750</v>
          </cell>
          <cell r="GG39">
            <v>750</v>
          </cell>
          <cell r="GH39">
            <v>750</v>
          </cell>
          <cell r="GI39">
            <v>750</v>
          </cell>
          <cell r="GJ39">
            <v>750</v>
          </cell>
          <cell r="GK39">
            <v>750</v>
          </cell>
          <cell r="GL39">
            <v>750</v>
          </cell>
          <cell r="GM39">
            <v>750</v>
          </cell>
          <cell r="GN39">
            <v>750</v>
          </cell>
          <cell r="GO39">
            <v>750</v>
          </cell>
          <cell r="GP39">
            <v>750</v>
          </cell>
          <cell r="GQ39">
            <v>750</v>
          </cell>
          <cell r="GR39">
            <v>750</v>
          </cell>
          <cell r="GS39">
            <v>750</v>
          </cell>
          <cell r="GT39">
            <v>750</v>
          </cell>
          <cell r="GU39">
            <v>750</v>
          </cell>
          <cell r="GV39">
            <v>750</v>
          </cell>
          <cell r="GW39">
            <v>750</v>
          </cell>
          <cell r="GX39">
            <v>750</v>
          </cell>
          <cell r="GY39">
            <v>750</v>
          </cell>
          <cell r="GZ39">
            <v>750</v>
          </cell>
          <cell r="HA39">
            <v>750</v>
          </cell>
        </row>
        <row r="40">
          <cell r="D40" t="str">
            <v>82111-F2211</v>
          </cell>
          <cell r="E40" t="str">
            <v>AT10</v>
          </cell>
          <cell r="F40" t="str">
            <v>B02</v>
          </cell>
          <cell r="G40" t="str">
            <v>QTY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 t="str">
            <v>CUM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</row>
        <row r="42">
          <cell r="D42" t="str">
            <v>82111-F2220 D</v>
          </cell>
          <cell r="E42" t="str">
            <v>AT10</v>
          </cell>
          <cell r="F42" t="str">
            <v>D03</v>
          </cell>
          <cell r="G42" t="str">
            <v>QTY</v>
          </cell>
          <cell r="H42">
            <v>930</v>
          </cell>
          <cell r="I42">
            <v>540</v>
          </cell>
          <cell r="J42">
            <v>290</v>
          </cell>
          <cell r="K42">
            <v>610</v>
          </cell>
          <cell r="L42">
            <v>500</v>
          </cell>
          <cell r="M42">
            <v>800</v>
          </cell>
          <cell r="N42">
            <v>860</v>
          </cell>
          <cell r="O42">
            <v>780</v>
          </cell>
          <cell r="P42">
            <v>1460</v>
          </cell>
          <cell r="Q42">
            <v>620</v>
          </cell>
          <cell r="R42">
            <v>500</v>
          </cell>
          <cell r="S42">
            <v>560</v>
          </cell>
          <cell r="T42">
            <v>480</v>
          </cell>
          <cell r="U42">
            <v>940</v>
          </cell>
          <cell r="V42">
            <v>620</v>
          </cell>
          <cell r="W42">
            <v>630</v>
          </cell>
          <cell r="X42">
            <v>410</v>
          </cell>
          <cell r="Y42">
            <v>850</v>
          </cell>
          <cell r="Z42">
            <v>410</v>
          </cell>
          <cell r="AA42">
            <v>470</v>
          </cell>
          <cell r="AB42">
            <v>540</v>
          </cell>
          <cell r="AC42">
            <v>430</v>
          </cell>
          <cell r="AD42">
            <v>380</v>
          </cell>
          <cell r="AE42">
            <v>460</v>
          </cell>
          <cell r="AF42">
            <v>390</v>
          </cell>
          <cell r="AG42">
            <v>350</v>
          </cell>
          <cell r="AH42">
            <v>500</v>
          </cell>
          <cell r="AI42">
            <v>440</v>
          </cell>
          <cell r="AJ42">
            <v>470</v>
          </cell>
          <cell r="AK42">
            <v>830</v>
          </cell>
          <cell r="AL42">
            <v>360</v>
          </cell>
          <cell r="AM42">
            <v>6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680</v>
          </cell>
          <cell r="AZ42">
            <v>230</v>
          </cell>
          <cell r="BA42">
            <v>230</v>
          </cell>
          <cell r="BB42">
            <v>230</v>
          </cell>
          <cell r="BC42">
            <v>140</v>
          </cell>
          <cell r="BD42">
            <v>140</v>
          </cell>
          <cell r="BE42">
            <v>130</v>
          </cell>
          <cell r="BF42">
            <v>130</v>
          </cell>
          <cell r="BG42">
            <v>80</v>
          </cell>
          <cell r="BH42">
            <v>70</v>
          </cell>
          <cell r="BI42">
            <v>70</v>
          </cell>
          <cell r="BJ42">
            <v>70</v>
          </cell>
          <cell r="BK42">
            <v>0</v>
          </cell>
          <cell r="BL42">
            <v>160</v>
          </cell>
          <cell r="BM42">
            <v>150</v>
          </cell>
          <cell r="BN42">
            <v>150</v>
          </cell>
          <cell r="BO42">
            <v>150</v>
          </cell>
          <cell r="BP42">
            <v>120</v>
          </cell>
          <cell r="BQ42">
            <v>120</v>
          </cell>
          <cell r="BR42">
            <v>130</v>
          </cell>
          <cell r="BS42">
            <v>130</v>
          </cell>
          <cell r="BT42">
            <v>200</v>
          </cell>
          <cell r="BU42">
            <v>200</v>
          </cell>
          <cell r="BV42">
            <v>0</v>
          </cell>
          <cell r="BW42">
            <v>200</v>
          </cell>
          <cell r="BX42">
            <v>200</v>
          </cell>
          <cell r="BY42">
            <v>220</v>
          </cell>
          <cell r="BZ42">
            <v>220</v>
          </cell>
          <cell r="CA42">
            <v>210</v>
          </cell>
          <cell r="CB42">
            <v>210</v>
          </cell>
          <cell r="CC42">
            <v>200</v>
          </cell>
          <cell r="CD42">
            <v>200</v>
          </cell>
          <cell r="CE42">
            <v>190</v>
          </cell>
          <cell r="CF42">
            <v>190</v>
          </cell>
          <cell r="CG42">
            <v>300</v>
          </cell>
          <cell r="CH42">
            <v>290</v>
          </cell>
          <cell r="CI42">
            <v>290</v>
          </cell>
          <cell r="CJ42">
            <v>290</v>
          </cell>
          <cell r="CK42">
            <v>290</v>
          </cell>
          <cell r="CL42">
            <v>150</v>
          </cell>
          <cell r="CM42">
            <v>150</v>
          </cell>
          <cell r="CN42">
            <v>160</v>
          </cell>
          <cell r="CO42">
            <v>160</v>
          </cell>
          <cell r="CP42">
            <v>120</v>
          </cell>
          <cell r="CQ42">
            <v>120</v>
          </cell>
          <cell r="CR42">
            <v>130</v>
          </cell>
          <cell r="CS42">
            <v>0</v>
          </cell>
          <cell r="CT42">
            <v>130</v>
          </cell>
          <cell r="CU42">
            <v>0</v>
          </cell>
          <cell r="CV42">
            <v>190</v>
          </cell>
          <cell r="CW42">
            <v>190</v>
          </cell>
          <cell r="CX42">
            <v>180</v>
          </cell>
          <cell r="CY42">
            <v>120</v>
          </cell>
          <cell r="CZ42">
            <v>120</v>
          </cell>
          <cell r="DA42">
            <v>120</v>
          </cell>
          <cell r="DB42">
            <v>120</v>
          </cell>
          <cell r="DC42">
            <v>230</v>
          </cell>
          <cell r="DD42">
            <v>240</v>
          </cell>
          <cell r="DE42">
            <v>230</v>
          </cell>
          <cell r="DF42">
            <v>240</v>
          </cell>
          <cell r="DG42">
            <v>150</v>
          </cell>
          <cell r="DH42">
            <v>150</v>
          </cell>
          <cell r="DI42">
            <v>160</v>
          </cell>
          <cell r="DJ42">
            <v>0</v>
          </cell>
          <cell r="DK42">
            <v>160</v>
          </cell>
          <cell r="DL42">
            <v>150</v>
          </cell>
          <cell r="DM42">
            <v>160</v>
          </cell>
          <cell r="DN42">
            <v>160</v>
          </cell>
          <cell r="DO42">
            <v>160</v>
          </cell>
          <cell r="DP42">
            <v>100</v>
          </cell>
          <cell r="DQ42">
            <v>100</v>
          </cell>
          <cell r="DR42">
            <v>100</v>
          </cell>
          <cell r="DS42">
            <v>110</v>
          </cell>
          <cell r="DT42">
            <v>210</v>
          </cell>
          <cell r="DU42">
            <v>210</v>
          </cell>
          <cell r="DV42">
            <v>0</v>
          </cell>
          <cell r="DW42">
            <v>210</v>
          </cell>
          <cell r="DX42">
            <v>220</v>
          </cell>
          <cell r="DY42">
            <v>100</v>
          </cell>
          <cell r="DZ42">
            <v>100</v>
          </cell>
          <cell r="EA42">
            <v>100</v>
          </cell>
          <cell r="EB42">
            <v>110</v>
          </cell>
          <cell r="EC42">
            <v>100</v>
          </cell>
          <cell r="ED42">
            <v>100</v>
          </cell>
          <cell r="EE42">
            <v>90</v>
          </cell>
          <cell r="EF42">
            <v>90</v>
          </cell>
          <cell r="EG42">
            <v>90</v>
          </cell>
          <cell r="EH42">
            <v>140</v>
          </cell>
          <cell r="EI42">
            <v>140</v>
          </cell>
          <cell r="EJ42">
            <v>130</v>
          </cell>
          <cell r="EK42">
            <v>130</v>
          </cell>
          <cell r="EL42">
            <v>110</v>
          </cell>
          <cell r="EM42">
            <v>110</v>
          </cell>
          <cell r="EN42">
            <v>110</v>
          </cell>
          <cell r="EO42">
            <v>100</v>
          </cell>
          <cell r="EP42">
            <v>100</v>
          </cell>
          <cell r="EQ42">
            <v>100</v>
          </cell>
          <cell r="ER42">
            <v>100</v>
          </cell>
          <cell r="ES42">
            <v>80</v>
          </cell>
          <cell r="ET42">
            <v>0</v>
          </cell>
          <cell r="EU42">
            <v>160</v>
          </cell>
          <cell r="EV42">
            <v>150</v>
          </cell>
          <cell r="EW42">
            <v>150</v>
          </cell>
          <cell r="EX42">
            <v>0</v>
          </cell>
          <cell r="EY42">
            <v>100</v>
          </cell>
          <cell r="EZ42">
            <v>100</v>
          </cell>
          <cell r="FA42">
            <v>90</v>
          </cell>
          <cell r="FB42">
            <v>100</v>
          </cell>
          <cell r="FC42">
            <v>80</v>
          </cell>
          <cell r="FD42">
            <v>110</v>
          </cell>
          <cell r="FE42">
            <v>80</v>
          </cell>
          <cell r="FF42">
            <v>80</v>
          </cell>
          <cell r="FG42">
            <v>120</v>
          </cell>
          <cell r="FH42">
            <v>0</v>
          </cell>
          <cell r="FI42">
            <v>130</v>
          </cell>
          <cell r="FJ42">
            <v>130</v>
          </cell>
          <cell r="FK42">
            <v>120</v>
          </cell>
          <cell r="FL42">
            <v>100</v>
          </cell>
          <cell r="FM42">
            <v>100</v>
          </cell>
          <cell r="FN42">
            <v>100</v>
          </cell>
          <cell r="FO42">
            <v>140</v>
          </cell>
          <cell r="FP42">
            <v>100</v>
          </cell>
          <cell r="FQ42">
            <v>120</v>
          </cell>
          <cell r="FR42">
            <v>120</v>
          </cell>
          <cell r="FS42">
            <v>130</v>
          </cell>
          <cell r="FT42">
            <v>210</v>
          </cell>
          <cell r="FU42">
            <v>210</v>
          </cell>
          <cell r="FV42">
            <v>206</v>
          </cell>
          <cell r="FW42">
            <v>0</v>
          </cell>
          <cell r="FX42">
            <v>204</v>
          </cell>
          <cell r="FY42">
            <v>96</v>
          </cell>
          <cell r="FZ42">
            <v>96</v>
          </cell>
          <cell r="GA42">
            <v>96</v>
          </cell>
          <cell r="GB42">
            <v>72</v>
          </cell>
          <cell r="GC42">
            <v>6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</row>
        <row r="43">
          <cell r="D43" t="str">
            <v>10月 B/O</v>
          </cell>
          <cell r="E43">
            <v>0</v>
          </cell>
          <cell r="F43">
            <v>0</v>
          </cell>
          <cell r="G43" t="str">
            <v>CUM</v>
          </cell>
          <cell r="H43">
            <v>11864</v>
          </cell>
          <cell r="I43">
            <v>12404</v>
          </cell>
          <cell r="J43">
            <v>12694</v>
          </cell>
          <cell r="K43">
            <v>13304</v>
          </cell>
          <cell r="L43">
            <v>13804</v>
          </cell>
          <cell r="M43">
            <v>14604</v>
          </cell>
          <cell r="N43">
            <v>15464</v>
          </cell>
          <cell r="O43">
            <v>16244</v>
          </cell>
          <cell r="P43">
            <v>17704</v>
          </cell>
          <cell r="Q43">
            <v>18324</v>
          </cell>
          <cell r="R43">
            <v>18824</v>
          </cell>
          <cell r="S43">
            <v>19384</v>
          </cell>
          <cell r="T43">
            <v>19864</v>
          </cell>
          <cell r="U43">
            <v>20804</v>
          </cell>
          <cell r="V43">
            <v>21424</v>
          </cell>
          <cell r="W43">
            <v>22054</v>
          </cell>
          <cell r="X43">
            <v>22464</v>
          </cell>
          <cell r="Y43">
            <v>23314</v>
          </cell>
          <cell r="Z43">
            <v>23724</v>
          </cell>
          <cell r="AA43">
            <v>24194</v>
          </cell>
          <cell r="AB43">
            <v>24734</v>
          </cell>
          <cell r="AC43">
            <v>25164</v>
          </cell>
          <cell r="AD43">
            <v>25544</v>
          </cell>
          <cell r="AE43">
            <v>26004</v>
          </cell>
          <cell r="AF43">
            <v>26394</v>
          </cell>
          <cell r="AG43">
            <v>26744</v>
          </cell>
          <cell r="AH43">
            <v>27244</v>
          </cell>
          <cell r="AI43">
            <v>27684</v>
          </cell>
          <cell r="AJ43">
            <v>28154</v>
          </cell>
          <cell r="AK43">
            <v>28984</v>
          </cell>
          <cell r="AL43">
            <v>29344</v>
          </cell>
          <cell r="AM43">
            <v>29350</v>
          </cell>
          <cell r="AN43">
            <v>29350</v>
          </cell>
          <cell r="AO43">
            <v>29350</v>
          </cell>
          <cell r="AP43">
            <v>29350</v>
          </cell>
          <cell r="AQ43">
            <v>29350</v>
          </cell>
          <cell r="AR43">
            <v>29350</v>
          </cell>
          <cell r="AS43">
            <v>29350</v>
          </cell>
          <cell r="AT43">
            <v>29350</v>
          </cell>
          <cell r="AU43">
            <v>29350</v>
          </cell>
          <cell r="AV43">
            <v>29350</v>
          </cell>
          <cell r="AW43">
            <v>29350</v>
          </cell>
          <cell r="AX43">
            <v>29350</v>
          </cell>
          <cell r="AY43">
            <v>11174</v>
          </cell>
          <cell r="AZ43">
            <v>11404</v>
          </cell>
          <cell r="BA43">
            <v>11634</v>
          </cell>
          <cell r="BB43">
            <v>11864</v>
          </cell>
          <cell r="BC43">
            <v>12004</v>
          </cell>
          <cell r="BD43">
            <v>12144</v>
          </cell>
          <cell r="BE43">
            <v>12274</v>
          </cell>
          <cell r="BF43">
            <v>12404</v>
          </cell>
          <cell r="BG43">
            <v>12484</v>
          </cell>
          <cell r="BH43">
            <v>12554</v>
          </cell>
          <cell r="BI43">
            <v>12624</v>
          </cell>
          <cell r="BJ43">
            <v>12694</v>
          </cell>
          <cell r="BK43">
            <v>12694</v>
          </cell>
          <cell r="BL43">
            <v>12854</v>
          </cell>
          <cell r="BM43">
            <v>13004</v>
          </cell>
          <cell r="BN43">
            <v>13154</v>
          </cell>
          <cell r="BO43">
            <v>13304</v>
          </cell>
          <cell r="BP43">
            <v>13424</v>
          </cell>
          <cell r="BQ43">
            <v>13544</v>
          </cell>
          <cell r="BR43">
            <v>13674</v>
          </cell>
          <cell r="BS43">
            <v>13804</v>
          </cell>
          <cell r="BT43">
            <v>14004</v>
          </cell>
          <cell r="BU43">
            <v>14204</v>
          </cell>
          <cell r="BV43">
            <v>14204</v>
          </cell>
          <cell r="BW43">
            <v>14404</v>
          </cell>
          <cell r="BX43">
            <v>14604</v>
          </cell>
          <cell r="BY43">
            <v>14824</v>
          </cell>
          <cell r="BZ43">
            <v>15044</v>
          </cell>
          <cell r="CA43">
            <v>15254</v>
          </cell>
          <cell r="CB43">
            <v>15464</v>
          </cell>
          <cell r="CC43">
            <v>15664</v>
          </cell>
          <cell r="CD43">
            <v>15864</v>
          </cell>
          <cell r="CE43">
            <v>16054</v>
          </cell>
          <cell r="CF43">
            <v>16244</v>
          </cell>
          <cell r="CG43">
            <v>16544</v>
          </cell>
          <cell r="CH43">
            <v>16834</v>
          </cell>
          <cell r="CI43">
            <v>17124</v>
          </cell>
          <cell r="CJ43">
            <v>17414</v>
          </cell>
          <cell r="CK43">
            <v>17704</v>
          </cell>
          <cell r="CL43">
            <v>17854</v>
          </cell>
          <cell r="CM43">
            <v>18004</v>
          </cell>
          <cell r="CN43">
            <v>18164</v>
          </cell>
          <cell r="CO43">
            <v>18324</v>
          </cell>
          <cell r="CP43">
            <v>18444</v>
          </cell>
          <cell r="CQ43">
            <v>18564</v>
          </cell>
          <cell r="CR43">
            <v>18694</v>
          </cell>
          <cell r="CS43">
            <v>18694</v>
          </cell>
          <cell r="CT43">
            <v>18824</v>
          </cell>
          <cell r="CU43">
            <v>18824</v>
          </cell>
          <cell r="CV43">
            <v>19014</v>
          </cell>
          <cell r="CW43">
            <v>19204</v>
          </cell>
          <cell r="CX43">
            <v>19384</v>
          </cell>
          <cell r="CY43">
            <v>19504</v>
          </cell>
          <cell r="CZ43">
            <v>19624</v>
          </cell>
          <cell r="DA43">
            <v>19744</v>
          </cell>
          <cell r="DB43">
            <v>19864</v>
          </cell>
          <cell r="DC43">
            <v>20094</v>
          </cell>
          <cell r="DD43">
            <v>20334</v>
          </cell>
          <cell r="DE43">
            <v>20564</v>
          </cell>
          <cell r="DF43">
            <v>20804</v>
          </cell>
          <cell r="DG43">
            <v>20954</v>
          </cell>
          <cell r="DH43">
            <v>21104</v>
          </cell>
          <cell r="DI43">
            <v>21264</v>
          </cell>
          <cell r="DJ43">
            <v>21264</v>
          </cell>
          <cell r="DK43">
            <v>21424</v>
          </cell>
          <cell r="DL43">
            <v>21574</v>
          </cell>
          <cell r="DM43">
            <v>21734</v>
          </cell>
          <cell r="DN43">
            <v>21894</v>
          </cell>
          <cell r="DO43">
            <v>22054</v>
          </cell>
          <cell r="DP43">
            <v>22154</v>
          </cell>
          <cell r="DQ43">
            <v>22254</v>
          </cell>
          <cell r="DR43">
            <v>22354</v>
          </cell>
          <cell r="DS43">
            <v>22464</v>
          </cell>
          <cell r="DT43">
            <v>22674</v>
          </cell>
          <cell r="DU43">
            <v>22884</v>
          </cell>
          <cell r="DV43">
            <v>22884</v>
          </cell>
          <cell r="DW43">
            <v>23094</v>
          </cell>
          <cell r="DX43">
            <v>23314</v>
          </cell>
          <cell r="DY43">
            <v>23414</v>
          </cell>
          <cell r="DZ43">
            <v>23514</v>
          </cell>
          <cell r="EA43">
            <v>23614</v>
          </cell>
          <cell r="EB43">
            <v>23724</v>
          </cell>
          <cell r="EC43">
            <v>23824</v>
          </cell>
          <cell r="ED43">
            <v>23924</v>
          </cell>
          <cell r="EE43">
            <v>24014</v>
          </cell>
          <cell r="EF43">
            <v>24104</v>
          </cell>
          <cell r="EG43">
            <v>24194</v>
          </cell>
          <cell r="EH43">
            <v>24334</v>
          </cell>
          <cell r="EI43">
            <v>24474</v>
          </cell>
          <cell r="EJ43">
            <v>24604</v>
          </cell>
          <cell r="EK43">
            <v>24734</v>
          </cell>
          <cell r="EL43">
            <v>24844</v>
          </cell>
          <cell r="EM43">
            <v>24954</v>
          </cell>
          <cell r="EN43">
            <v>25064</v>
          </cell>
          <cell r="EO43">
            <v>25164</v>
          </cell>
          <cell r="EP43">
            <v>25264</v>
          </cell>
          <cell r="EQ43">
            <v>25364</v>
          </cell>
          <cell r="ER43">
            <v>25464</v>
          </cell>
          <cell r="ES43">
            <v>25544</v>
          </cell>
          <cell r="ET43">
            <v>25544</v>
          </cell>
          <cell r="EU43">
            <v>25704</v>
          </cell>
          <cell r="EV43">
            <v>25854</v>
          </cell>
          <cell r="EW43">
            <v>26004</v>
          </cell>
          <cell r="EX43">
            <v>26004</v>
          </cell>
          <cell r="EY43">
            <v>26104</v>
          </cell>
          <cell r="EZ43">
            <v>26204</v>
          </cell>
          <cell r="FA43">
            <v>26294</v>
          </cell>
          <cell r="FB43">
            <v>26394</v>
          </cell>
          <cell r="FC43">
            <v>26474</v>
          </cell>
          <cell r="FD43">
            <v>26584</v>
          </cell>
          <cell r="FE43">
            <v>26664</v>
          </cell>
          <cell r="FF43">
            <v>26744</v>
          </cell>
          <cell r="FG43">
            <v>26864</v>
          </cell>
          <cell r="FH43">
            <v>26864</v>
          </cell>
          <cell r="FI43">
            <v>26994</v>
          </cell>
          <cell r="FJ43">
            <v>27124</v>
          </cell>
          <cell r="FK43">
            <v>27244</v>
          </cell>
          <cell r="FL43">
            <v>27344</v>
          </cell>
          <cell r="FM43">
            <v>27444</v>
          </cell>
          <cell r="FN43">
            <v>27544</v>
          </cell>
          <cell r="FO43">
            <v>27684</v>
          </cell>
          <cell r="FP43">
            <v>27784</v>
          </cell>
          <cell r="FQ43">
            <v>27904</v>
          </cell>
          <cell r="FR43">
            <v>28024</v>
          </cell>
          <cell r="FS43">
            <v>28154</v>
          </cell>
          <cell r="FT43">
            <v>28364</v>
          </cell>
          <cell r="FU43">
            <v>28574</v>
          </cell>
          <cell r="FV43">
            <v>28780</v>
          </cell>
          <cell r="FW43">
            <v>28780</v>
          </cell>
          <cell r="FX43">
            <v>28984</v>
          </cell>
          <cell r="FY43">
            <v>29080</v>
          </cell>
          <cell r="FZ43">
            <v>29176</v>
          </cell>
          <cell r="GA43">
            <v>29272</v>
          </cell>
          <cell r="GB43">
            <v>29344</v>
          </cell>
          <cell r="GC43">
            <v>29350</v>
          </cell>
          <cell r="GD43">
            <v>29350</v>
          </cell>
          <cell r="GE43">
            <v>29350</v>
          </cell>
          <cell r="GF43">
            <v>29350</v>
          </cell>
          <cell r="GG43">
            <v>29350</v>
          </cell>
          <cell r="GH43">
            <v>29350</v>
          </cell>
          <cell r="GI43">
            <v>29350</v>
          </cell>
          <cell r="GJ43">
            <v>29350</v>
          </cell>
          <cell r="GK43">
            <v>29350</v>
          </cell>
          <cell r="GL43">
            <v>29350</v>
          </cell>
          <cell r="GM43">
            <v>29350</v>
          </cell>
          <cell r="GN43">
            <v>29350</v>
          </cell>
          <cell r="GO43">
            <v>29350</v>
          </cell>
          <cell r="GP43">
            <v>29350</v>
          </cell>
          <cell r="GQ43">
            <v>29350</v>
          </cell>
          <cell r="GR43">
            <v>29350</v>
          </cell>
          <cell r="GS43">
            <v>29350</v>
          </cell>
          <cell r="GT43">
            <v>29350</v>
          </cell>
          <cell r="GU43">
            <v>29350</v>
          </cell>
          <cell r="GV43">
            <v>29350</v>
          </cell>
          <cell r="GW43">
            <v>29350</v>
          </cell>
          <cell r="GX43">
            <v>29350</v>
          </cell>
          <cell r="GY43">
            <v>29350</v>
          </cell>
          <cell r="GZ43">
            <v>29350</v>
          </cell>
          <cell r="HA43">
            <v>29350</v>
          </cell>
        </row>
        <row r="44">
          <cell r="D44" t="str">
            <v>82111-FEQ60</v>
          </cell>
          <cell r="E44" t="str">
            <v>AT10</v>
          </cell>
          <cell r="F44" t="str">
            <v>C02</v>
          </cell>
          <cell r="G44" t="str">
            <v>QTY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70</v>
          </cell>
          <cell r="U44">
            <v>430</v>
          </cell>
          <cell r="V44">
            <v>630</v>
          </cell>
          <cell r="W44">
            <v>420</v>
          </cell>
          <cell r="X44">
            <v>710</v>
          </cell>
          <cell r="Y44">
            <v>440</v>
          </cell>
          <cell r="Z44">
            <v>820</v>
          </cell>
          <cell r="AA44">
            <v>620</v>
          </cell>
          <cell r="AB44">
            <v>610</v>
          </cell>
          <cell r="AC44">
            <v>490</v>
          </cell>
          <cell r="AD44">
            <v>450</v>
          </cell>
          <cell r="AE44">
            <v>490</v>
          </cell>
          <cell r="AF44">
            <v>430</v>
          </cell>
          <cell r="AG44">
            <v>350</v>
          </cell>
          <cell r="AH44">
            <v>360</v>
          </cell>
          <cell r="AI44">
            <v>420</v>
          </cell>
          <cell r="AJ44">
            <v>580</v>
          </cell>
          <cell r="AK44">
            <v>580</v>
          </cell>
          <cell r="AL44">
            <v>402</v>
          </cell>
          <cell r="AM44">
            <v>294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30</v>
          </cell>
          <cell r="DA44">
            <v>20</v>
          </cell>
          <cell r="DB44">
            <v>20</v>
          </cell>
          <cell r="DC44">
            <v>110</v>
          </cell>
          <cell r="DD44">
            <v>110</v>
          </cell>
          <cell r="DE44">
            <v>110</v>
          </cell>
          <cell r="DF44">
            <v>100</v>
          </cell>
          <cell r="DG44">
            <v>160</v>
          </cell>
          <cell r="DH44">
            <v>160</v>
          </cell>
          <cell r="DI44">
            <v>160</v>
          </cell>
          <cell r="DJ44">
            <v>0</v>
          </cell>
          <cell r="DK44">
            <v>150</v>
          </cell>
          <cell r="DL44">
            <v>110</v>
          </cell>
          <cell r="DM44">
            <v>110</v>
          </cell>
          <cell r="DN44">
            <v>100</v>
          </cell>
          <cell r="DO44">
            <v>100</v>
          </cell>
          <cell r="DP44">
            <v>170</v>
          </cell>
          <cell r="DQ44">
            <v>180</v>
          </cell>
          <cell r="DR44">
            <v>180</v>
          </cell>
          <cell r="DS44">
            <v>180</v>
          </cell>
          <cell r="DT44">
            <v>110</v>
          </cell>
          <cell r="DU44">
            <v>110</v>
          </cell>
          <cell r="DV44">
            <v>0</v>
          </cell>
          <cell r="DW44">
            <v>110</v>
          </cell>
          <cell r="DX44">
            <v>110</v>
          </cell>
          <cell r="DY44">
            <v>200</v>
          </cell>
          <cell r="DZ44">
            <v>210</v>
          </cell>
          <cell r="EA44">
            <v>200</v>
          </cell>
          <cell r="EB44">
            <v>210</v>
          </cell>
          <cell r="EC44">
            <v>130</v>
          </cell>
          <cell r="ED44">
            <v>130</v>
          </cell>
          <cell r="EE44">
            <v>120</v>
          </cell>
          <cell r="EF44">
            <v>120</v>
          </cell>
          <cell r="EG44">
            <v>120</v>
          </cell>
          <cell r="EH44">
            <v>160</v>
          </cell>
          <cell r="EI44">
            <v>150</v>
          </cell>
          <cell r="EJ44">
            <v>150</v>
          </cell>
          <cell r="EK44">
            <v>150</v>
          </cell>
          <cell r="EL44">
            <v>130</v>
          </cell>
          <cell r="EM44">
            <v>120</v>
          </cell>
          <cell r="EN44">
            <v>120</v>
          </cell>
          <cell r="EO44">
            <v>120</v>
          </cell>
          <cell r="EP44">
            <v>90</v>
          </cell>
          <cell r="EQ44">
            <v>90</v>
          </cell>
          <cell r="ER44">
            <v>90</v>
          </cell>
          <cell r="ES44">
            <v>90</v>
          </cell>
          <cell r="ET44">
            <v>90</v>
          </cell>
          <cell r="EU44">
            <v>160</v>
          </cell>
          <cell r="EV44">
            <v>160</v>
          </cell>
          <cell r="EW44">
            <v>170</v>
          </cell>
          <cell r="EX44">
            <v>0</v>
          </cell>
          <cell r="EY44">
            <v>100</v>
          </cell>
          <cell r="EZ44">
            <v>110</v>
          </cell>
          <cell r="FA44">
            <v>120</v>
          </cell>
          <cell r="FB44">
            <v>100</v>
          </cell>
          <cell r="FC44">
            <v>100</v>
          </cell>
          <cell r="FD44">
            <v>100</v>
          </cell>
          <cell r="FE44">
            <v>100</v>
          </cell>
          <cell r="FF44">
            <v>50</v>
          </cell>
          <cell r="FG44">
            <v>100</v>
          </cell>
          <cell r="FH44">
            <v>0</v>
          </cell>
          <cell r="FI44">
            <v>100</v>
          </cell>
          <cell r="FJ44">
            <v>80</v>
          </cell>
          <cell r="FK44">
            <v>80</v>
          </cell>
          <cell r="FL44">
            <v>140</v>
          </cell>
          <cell r="FM44">
            <v>140</v>
          </cell>
          <cell r="FN44">
            <v>140</v>
          </cell>
          <cell r="FO44">
            <v>0</v>
          </cell>
          <cell r="FP44">
            <v>140</v>
          </cell>
          <cell r="FQ44">
            <v>150</v>
          </cell>
          <cell r="FR44">
            <v>150</v>
          </cell>
          <cell r="FS44">
            <v>140</v>
          </cell>
          <cell r="FT44">
            <v>148</v>
          </cell>
          <cell r="FU44">
            <v>144</v>
          </cell>
          <cell r="FV44">
            <v>144</v>
          </cell>
          <cell r="FW44">
            <v>0</v>
          </cell>
          <cell r="FX44">
            <v>144</v>
          </cell>
          <cell r="FY44">
            <v>96</v>
          </cell>
          <cell r="FZ44">
            <v>78</v>
          </cell>
          <cell r="GA44">
            <v>78</v>
          </cell>
          <cell r="GB44">
            <v>150</v>
          </cell>
          <cell r="GC44">
            <v>150</v>
          </cell>
          <cell r="GD44">
            <v>144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</row>
        <row r="45">
          <cell r="D45" t="str">
            <v>10月 B/O</v>
          </cell>
          <cell r="E45">
            <v>0</v>
          </cell>
          <cell r="F45">
            <v>0</v>
          </cell>
          <cell r="G45" t="str">
            <v>CUM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70</v>
          </cell>
          <cell r="U45">
            <v>500</v>
          </cell>
          <cell r="V45">
            <v>1130</v>
          </cell>
          <cell r="W45">
            <v>1550</v>
          </cell>
          <cell r="X45">
            <v>2260</v>
          </cell>
          <cell r="Y45">
            <v>2700</v>
          </cell>
          <cell r="Z45">
            <v>3520</v>
          </cell>
          <cell r="AA45">
            <v>4140</v>
          </cell>
          <cell r="AB45">
            <v>4750</v>
          </cell>
          <cell r="AC45">
            <v>5240</v>
          </cell>
          <cell r="AD45">
            <v>5690</v>
          </cell>
          <cell r="AE45">
            <v>6180</v>
          </cell>
          <cell r="AF45">
            <v>6610</v>
          </cell>
          <cell r="AG45">
            <v>6960</v>
          </cell>
          <cell r="AH45">
            <v>7320</v>
          </cell>
          <cell r="AI45">
            <v>7740</v>
          </cell>
          <cell r="AJ45">
            <v>8320</v>
          </cell>
          <cell r="AK45">
            <v>8900</v>
          </cell>
          <cell r="AL45">
            <v>9302</v>
          </cell>
          <cell r="AM45">
            <v>9596</v>
          </cell>
          <cell r="AN45">
            <v>9596</v>
          </cell>
          <cell r="AO45">
            <v>9596</v>
          </cell>
          <cell r="AP45">
            <v>9596</v>
          </cell>
          <cell r="AQ45">
            <v>9596</v>
          </cell>
          <cell r="AR45">
            <v>9596</v>
          </cell>
          <cell r="AS45">
            <v>9596</v>
          </cell>
          <cell r="AT45">
            <v>9596</v>
          </cell>
          <cell r="AU45">
            <v>9596</v>
          </cell>
          <cell r="AV45">
            <v>9596</v>
          </cell>
          <cell r="AW45">
            <v>9596</v>
          </cell>
          <cell r="AX45">
            <v>9596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</v>
          </cell>
          <cell r="DA45">
            <v>50</v>
          </cell>
          <cell r="DB45">
            <v>70</v>
          </cell>
          <cell r="DC45">
            <v>180</v>
          </cell>
          <cell r="DD45">
            <v>290</v>
          </cell>
          <cell r="DE45">
            <v>400</v>
          </cell>
          <cell r="DF45">
            <v>500</v>
          </cell>
          <cell r="DG45">
            <v>660</v>
          </cell>
          <cell r="DH45">
            <v>820</v>
          </cell>
          <cell r="DI45">
            <v>980</v>
          </cell>
          <cell r="DJ45">
            <v>980</v>
          </cell>
          <cell r="DK45">
            <v>1130</v>
          </cell>
          <cell r="DL45">
            <v>1240</v>
          </cell>
          <cell r="DM45">
            <v>1350</v>
          </cell>
          <cell r="DN45">
            <v>1450</v>
          </cell>
          <cell r="DO45">
            <v>1550</v>
          </cell>
          <cell r="DP45">
            <v>1720</v>
          </cell>
          <cell r="DQ45">
            <v>1900</v>
          </cell>
          <cell r="DR45">
            <v>2080</v>
          </cell>
          <cell r="DS45">
            <v>2260</v>
          </cell>
          <cell r="DT45">
            <v>2370</v>
          </cell>
          <cell r="DU45">
            <v>2480</v>
          </cell>
          <cell r="DV45">
            <v>2480</v>
          </cell>
          <cell r="DW45">
            <v>2590</v>
          </cell>
          <cell r="DX45">
            <v>2700</v>
          </cell>
          <cell r="DY45">
            <v>2900</v>
          </cell>
          <cell r="DZ45">
            <v>3110</v>
          </cell>
          <cell r="EA45">
            <v>3310</v>
          </cell>
          <cell r="EB45">
            <v>3520</v>
          </cell>
          <cell r="EC45">
            <v>3650</v>
          </cell>
          <cell r="ED45">
            <v>3780</v>
          </cell>
          <cell r="EE45">
            <v>3900</v>
          </cell>
          <cell r="EF45">
            <v>4020</v>
          </cell>
          <cell r="EG45">
            <v>4140</v>
          </cell>
          <cell r="EH45">
            <v>4300</v>
          </cell>
          <cell r="EI45">
            <v>4450</v>
          </cell>
          <cell r="EJ45">
            <v>4600</v>
          </cell>
          <cell r="EK45">
            <v>4750</v>
          </cell>
          <cell r="EL45">
            <v>4880</v>
          </cell>
          <cell r="EM45">
            <v>5000</v>
          </cell>
          <cell r="EN45">
            <v>5120</v>
          </cell>
          <cell r="EO45">
            <v>5240</v>
          </cell>
          <cell r="EP45">
            <v>5330</v>
          </cell>
          <cell r="EQ45">
            <v>5420</v>
          </cell>
          <cell r="ER45">
            <v>5510</v>
          </cell>
          <cell r="ES45">
            <v>5600</v>
          </cell>
          <cell r="ET45">
            <v>5690</v>
          </cell>
          <cell r="EU45">
            <v>5850</v>
          </cell>
          <cell r="EV45">
            <v>6010</v>
          </cell>
          <cell r="EW45">
            <v>6180</v>
          </cell>
          <cell r="EX45">
            <v>6180</v>
          </cell>
          <cell r="EY45">
            <v>6280</v>
          </cell>
          <cell r="EZ45">
            <v>6390</v>
          </cell>
          <cell r="FA45">
            <v>6510</v>
          </cell>
          <cell r="FB45">
            <v>6610</v>
          </cell>
          <cell r="FC45">
            <v>6710</v>
          </cell>
          <cell r="FD45">
            <v>6810</v>
          </cell>
          <cell r="FE45">
            <v>6910</v>
          </cell>
          <cell r="FF45">
            <v>6960</v>
          </cell>
          <cell r="FG45">
            <v>7060</v>
          </cell>
          <cell r="FH45">
            <v>7060</v>
          </cell>
          <cell r="FI45">
            <v>7160</v>
          </cell>
          <cell r="FJ45">
            <v>7240</v>
          </cell>
          <cell r="FK45">
            <v>7320</v>
          </cell>
          <cell r="FL45">
            <v>7460</v>
          </cell>
          <cell r="FM45">
            <v>7600</v>
          </cell>
          <cell r="FN45">
            <v>7740</v>
          </cell>
          <cell r="FO45">
            <v>7740</v>
          </cell>
          <cell r="FP45">
            <v>7880</v>
          </cell>
          <cell r="FQ45">
            <v>8030</v>
          </cell>
          <cell r="FR45">
            <v>8180</v>
          </cell>
          <cell r="FS45">
            <v>8320</v>
          </cell>
          <cell r="FT45">
            <v>8468</v>
          </cell>
          <cell r="FU45">
            <v>8612</v>
          </cell>
          <cell r="FV45">
            <v>8756</v>
          </cell>
          <cell r="FW45">
            <v>8756</v>
          </cell>
          <cell r="FX45">
            <v>8900</v>
          </cell>
          <cell r="FY45">
            <v>8996</v>
          </cell>
          <cell r="FZ45">
            <v>9074</v>
          </cell>
          <cell r="GA45">
            <v>9152</v>
          </cell>
          <cell r="GB45">
            <v>9302</v>
          </cell>
          <cell r="GC45">
            <v>9452</v>
          </cell>
          <cell r="GD45">
            <v>9596</v>
          </cell>
          <cell r="GE45">
            <v>9596</v>
          </cell>
          <cell r="GF45">
            <v>9596</v>
          </cell>
          <cell r="GG45">
            <v>9596</v>
          </cell>
          <cell r="GH45">
            <v>9596</v>
          </cell>
          <cell r="GI45">
            <v>9596</v>
          </cell>
          <cell r="GJ45">
            <v>9596</v>
          </cell>
          <cell r="GK45">
            <v>9596</v>
          </cell>
          <cell r="GL45">
            <v>9596</v>
          </cell>
          <cell r="GM45">
            <v>9596</v>
          </cell>
          <cell r="GN45">
            <v>9596</v>
          </cell>
          <cell r="GO45">
            <v>9596</v>
          </cell>
          <cell r="GP45">
            <v>9596</v>
          </cell>
          <cell r="GQ45">
            <v>9596</v>
          </cell>
          <cell r="GR45">
            <v>9596</v>
          </cell>
          <cell r="GS45">
            <v>9596</v>
          </cell>
          <cell r="GT45">
            <v>9596</v>
          </cell>
          <cell r="GU45">
            <v>9596</v>
          </cell>
          <cell r="GV45">
            <v>9596</v>
          </cell>
          <cell r="GW45">
            <v>9596</v>
          </cell>
          <cell r="GX45">
            <v>9596</v>
          </cell>
          <cell r="GY45">
            <v>9596</v>
          </cell>
          <cell r="GZ45">
            <v>9596</v>
          </cell>
          <cell r="HA45">
            <v>9596</v>
          </cell>
        </row>
        <row r="46">
          <cell r="D46" t="str">
            <v>82115-F2Y40</v>
          </cell>
          <cell r="E46" t="str">
            <v>AT10</v>
          </cell>
          <cell r="F46" t="str">
            <v>B02</v>
          </cell>
          <cell r="G46" t="str">
            <v>QTY</v>
          </cell>
          <cell r="H46">
            <v>930</v>
          </cell>
          <cell r="I46">
            <v>540</v>
          </cell>
          <cell r="J46">
            <v>290</v>
          </cell>
          <cell r="K46">
            <v>0</v>
          </cell>
          <cell r="L46">
            <v>0</v>
          </cell>
          <cell r="M46">
            <v>560</v>
          </cell>
          <cell r="N46">
            <v>550</v>
          </cell>
          <cell r="O46">
            <v>400</v>
          </cell>
          <cell r="P46">
            <v>650</v>
          </cell>
          <cell r="Q46">
            <v>650</v>
          </cell>
          <cell r="R46">
            <v>0</v>
          </cell>
          <cell r="S46">
            <v>0</v>
          </cell>
          <cell r="T46">
            <v>30</v>
          </cell>
          <cell r="U46">
            <v>120</v>
          </cell>
          <cell r="V46">
            <v>170</v>
          </cell>
          <cell r="W46">
            <v>170</v>
          </cell>
          <cell r="X46">
            <v>120</v>
          </cell>
          <cell r="Y46">
            <v>70</v>
          </cell>
          <cell r="Z46">
            <v>80</v>
          </cell>
          <cell r="AA46">
            <v>80</v>
          </cell>
          <cell r="AB46">
            <v>120</v>
          </cell>
          <cell r="AC46">
            <v>130</v>
          </cell>
          <cell r="AD46">
            <v>60</v>
          </cell>
          <cell r="AE46">
            <v>70</v>
          </cell>
          <cell r="AF46">
            <v>50</v>
          </cell>
          <cell r="AG46">
            <v>36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680</v>
          </cell>
          <cell r="AZ46">
            <v>230</v>
          </cell>
          <cell r="BA46">
            <v>230</v>
          </cell>
          <cell r="BB46">
            <v>230</v>
          </cell>
          <cell r="BC46">
            <v>140</v>
          </cell>
          <cell r="BD46">
            <v>140</v>
          </cell>
          <cell r="BE46">
            <v>130</v>
          </cell>
          <cell r="BF46">
            <v>130</v>
          </cell>
          <cell r="BG46">
            <v>80</v>
          </cell>
          <cell r="BH46">
            <v>70</v>
          </cell>
          <cell r="BI46">
            <v>70</v>
          </cell>
          <cell r="BJ46">
            <v>70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140</v>
          </cell>
          <cell r="BU46">
            <v>140</v>
          </cell>
          <cell r="BV46">
            <v>0</v>
          </cell>
          <cell r="BW46">
            <v>140</v>
          </cell>
          <cell r="BX46">
            <v>140</v>
          </cell>
          <cell r="BY46">
            <v>140</v>
          </cell>
          <cell r="BZ46">
            <v>140</v>
          </cell>
          <cell r="CA46">
            <v>140</v>
          </cell>
          <cell r="CB46">
            <v>130</v>
          </cell>
          <cell r="CC46">
            <v>100</v>
          </cell>
          <cell r="CD46">
            <v>100</v>
          </cell>
          <cell r="CE46">
            <v>100</v>
          </cell>
          <cell r="CF46">
            <v>100</v>
          </cell>
          <cell r="CG46">
            <v>130</v>
          </cell>
          <cell r="CH46">
            <v>130</v>
          </cell>
          <cell r="CI46">
            <v>130</v>
          </cell>
          <cell r="CJ46">
            <v>130</v>
          </cell>
          <cell r="CK46">
            <v>130</v>
          </cell>
          <cell r="CL46">
            <v>130</v>
          </cell>
          <cell r="CM46">
            <v>130</v>
          </cell>
          <cell r="CN46">
            <v>140</v>
          </cell>
          <cell r="CO46">
            <v>140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10</v>
          </cell>
          <cell r="DA46">
            <v>10</v>
          </cell>
          <cell r="DB46">
            <v>10</v>
          </cell>
          <cell r="DC46">
            <v>30</v>
          </cell>
          <cell r="DD46">
            <v>30</v>
          </cell>
          <cell r="DE46">
            <v>30</v>
          </cell>
          <cell r="DF46">
            <v>30</v>
          </cell>
          <cell r="DG46">
            <v>40</v>
          </cell>
          <cell r="DH46">
            <v>40</v>
          </cell>
          <cell r="DI46">
            <v>40</v>
          </cell>
          <cell r="DJ46">
            <v>0</v>
          </cell>
          <cell r="DK46">
            <v>50</v>
          </cell>
          <cell r="DL46">
            <v>40</v>
          </cell>
          <cell r="DM46">
            <v>50</v>
          </cell>
          <cell r="DN46">
            <v>40</v>
          </cell>
          <cell r="DO46">
            <v>40</v>
          </cell>
          <cell r="DP46">
            <v>30</v>
          </cell>
          <cell r="DQ46">
            <v>30</v>
          </cell>
          <cell r="DR46">
            <v>30</v>
          </cell>
          <cell r="DS46">
            <v>30</v>
          </cell>
          <cell r="DT46">
            <v>10</v>
          </cell>
          <cell r="DU46">
            <v>20</v>
          </cell>
          <cell r="DV46">
            <v>2</v>
          </cell>
          <cell r="DW46">
            <v>20</v>
          </cell>
          <cell r="DX46">
            <v>20</v>
          </cell>
          <cell r="DY46">
            <v>20</v>
          </cell>
          <cell r="DZ46">
            <v>20</v>
          </cell>
          <cell r="EA46">
            <v>20</v>
          </cell>
          <cell r="EB46">
            <v>20</v>
          </cell>
          <cell r="EC46">
            <v>20</v>
          </cell>
          <cell r="ED46">
            <v>20</v>
          </cell>
          <cell r="EE46">
            <v>20</v>
          </cell>
          <cell r="EF46">
            <v>10</v>
          </cell>
          <cell r="EG46">
            <v>10</v>
          </cell>
          <cell r="EH46">
            <v>30</v>
          </cell>
          <cell r="EI46">
            <v>30</v>
          </cell>
          <cell r="EJ46">
            <v>30</v>
          </cell>
          <cell r="EK46">
            <v>30</v>
          </cell>
          <cell r="EL46">
            <v>40</v>
          </cell>
          <cell r="EM46">
            <v>30</v>
          </cell>
          <cell r="EN46">
            <v>30</v>
          </cell>
          <cell r="EO46">
            <v>30</v>
          </cell>
          <cell r="EP46">
            <v>0</v>
          </cell>
          <cell r="EQ46">
            <v>20</v>
          </cell>
          <cell r="ER46">
            <v>20</v>
          </cell>
          <cell r="ES46">
            <v>10</v>
          </cell>
          <cell r="ET46">
            <v>10</v>
          </cell>
          <cell r="EU46">
            <v>20</v>
          </cell>
          <cell r="EV46">
            <v>30</v>
          </cell>
          <cell r="EW46">
            <v>20</v>
          </cell>
          <cell r="EX46">
            <v>0</v>
          </cell>
          <cell r="EY46">
            <v>20</v>
          </cell>
          <cell r="EZ46">
            <v>10</v>
          </cell>
          <cell r="FA46">
            <v>20</v>
          </cell>
          <cell r="FB46">
            <v>0</v>
          </cell>
          <cell r="FC46">
            <v>10</v>
          </cell>
          <cell r="FD46">
            <v>0</v>
          </cell>
          <cell r="FE46">
            <v>0</v>
          </cell>
          <cell r="FF46">
            <v>26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</row>
        <row r="47">
          <cell r="D47" t="str">
            <v>B/O</v>
          </cell>
          <cell r="E47">
            <v>0</v>
          </cell>
          <cell r="F47">
            <v>0</v>
          </cell>
          <cell r="G47" t="str">
            <v>CUM</v>
          </cell>
          <cell r="H47">
            <v>11864</v>
          </cell>
          <cell r="I47">
            <v>12404</v>
          </cell>
          <cell r="J47">
            <v>12694</v>
          </cell>
          <cell r="K47">
            <v>0</v>
          </cell>
          <cell r="L47">
            <v>0</v>
          </cell>
          <cell r="M47">
            <v>560</v>
          </cell>
          <cell r="N47">
            <v>1110</v>
          </cell>
          <cell r="O47">
            <v>1510</v>
          </cell>
          <cell r="P47">
            <v>2160</v>
          </cell>
          <cell r="Q47">
            <v>0</v>
          </cell>
          <cell r="R47">
            <v>0</v>
          </cell>
          <cell r="S47">
            <v>0</v>
          </cell>
          <cell r="T47">
            <v>30</v>
          </cell>
          <cell r="U47">
            <v>150</v>
          </cell>
          <cell r="V47">
            <v>320</v>
          </cell>
          <cell r="W47">
            <v>490</v>
          </cell>
          <cell r="X47">
            <v>610</v>
          </cell>
          <cell r="Y47">
            <v>680</v>
          </cell>
          <cell r="Z47">
            <v>760</v>
          </cell>
          <cell r="AA47">
            <v>840</v>
          </cell>
          <cell r="AB47">
            <v>960</v>
          </cell>
          <cell r="AC47">
            <v>1090</v>
          </cell>
          <cell r="AD47">
            <v>1150</v>
          </cell>
          <cell r="AE47">
            <v>1220</v>
          </cell>
          <cell r="AF47">
            <v>1270</v>
          </cell>
          <cell r="AG47">
            <v>1306</v>
          </cell>
          <cell r="AH47">
            <v>1306</v>
          </cell>
          <cell r="AI47">
            <v>1308</v>
          </cell>
          <cell r="AJ47">
            <v>1308</v>
          </cell>
          <cell r="AK47">
            <v>1308</v>
          </cell>
          <cell r="AL47">
            <v>1308</v>
          </cell>
          <cell r="AM47">
            <v>1308</v>
          </cell>
          <cell r="AN47">
            <v>1308</v>
          </cell>
          <cell r="AO47">
            <v>1308</v>
          </cell>
          <cell r="AP47">
            <v>1308</v>
          </cell>
          <cell r="AQ47">
            <v>1308</v>
          </cell>
          <cell r="AR47">
            <v>1308</v>
          </cell>
          <cell r="AS47">
            <v>1308</v>
          </cell>
          <cell r="AT47">
            <v>1308</v>
          </cell>
          <cell r="AU47">
            <v>1308</v>
          </cell>
          <cell r="AV47">
            <v>1308</v>
          </cell>
          <cell r="AW47">
            <v>1308</v>
          </cell>
          <cell r="AX47">
            <v>1308</v>
          </cell>
          <cell r="AY47">
            <v>11174</v>
          </cell>
          <cell r="AZ47">
            <v>11404</v>
          </cell>
          <cell r="BA47">
            <v>11634</v>
          </cell>
          <cell r="BB47">
            <v>11864</v>
          </cell>
          <cell r="BC47">
            <v>12004</v>
          </cell>
          <cell r="BD47">
            <v>12144</v>
          </cell>
          <cell r="BE47">
            <v>12274</v>
          </cell>
          <cell r="BF47">
            <v>12404</v>
          </cell>
          <cell r="BG47">
            <v>12484</v>
          </cell>
          <cell r="BH47">
            <v>12554</v>
          </cell>
          <cell r="BI47">
            <v>12624</v>
          </cell>
          <cell r="BJ47">
            <v>12694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140</v>
          </cell>
          <cell r="BU47">
            <v>280</v>
          </cell>
          <cell r="BV47">
            <v>280</v>
          </cell>
          <cell r="BW47">
            <v>420</v>
          </cell>
          <cell r="BX47">
            <v>560</v>
          </cell>
          <cell r="BY47">
            <v>700</v>
          </cell>
          <cell r="BZ47">
            <v>840</v>
          </cell>
          <cell r="CA47">
            <v>980</v>
          </cell>
          <cell r="CB47">
            <v>1110</v>
          </cell>
          <cell r="CC47">
            <v>1210</v>
          </cell>
          <cell r="CD47">
            <v>1310</v>
          </cell>
          <cell r="CE47">
            <v>1410</v>
          </cell>
          <cell r="CF47">
            <v>1510</v>
          </cell>
          <cell r="CG47">
            <v>1640</v>
          </cell>
          <cell r="CH47">
            <v>1770</v>
          </cell>
          <cell r="CI47">
            <v>1900</v>
          </cell>
          <cell r="CJ47">
            <v>2030</v>
          </cell>
          <cell r="CK47">
            <v>2160</v>
          </cell>
          <cell r="CL47">
            <v>2290</v>
          </cell>
          <cell r="CM47">
            <v>2420</v>
          </cell>
          <cell r="CN47">
            <v>2560</v>
          </cell>
          <cell r="CO47">
            <v>2700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10</v>
          </cell>
          <cell r="DA47">
            <v>20</v>
          </cell>
          <cell r="DB47">
            <v>30</v>
          </cell>
          <cell r="DC47">
            <v>60</v>
          </cell>
          <cell r="DD47">
            <v>90</v>
          </cell>
          <cell r="DE47">
            <v>120</v>
          </cell>
          <cell r="DF47">
            <v>150</v>
          </cell>
          <cell r="DG47">
            <v>190</v>
          </cell>
          <cell r="DH47">
            <v>230</v>
          </cell>
          <cell r="DI47">
            <v>270</v>
          </cell>
          <cell r="DJ47">
            <v>270</v>
          </cell>
          <cell r="DK47">
            <v>320</v>
          </cell>
          <cell r="DL47">
            <v>360</v>
          </cell>
          <cell r="DM47">
            <v>410</v>
          </cell>
          <cell r="DN47">
            <v>450</v>
          </cell>
          <cell r="DO47">
            <v>490</v>
          </cell>
          <cell r="DP47">
            <v>520</v>
          </cell>
          <cell r="DQ47">
            <v>550</v>
          </cell>
          <cell r="DR47">
            <v>580</v>
          </cell>
          <cell r="DS47">
            <v>610</v>
          </cell>
          <cell r="DT47">
            <v>620</v>
          </cell>
          <cell r="DU47">
            <v>640</v>
          </cell>
          <cell r="DV47">
            <v>642</v>
          </cell>
          <cell r="DW47">
            <v>662</v>
          </cell>
          <cell r="DX47">
            <v>682</v>
          </cell>
          <cell r="DY47">
            <v>702</v>
          </cell>
          <cell r="DZ47">
            <v>722</v>
          </cell>
          <cell r="EA47">
            <v>742</v>
          </cell>
          <cell r="EB47">
            <v>762</v>
          </cell>
          <cell r="EC47">
            <v>782</v>
          </cell>
          <cell r="ED47">
            <v>802</v>
          </cell>
          <cell r="EE47">
            <v>822</v>
          </cell>
          <cell r="EF47">
            <v>832</v>
          </cell>
          <cell r="EG47">
            <v>842</v>
          </cell>
          <cell r="EH47">
            <v>872</v>
          </cell>
          <cell r="EI47">
            <v>902</v>
          </cell>
          <cell r="EJ47">
            <v>932</v>
          </cell>
          <cell r="EK47">
            <v>962</v>
          </cell>
          <cell r="EL47">
            <v>1002</v>
          </cell>
          <cell r="EM47">
            <v>1032</v>
          </cell>
          <cell r="EN47">
            <v>1062</v>
          </cell>
          <cell r="EO47">
            <v>1092</v>
          </cell>
          <cell r="EP47">
            <v>1092</v>
          </cell>
          <cell r="EQ47">
            <v>1112</v>
          </cell>
          <cell r="ER47">
            <v>1132</v>
          </cell>
          <cell r="ES47">
            <v>1142</v>
          </cell>
          <cell r="ET47">
            <v>1152</v>
          </cell>
          <cell r="EU47">
            <v>1172</v>
          </cell>
          <cell r="EV47">
            <v>1202</v>
          </cell>
          <cell r="EW47">
            <v>1222</v>
          </cell>
          <cell r="EX47">
            <v>1222</v>
          </cell>
          <cell r="EY47">
            <v>1242</v>
          </cell>
          <cell r="EZ47">
            <v>1252</v>
          </cell>
          <cell r="FA47">
            <v>1272</v>
          </cell>
          <cell r="FB47">
            <v>1272</v>
          </cell>
          <cell r="FC47">
            <v>1282</v>
          </cell>
          <cell r="FD47">
            <v>1282</v>
          </cell>
          <cell r="FE47">
            <v>1282</v>
          </cell>
          <cell r="FF47">
            <v>1308</v>
          </cell>
          <cell r="FG47">
            <v>1308</v>
          </cell>
          <cell r="FH47">
            <v>1308</v>
          </cell>
          <cell r="FI47">
            <v>1308</v>
          </cell>
          <cell r="FJ47">
            <v>1308</v>
          </cell>
          <cell r="FK47">
            <v>1308</v>
          </cell>
          <cell r="FL47">
            <v>1308</v>
          </cell>
          <cell r="FM47">
            <v>1308</v>
          </cell>
          <cell r="FN47">
            <v>1308</v>
          </cell>
          <cell r="FO47">
            <v>1308</v>
          </cell>
          <cell r="FP47">
            <v>1308</v>
          </cell>
          <cell r="FQ47">
            <v>1308</v>
          </cell>
          <cell r="FR47">
            <v>1308</v>
          </cell>
          <cell r="FS47">
            <v>1308</v>
          </cell>
          <cell r="FT47">
            <v>1308</v>
          </cell>
          <cell r="FU47">
            <v>1308</v>
          </cell>
          <cell r="FV47">
            <v>1308</v>
          </cell>
          <cell r="FW47">
            <v>1308</v>
          </cell>
          <cell r="FX47">
            <v>1308</v>
          </cell>
          <cell r="FY47">
            <v>1308</v>
          </cell>
          <cell r="FZ47">
            <v>1308</v>
          </cell>
          <cell r="GA47">
            <v>1308</v>
          </cell>
          <cell r="GB47">
            <v>1308</v>
          </cell>
          <cell r="GC47">
            <v>1308</v>
          </cell>
          <cell r="GD47">
            <v>1308</v>
          </cell>
          <cell r="GE47">
            <v>1308</v>
          </cell>
          <cell r="GF47">
            <v>1308</v>
          </cell>
          <cell r="GG47">
            <v>1308</v>
          </cell>
          <cell r="GH47">
            <v>1308</v>
          </cell>
          <cell r="GI47">
            <v>1308</v>
          </cell>
          <cell r="GJ47">
            <v>1308</v>
          </cell>
          <cell r="GK47">
            <v>1308</v>
          </cell>
          <cell r="GL47">
            <v>1308</v>
          </cell>
          <cell r="GM47">
            <v>1308</v>
          </cell>
          <cell r="GN47">
            <v>1308</v>
          </cell>
          <cell r="GO47">
            <v>1308</v>
          </cell>
          <cell r="GP47">
            <v>1308</v>
          </cell>
          <cell r="GQ47">
            <v>1308</v>
          </cell>
          <cell r="GR47">
            <v>1308</v>
          </cell>
          <cell r="GS47">
            <v>1308</v>
          </cell>
          <cell r="GT47">
            <v>1308</v>
          </cell>
          <cell r="GU47">
            <v>1308</v>
          </cell>
          <cell r="GV47">
            <v>1308</v>
          </cell>
          <cell r="GW47">
            <v>1308</v>
          </cell>
          <cell r="GX47">
            <v>1308</v>
          </cell>
          <cell r="GY47">
            <v>1308</v>
          </cell>
          <cell r="GZ47">
            <v>1308</v>
          </cell>
          <cell r="HA47">
            <v>1308</v>
          </cell>
        </row>
        <row r="48">
          <cell r="D48" t="str">
            <v>82111-FET00</v>
          </cell>
          <cell r="E48" t="str">
            <v>AT10</v>
          </cell>
          <cell r="F48" t="str">
            <v>A01</v>
          </cell>
          <cell r="G48" t="str">
            <v>QTY</v>
          </cell>
          <cell r="H48">
            <v>1308</v>
          </cell>
          <cell r="I48">
            <v>1308</v>
          </cell>
          <cell r="J48">
            <v>1308</v>
          </cell>
          <cell r="K48">
            <v>1308</v>
          </cell>
          <cell r="L48">
            <v>1308</v>
          </cell>
          <cell r="M48">
            <v>1308</v>
          </cell>
          <cell r="N48">
            <v>1308</v>
          </cell>
          <cell r="O48">
            <v>1308</v>
          </cell>
          <cell r="P48">
            <v>1308</v>
          </cell>
          <cell r="Q48">
            <v>1308</v>
          </cell>
          <cell r="R48">
            <v>1308</v>
          </cell>
          <cell r="S48">
            <v>1308</v>
          </cell>
          <cell r="T48">
            <v>1308</v>
          </cell>
          <cell r="U48">
            <v>1308</v>
          </cell>
          <cell r="V48">
            <v>1308</v>
          </cell>
          <cell r="W48">
            <v>1308</v>
          </cell>
          <cell r="X48">
            <v>1308</v>
          </cell>
          <cell r="Y48">
            <v>1308</v>
          </cell>
          <cell r="Z48">
            <v>1308</v>
          </cell>
          <cell r="AA48">
            <v>1308</v>
          </cell>
          <cell r="AB48">
            <v>1308</v>
          </cell>
          <cell r="AC48">
            <v>0</v>
          </cell>
          <cell r="AD48">
            <v>0</v>
          </cell>
          <cell r="AE48">
            <v>0</v>
          </cell>
          <cell r="AF48">
            <v>2</v>
          </cell>
          <cell r="AG48">
            <v>0</v>
          </cell>
          <cell r="AH48">
            <v>370</v>
          </cell>
          <cell r="AI48">
            <v>270</v>
          </cell>
          <cell r="AJ48">
            <v>340</v>
          </cell>
          <cell r="AK48">
            <v>222</v>
          </cell>
          <cell r="AL48">
            <v>174</v>
          </cell>
          <cell r="AM48">
            <v>318</v>
          </cell>
          <cell r="AN48">
            <v>480</v>
          </cell>
          <cell r="AO48">
            <v>408</v>
          </cell>
          <cell r="AP48">
            <v>348</v>
          </cell>
          <cell r="AQ48">
            <v>156</v>
          </cell>
          <cell r="AR48">
            <v>114</v>
          </cell>
          <cell r="AS48">
            <v>90</v>
          </cell>
          <cell r="AT48">
            <v>168</v>
          </cell>
          <cell r="AU48">
            <v>252</v>
          </cell>
          <cell r="AV48">
            <v>216</v>
          </cell>
          <cell r="AW48">
            <v>222</v>
          </cell>
          <cell r="AX48">
            <v>258</v>
          </cell>
          <cell r="AY48">
            <v>258</v>
          </cell>
          <cell r="AZ48">
            <v>258</v>
          </cell>
          <cell r="BA48">
            <v>258</v>
          </cell>
          <cell r="BB48">
            <v>258</v>
          </cell>
          <cell r="BC48">
            <v>258</v>
          </cell>
          <cell r="BD48">
            <v>258</v>
          </cell>
          <cell r="BE48">
            <v>258</v>
          </cell>
          <cell r="BF48">
            <v>258</v>
          </cell>
          <cell r="BG48">
            <v>258</v>
          </cell>
          <cell r="BH48">
            <v>258</v>
          </cell>
          <cell r="BI48">
            <v>258</v>
          </cell>
          <cell r="BJ48">
            <v>258</v>
          </cell>
          <cell r="BK48">
            <v>258</v>
          </cell>
          <cell r="BL48">
            <v>258</v>
          </cell>
          <cell r="BM48">
            <v>258</v>
          </cell>
          <cell r="BN48">
            <v>258</v>
          </cell>
          <cell r="BO48">
            <v>258</v>
          </cell>
          <cell r="BP48">
            <v>258</v>
          </cell>
          <cell r="BQ48">
            <v>258</v>
          </cell>
          <cell r="BR48">
            <v>258</v>
          </cell>
          <cell r="BS48">
            <v>258</v>
          </cell>
          <cell r="BT48">
            <v>258</v>
          </cell>
          <cell r="BU48">
            <v>258</v>
          </cell>
          <cell r="BV48">
            <v>258</v>
          </cell>
          <cell r="BW48">
            <v>258</v>
          </cell>
          <cell r="BX48">
            <v>258</v>
          </cell>
          <cell r="BY48">
            <v>258</v>
          </cell>
          <cell r="BZ48">
            <v>258</v>
          </cell>
          <cell r="CA48">
            <v>258</v>
          </cell>
          <cell r="CB48">
            <v>258</v>
          </cell>
          <cell r="CC48">
            <v>258</v>
          </cell>
          <cell r="CD48">
            <v>258</v>
          </cell>
          <cell r="CE48">
            <v>258</v>
          </cell>
          <cell r="CF48">
            <v>258</v>
          </cell>
          <cell r="CG48">
            <v>258</v>
          </cell>
          <cell r="CH48">
            <v>258</v>
          </cell>
          <cell r="CI48">
            <v>258</v>
          </cell>
          <cell r="CJ48">
            <v>258</v>
          </cell>
          <cell r="CK48">
            <v>258</v>
          </cell>
          <cell r="CL48">
            <v>258</v>
          </cell>
          <cell r="CM48">
            <v>258</v>
          </cell>
          <cell r="CN48">
            <v>258</v>
          </cell>
          <cell r="CO48">
            <v>258</v>
          </cell>
          <cell r="CP48">
            <v>258</v>
          </cell>
          <cell r="CQ48">
            <v>258</v>
          </cell>
          <cell r="CR48">
            <v>258</v>
          </cell>
          <cell r="CS48">
            <v>258</v>
          </cell>
          <cell r="CT48">
            <v>258</v>
          </cell>
          <cell r="CU48">
            <v>258</v>
          </cell>
          <cell r="CV48">
            <v>258</v>
          </cell>
          <cell r="CW48">
            <v>258</v>
          </cell>
          <cell r="CX48">
            <v>258</v>
          </cell>
          <cell r="CY48">
            <v>258</v>
          </cell>
          <cell r="CZ48">
            <v>258</v>
          </cell>
          <cell r="DA48">
            <v>258</v>
          </cell>
          <cell r="DB48">
            <v>258</v>
          </cell>
          <cell r="DC48">
            <v>258</v>
          </cell>
          <cell r="DD48">
            <v>258</v>
          </cell>
          <cell r="DE48">
            <v>258</v>
          </cell>
          <cell r="DF48">
            <v>258</v>
          </cell>
          <cell r="DG48">
            <v>258</v>
          </cell>
          <cell r="DH48">
            <v>258</v>
          </cell>
          <cell r="DI48">
            <v>258</v>
          </cell>
          <cell r="DJ48">
            <v>258</v>
          </cell>
          <cell r="DK48">
            <v>258</v>
          </cell>
          <cell r="DL48">
            <v>258</v>
          </cell>
          <cell r="DM48">
            <v>258</v>
          </cell>
          <cell r="DN48">
            <v>258</v>
          </cell>
          <cell r="DO48">
            <v>258</v>
          </cell>
          <cell r="DP48">
            <v>258</v>
          </cell>
          <cell r="DQ48">
            <v>258</v>
          </cell>
          <cell r="DR48">
            <v>258</v>
          </cell>
          <cell r="DS48">
            <v>258</v>
          </cell>
          <cell r="DT48">
            <v>258</v>
          </cell>
          <cell r="DU48">
            <v>258</v>
          </cell>
          <cell r="DV48">
            <v>258</v>
          </cell>
          <cell r="DW48">
            <v>258</v>
          </cell>
          <cell r="DX48">
            <v>258</v>
          </cell>
          <cell r="DY48">
            <v>258</v>
          </cell>
          <cell r="DZ48">
            <v>258</v>
          </cell>
          <cell r="EA48">
            <v>258</v>
          </cell>
          <cell r="EB48">
            <v>258</v>
          </cell>
          <cell r="EC48">
            <v>258</v>
          </cell>
          <cell r="ED48">
            <v>258</v>
          </cell>
          <cell r="EE48">
            <v>258</v>
          </cell>
          <cell r="EF48">
            <v>258</v>
          </cell>
          <cell r="EG48">
            <v>258</v>
          </cell>
          <cell r="EH48">
            <v>258</v>
          </cell>
          <cell r="EI48">
            <v>258</v>
          </cell>
          <cell r="EJ48">
            <v>258</v>
          </cell>
          <cell r="EK48">
            <v>258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2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100</v>
          </cell>
          <cell r="FH48">
            <v>0</v>
          </cell>
          <cell r="FI48">
            <v>100</v>
          </cell>
          <cell r="FJ48">
            <v>100</v>
          </cell>
          <cell r="FK48">
            <v>70</v>
          </cell>
          <cell r="FL48">
            <v>70</v>
          </cell>
          <cell r="FM48">
            <v>70</v>
          </cell>
          <cell r="FN48">
            <v>100</v>
          </cell>
          <cell r="FO48">
            <v>30</v>
          </cell>
          <cell r="FP48">
            <v>100</v>
          </cell>
          <cell r="FQ48">
            <v>100</v>
          </cell>
          <cell r="FR48">
            <v>100</v>
          </cell>
          <cell r="FS48">
            <v>40</v>
          </cell>
          <cell r="FT48">
            <v>78</v>
          </cell>
          <cell r="FU48">
            <v>72</v>
          </cell>
          <cell r="FV48">
            <v>72</v>
          </cell>
          <cell r="FW48">
            <v>0</v>
          </cell>
          <cell r="FX48">
            <v>0</v>
          </cell>
          <cell r="FY48">
            <v>48</v>
          </cell>
          <cell r="FZ48">
            <v>42</v>
          </cell>
          <cell r="GA48">
            <v>42</v>
          </cell>
          <cell r="GB48">
            <v>42</v>
          </cell>
          <cell r="GC48">
            <v>64</v>
          </cell>
          <cell r="GD48">
            <v>64</v>
          </cell>
          <cell r="GE48">
            <v>64</v>
          </cell>
          <cell r="GF48">
            <v>64</v>
          </cell>
          <cell r="GG48">
            <v>62</v>
          </cell>
          <cell r="GH48">
            <v>120</v>
          </cell>
          <cell r="GI48">
            <v>120</v>
          </cell>
          <cell r="GJ48">
            <v>120</v>
          </cell>
          <cell r="GK48">
            <v>120</v>
          </cell>
          <cell r="GL48">
            <v>102</v>
          </cell>
          <cell r="GM48">
            <v>102</v>
          </cell>
          <cell r="GN48">
            <v>102</v>
          </cell>
          <cell r="GO48">
            <v>102</v>
          </cell>
          <cell r="GP48">
            <v>72</v>
          </cell>
          <cell r="GQ48">
            <v>72</v>
          </cell>
          <cell r="GR48">
            <v>72</v>
          </cell>
          <cell r="GS48">
            <v>66</v>
          </cell>
          <cell r="GT48">
            <v>66</v>
          </cell>
          <cell r="GU48">
            <v>60</v>
          </cell>
          <cell r="GV48">
            <v>60</v>
          </cell>
          <cell r="GW48">
            <v>48</v>
          </cell>
          <cell r="GX48">
            <v>48</v>
          </cell>
          <cell r="GY48">
            <v>30</v>
          </cell>
          <cell r="GZ48">
            <v>30</v>
          </cell>
          <cell r="HA48">
            <v>30</v>
          </cell>
        </row>
        <row r="49">
          <cell r="D49">
            <v>30</v>
          </cell>
          <cell r="E49">
            <v>30</v>
          </cell>
          <cell r="F49">
            <v>30</v>
          </cell>
          <cell r="G49" t="str">
            <v>CUM</v>
          </cell>
          <cell r="H49">
            <v>30</v>
          </cell>
          <cell r="I49">
            <v>30</v>
          </cell>
          <cell r="J49">
            <v>30</v>
          </cell>
          <cell r="K49">
            <v>30</v>
          </cell>
          <cell r="L49">
            <v>30</v>
          </cell>
          <cell r="M49">
            <v>30</v>
          </cell>
          <cell r="N49">
            <v>30</v>
          </cell>
          <cell r="O49">
            <v>30</v>
          </cell>
          <cell r="P49">
            <v>30</v>
          </cell>
          <cell r="Q49">
            <v>30</v>
          </cell>
          <cell r="R49">
            <v>30</v>
          </cell>
          <cell r="S49">
            <v>30</v>
          </cell>
          <cell r="T49">
            <v>30</v>
          </cell>
          <cell r="U49">
            <v>30</v>
          </cell>
          <cell r="V49">
            <v>30</v>
          </cell>
          <cell r="W49">
            <v>30</v>
          </cell>
          <cell r="X49">
            <v>30</v>
          </cell>
          <cell r="Y49">
            <v>30</v>
          </cell>
          <cell r="Z49">
            <v>30</v>
          </cell>
          <cell r="AA49">
            <v>30</v>
          </cell>
          <cell r="AB49">
            <v>30</v>
          </cell>
          <cell r="AC49">
            <v>0</v>
          </cell>
          <cell r="AD49">
            <v>0</v>
          </cell>
          <cell r="AE49">
            <v>0</v>
          </cell>
          <cell r="AF49">
            <v>2</v>
          </cell>
          <cell r="AG49">
            <v>2</v>
          </cell>
          <cell r="AH49">
            <v>372</v>
          </cell>
          <cell r="AI49">
            <v>642</v>
          </cell>
          <cell r="AJ49">
            <v>982</v>
          </cell>
          <cell r="AK49">
            <v>1204</v>
          </cell>
          <cell r="AL49">
            <v>1378</v>
          </cell>
          <cell r="AM49">
            <v>1696</v>
          </cell>
          <cell r="AN49">
            <v>2176</v>
          </cell>
          <cell r="AO49">
            <v>2584</v>
          </cell>
          <cell r="AP49">
            <v>2932</v>
          </cell>
          <cell r="AQ49">
            <v>3088</v>
          </cell>
          <cell r="AR49">
            <v>3202</v>
          </cell>
          <cell r="AS49">
            <v>3292</v>
          </cell>
          <cell r="AT49">
            <v>3460</v>
          </cell>
          <cell r="AU49">
            <v>3712</v>
          </cell>
          <cell r="AV49">
            <v>3928</v>
          </cell>
          <cell r="AW49">
            <v>4150</v>
          </cell>
          <cell r="AX49">
            <v>4408</v>
          </cell>
          <cell r="AY49">
            <v>4408</v>
          </cell>
          <cell r="AZ49">
            <v>4408</v>
          </cell>
          <cell r="BA49">
            <v>4408</v>
          </cell>
          <cell r="BB49">
            <v>4408</v>
          </cell>
          <cell r="BC49">
            <v>4408</v>
          </cell>
          <cell r="BD49">
            <v>4408</v>
          </cell>
          <cell r="BE49">
            <v>4408</v>
          </cell>
          <cell r="BF49">
            <v>4408</v>
          </cell>
          <cell r="BG49">
            <v>4408</v>
          </cell>
          <cell r="BH49">
            <v>4408</v>
          </cell>
          <cell r="BI49">
            <v>4408</v>
          </cell>
          <cell r="BJ49">
            <v>4408</v>
          </cell>
          <cell r="BK49">
            <v>4408</v>
          </cell>
          <cell r="BL49">
            <v>4408</v>
          </cell>
          <cell r="BM49">
            <v>4408</v>
          </cell>
          <cell r="BN49">
            <v>4408</v>
          </cell>
          <cell r="BO49">
            <v>4408</v>
          </cell>
          <cell r="BP49">
            <v>4408</v>
          </cell>
          <cell r="BQ49">
            <v>4408</v>
          </cell>
          <cell r="BR49">
            <v>4408</v>
          </cell>
          <cell r="BS49">
            <v>4408</v>
          </cell>
          <cell r="BT49">
            <v>4408</v>
          </cell>
          <cell r="BU49">
            <v>4408</v>
          </cell>
          <cell r="BV49">
            <v>4408</v>
          </cell>
          <cell r="BW49">
            <v>4408</v>
          </cell>
          <cell r="BX49">
            <v>4408</v>
          </cell>
          <cell r="BY49">
            <v>4408</v>
          </cell>
          <cell r="BZ49">
            <v>4408</v>
          </cell>
          <cell r="CA49">
            <v>4408</v>
          </cell>
          <cell r="CB49">
            <v>4408</v>
          </cell>
          <cell r="CC49">
            <v>4408</v>
          </cell>
          <cell r="CD49">
            <v>4408</v>
          </cell>
          <cell r="CE49">
            <v>4408</v>
          </cell>
          <cell r="CF49">
            <v>4408</v>
          </cell>
          <cell r="CG49">
            <v>4408</v>
          </cell>
          <cell r="CH49">
            <v>4408</v>
          </cell>
          <cell r="CI49">
            <v>4408</v>
          </cell>
          <cell r="CJ49">
            <v>4408</v>
          </cell>
          <cell r="CK49">
            <v>4408</v>
          </cell>
          <cell r="CL49">
            <v>4408</v>
          </cell>
          <cell r="CM49">
            <v>4408</v>
          </cell>
          <cell r="CN49">
            <v>4408</v>
          </cell>
          <cell r="CO49">
            <v>4408</v>
          </cell>
          <cell r="CP49">
            <v>4408</v>
          </cell>
          <cell r="CQ49">
            <v>4408</v>
          </cell>
          <cell r="CR49">
            <v>4408</v>
          </cell>
          <cell r="CS49">
            <v>4408</v>
          </cell>
          <cell r="CT49">
            <v>4408</v>
          </cell>
          <cell r="CU49">
            <v>4408</v>
          </cell>
          <cell r="CV49">
            <v>4408</v>
          </cell>
          <cell r="CW49">
            <v>4408</v>
          </cell>
          <cell r="CX49">
            <v>4408</v>
          </cell>
          <cell r="CY49">
            <v>4408</v>
          </cell>
          <cell r="CZ49">
            <v>4408</v>
          </cell>
          <cell r="DA49">
            <v>4408</v>
          </cell>
          <cell r="DB49">
            <v>4408</v>
          </cell>
          <cell r="DC49">
            <v>4408</v>
          </cell>
          <cell r="DD49">
            <v>4408</v>
          </cell>
          <cell r="DE49">
            <v>4408</v>
          </cell>
          <cell r="DF49">
            <v>4408</v>
          </cell>
          <cell r="DG49">
            <v>4408</v>
          </cell>
          <cell r="DH49">
            <v>4408</v>
          </cell>
          <cell r="DI49">
            <v>4408</v>
          </cell>
          <cell r="DJ49">
            <v>4408</v>
          </cell>
          <cell r="DK49">
            <v>4408</v>
          </cell>
          <cell r="DL49">
            <v>4408</v>
          </cell>
          <cell r="DM49">
            <v>4408</v>
          </cell>
          <cell r="DN49">
            <v>4408</v>
          </cell>
          <cell r="DO49">
            <v>4408</v>
          </cell>
          <cell r="DP49">
            <v>4408</v>
          </cell>
          <cell r="DQ49">
            <v>4408</v>
          </cell>
          <cell r="DR49">
            <v>4408</v>
          </cell>
          <cell r="DS49">
            <v>4408</v>
          </cell>
          <cell r="DT49">
            <v>4408</v>
          </cell>
          <cell r="DU49">
            <v>4408</v>
          </cell>
          <cell r="DV49">
            <v>4408</v>
          </cell>
          <cell r="DW49">
            <v>4408</v>
          </cell>
          <cell r="DX49">
            <v>4408</v>
          </cell>
          <cell r="DY49">
            <v>4408</v>
          </cell>
          <cell r="DZ49">
            <v>4408</v>
          </cell>
          <cell r="EA49">
            <v>4408</v>
          </cell>
          <cell r="EB49">
            <v>4408</v>
          </cell>
          <cell r="EC49">
            <v>4408</v>
          </cell>
          <cell r="ED49">
            <v>4408</v>
          </cell>
          <cell r="EE49">
            <v>4408</v>
          </cell>
          <cell r="EF49">
            <v>4408</v>
          </cell>
          <cell r="EG49">
            <v>4408</v>
          </cell>
          <cell r="EH49">
            <v>4408</v>
          </cell>
          <cell r="EI49">
            <v>4408</v>
          </cell>
          <cell r="EJ49">
            <v>4408</v>
          </cell>
          <cell r="EK49">
            <v>4408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2</v>
          </cell>
          <cell r="FA49">
            <v>2</v>
          </cell>
          <cell r="FB49">
            <v>2</v>
          </cell>
          <cell r="FC49">
            <v>2</v>
          </cell>
          <cell r="FD49">
            <v>2</v>
          </cell>
          <cell r="FE49">
            <v>2</v>
          </cell>
          <cell r="FF49">
            <v>2</v>
          </cell>
          <cell r="FG49">
            <v>102</v>
          </cell>
          <cell r="FH49">
            <v>102</v>
          </cell>
          <cell r="FI49">
            <v>202</v>
          </cell>
          <cell r="FJ49">
            <v>302</v>
          </cell>
          <cell r="FK49">
            <v>372</v>
          </cell>
          <cell r="FL49">
            <v>442</v>
          </cell>
          <cell r="FM49">
            <v>512</v>
          </cell>
          <cell r="FN49">
            <v>612</v>
          </cell>
          <cell r="FO49">
            <v>642</v>
          </cell>
          <cell r="FP49">
            <v>742</v>
          </cell>
          <cell r="FQ49">
            <v>842</v>
          </cell>
          <cell r="FR49">
            <v>942</v>
          </cell>
          <cell r="FS49">
            <v>982</v>
          </cell>
          <cell r="FT49">
            <v>1060</v>
          </cell>
          <cell r="FU49">
            <v>1132</v>
          </cell>
          <cell r="FV49">
            <v>1204</v>
          </cell>
          <cell r="FW49">
            <v>1204</v>
          </cell>
          <cell r="FX49">
            <v>1204</v>
          </cell>
          <cell r="FY49">
            <v>1252</v>
          </cell>
          <cell r="FZ49">
            <v>1294</v>
          </cell>
          <cell r="GA49">
            <v>1336</v>
          </cell>
          <cell r="GB49">
            <v>1378</v>
          </cell>
          <cell r="GC49">
            <v>1442</v>
          </cell>
          <cell r="GD49">
            <v>1506</v>
          </cell>
          <cell r="GE49">
            <v>1570</v>
          </cell>
          <cell r="GF49">
            <v>1634</v>
          </cell>
          <cell r="GG49">
            <v>1696</v>
          </cell>
          <cell r="GH49">
            <v>1816</v>
          </cell>
          <cell r="GI49">
            <v>1936</v>
          </cell>
          <cell r="GJ49">
            <v>2056</v>
          </cell>
          <cell r="GK49">
            <v>2176</v>
          </cell>
          <cell r="GL49">
            <v>2278</v>
          </cell>
          <cell r="GM49">
            <v>2380</v>
          </cell>
          <cell r="GN49">
            <v>2482</v>
          </cell>
          <cell r="GO49">
            <v>2584</v>
          </cell>
          <cell r="GP49">
            <v>2656</v>
          </cell>
          <cell r="GQ49">
            <v>2728</v>
          </cell>
          <cell r="GR49">
            <v>2800</v>
          </cell>
          <cell r="GS49">
            <v>2866</v>
          </cell>
          <cell r="GT49">
            <v>2932</v>
          </cell>
          <cell r="GU49">
            <v>2992</v>
          </cell>
          <cell r="GV49">
            <v>2992</v>
          </cell>
          <cell r="GW49">
            <v>3040</v>
          </cell>
          <cell r="GX49">
            <v>3088</v>
          </cell>
          <cell r="GY49">
            <v>3118</v>
          </cell>
          <cell r="GZ49">
            <v>3148</v>
          </cell>
          <cell r="HA49">
            <v>3178</v>
          </cell>
        </row>
        <row r="50">
          <cell r="D50" t="str">
            <v>82111-FET10</v>
          </cell>
          <cell r="E50" t="str">
            <v>AT10</v>
          </cell>
          <cell r="F50" t="str">
            <v>A01</v>
          </cell>
          <cell r="G50" t="str">
            <v>QTY</v>
          </cell>
          <cell r="H50">
            <v>3178</v>
          </cell>
          <cell r="I50">
            <v>3178</v>
          </cell>
          <cell r="J50">
            <v>3178</v>
          </cell>
          <cell r="K50">
            <v>3178</v>
          </cell>
          <cell r="L50">
            <v>3178</v>
          </cell>
          <cell r="M50">
            <v>3178</v>
          </cell>
          <cell r="N50">
            <v>3178</v>
          </cell>
          <cell r="O50">
            <v>3178</v>
          </cell>
          <cell r="P50">
            <v>3178</v>
          </cell>
          <cell r="Q50">
            <v>3178</v>
          </cell>
          <cell r="R50">
            <v>3178</v>
          </cell>
          <cell r="S50">
            <v>3178</v>
          </cell>
          <cell r="T50">
            <v>3178</v>
          </cell>
          <cell r="U50">
            <v>3178</v>
          </cell>
          <cell r="V50">
            <v>3178</v>
          </cell>
          <cell r="W50">
            <v>3178</v>
          </cell>
          <cell r="X50">
            <v>3178</v>
          </cell>
          <cell r="Y50">
            <v>3178</v>
          </cell>
          <cell r="Z50">
            <v>3178</v>
          </cell>
          <cell r="AA50">
            <v>3178</v>
          </cell>
          <cell r="AB50">
            <v>3178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 t="str">
            <v>CUM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</row>
        <row r="52">
          <cell r="D52" t="str">
            <v>82111-FET20</v>
          </cell>
          <cell r="E52" t="str">
            <v>AT10</v>
          </cell>
          <cell r="F52" t="str">
            <v>A01</v>
          </cell>
          <cell r="G52" t="str">
            <v>QTY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 t="str">
            <v>CUM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</row>
        <row r="54">
          <cell r="D54" t="str">
            <v>82111-FET30</v>
          </cell>
          <cell r="E54" t="str">
            <v>AT10</v>
          </cell>
          <cell r="F54" t="str">
            <v>A01</v>
          </cell>
          <cell r="G54" t="str">
            <v>QTY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336</v>
          </cell>
          <cell r="AN54">
            <v>612</v>
          </cell>
          <cell r="AO54">
            <v>618</v>
          </cell>
          <cell r="AP54">
            <v>540</v>
          </cell>
          <cell r="AQ54">
            <v>960</v>
          </cell>
          <cell r="AR54">
            <v>636</v>
          </cell>
          <cell r="AS54">
            <v>540</v>
          </cell>
          <cell r="AT54">
            <v>0</v>
          </cell>
          <cell r="AU54">
            <v>306</v>
          </cell>
          <cell r="AV54">
            <v>462</v>
          </cell>
          <cell r="AW54">
            <v>444</v>
          </cell>
          <cell r="AX54">
            <v>534</v>
          </cell>
          <cell r="AY54">
            <v>534</v>
          </cell>
          <cell r="AZ54">
            <v>534</v>
          </cell>
          <cell r="BA54">
            <v>534</v>
          </cell>
          <cell r="BB54">
            <v>534</v>
          </cell>
          <cell r="BC54">
            <v>534</v>
          </cell>
          <cell r="BD54">
            <v>534</v>
          </cell>
          <cell r="BE54">
            <v>534</v>
          </cell>
          <cell r="BF54">
            <v>534</v>
          </cell>
          <cell r="BG54">
            <v>534</v>
          </cell>
          <cell r="BH54">
            <v>534</v>
          </cell>
          <cell r="BI54">
            <v>534</v>
          </cell>
          <cell r="BJ54">
            <v>534</v>
          </cell>
          <cell r="BK54">
            <v>534</v>
          </cell>
          <cell r="BL54">
            <v>534</v>
          </cell>
          <cell r="BM54">
            <v>534</v>
          </cell>
          <cell r="BN54">
            <v>534</v>
          </cell>
          <cell r="BO54">
            <v>534</v>
          </cell>
          <cell r="BP54">
            <v>534</v>
          </cell>
          <cell r="BQ54">
            <v>534</v>
          </cell>
          <cell r="BR54">
            <v>534</v>
          </cell>
          <cell r="BS54">
            <v>534</v>
          </cell>
          <cell r="BT54">
            <v>534</v>
          </cell>
          <cell r="BU54">
            <v>534</v>
          </cell>
          <cell r="BV54">
            <v>534</v>
          </cell>
          <cell r="BW54">
            <v>534</v>
          </cell>
          <cell r="BX54">
            <v>534</v>
          </cell>
          <cell r="BY54">
            <v>534</v>
          </cell>
          <cell r="BZ54">
            <v>534</v>
          </cell>
          <cell r="CA54">
            <v>534</v>
          </cell>
          <cell r="CB54">
            <v>534</v>
          </cell>
          <cell r="CC54">
            <v>534</v>
          </cell>
          <cell r="CD54">
            <v>534</v>
          </cell>
          <cell r="CE54">
            <v>534</v>
          </cell>
          <cell r="CF54">
            <v>534</v>
          </cell>
          <cell r="CG54">
            <v>534</v>
          </cell>
          <cell r="CH54">
            <v>534</v>
          </cell>
          <cell r="CI54">
            <v>534</v>
          </cell>
          <cell r="CJ54">
            <v>534</v>
          </cell>
          <cell r="CK54">
            <v>534</v>
          </cell>
          <cell r="CL54">
            <v>534</v>
          </cell>
          <cell r="CM54">
            <v>534</v>
          </cell>
          <cell r="CN54">
            <v>534</v>
          </cell>
          <cell r="CO54">
            <v>534</v>
          </cell>
          <cell r="CP54">
            <v>534</v>
          </cell>
          <cell r="CQ54">
            <v>534</v>
          </cell>
          <cell r="CR54">
            <v>534</v>
          </cell>
          <cell r="CS54">
            <v>534</v>
          </cell>
          <cell r="CT54">
            <v>534</v>
          </cell>
          <cell r="CU54">
            <v>534</v>
          </cell>
          <cell r="CV54">
            <v>534</v>
          </cell>
          <cell r="CW54">
            <v>534</v>
          </cell>
          <cell r="CX54">
            <v>534</v>
          </cell>
          <cell r="CY54">
            <v>534</v>
          </cell>
          <cell r="CZ54">
            <v>534</v>
          </cell>
          <cell r="DA54">
            <v>534</v>
          </cell>
          <cell r="DB54">
            <v>534</v>
          </cell>
          <cell r="DC54">
            <v>534</v>
          </cell>
          <cell r="DD54">
            <v>534</v>
          </cell>
          <cell r="DE54">
            <v>534</v>
          </cell>
          <cell r="DF54">
            <v>534</v>
          </cell>
          <cell r="DG54">
            <v>534</v>
          </cell>
          <cell r="DH54">
            <v>534</v>
          </cell>
          <cell r="DI54">
            <v>534</v>
          </cell>
          <cell r="DJ54">
            <v>534</v>
          </cell>
          <cell r="DK54">
            <v>534</v>
          </cell>
          <cell r="DL54">
            <v>534</v>
          </cell>
          <cell r="DM54">
            <v>534</v>
          </cell>
          <cell r="DN54">
            <v>534</v>
          </cell>
          <cell r="DO54">
            <v>534</v>
          </cell>
          <cell r="DP54">
            <v>534</v>
          </cell>
          <cell r="DQ54">
            <v>534</v>
          </cell>
          <cell r="DR54">
            <v>534</v>
          </cell>
          <cell r="DS54">
            <v>534</v>
          </cell>
          <cell r="DT54">
            <v>534</v>
          </cell>
          <cell r="DU54">
            <v>534</v>
          </cell>
          <cell r="DV54">
            <v>534</v>
          </cell>
          <cell r="DW54">
            <v>534</v>
          </cell>
          <cell r="DX54">
            <v>534</v>
          </cell>
          <cell r="DY54">
            <v>534</v>
          </cell>
          <cell r="DZ54">
            <v>534</v>
          </cell>
          <cell r="EA54">
            <v>534</v>
          </cell>
          <cell r="EB54">
            <v>534</v>
          </cell>
          <cell r="EC54">
            <v>534</v>
          </cell>
          <cell r="ED54">
            <v>534</v>
          </cell>
          <cell r="EE54">
            <v>534</v>
          </cell>
          <cell r="EF54">
            <v>534</v>
          </cell>
          <cell r="EG54">
            <v>534</v>
          </cell>
          <cell r="EH54">
            <v>534</v>
          </cell>
          <cell r="EI54">
            <v>534</v>
          </cell>
          <cell r="EJ54">
            <v>534</v>
          </cell>
          <cell r="EK54">
            <v>534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68</v>
          </cell>
          <cell r="GD54">
            <v>67</v>
          </cell>
          <cell r="GE54">
            <v>67</v>
          </cell>
          <cell r="GF54">
            <v>67</v>
          </cell>
          <cell r="GG54">
            <v>67</v>
          </cell>
          <cell r="GH54">
            <v>156</v>
          </cell>
          <cell r="GI54">
            <v>156</v>
          </cell>
          <cell r="GJ54">
            <v>150</v>
          </cell>
          <cell r="GK54">
            <v>150</v>
          </cell>
          <cell r="GL54">
            <v>156</v>
          </cell>
          <cell r="GM54">
            <v>156</v>
          </cell>
          <cell r="GN54">
            <v>156</v>
          </cell>
          <cell r="GO54">
            <v>150</v>
          </cell>
          <cell r="GP54">
            <v>108</v>
          </cell>
          <cell r="GQ54">
            <v>108</v>
          </cell>
          <cell r="GR54">
            <v>108</v>
          </cell>
          <cell r="GS54">
            <v>108</v>
          </cell>
          <cell r="GT54">
            <v>108</v>
          </cell>
          <cell r="GU54">
            <v>324</v>
          </cell>
          <cell r="GV54">
            <v>324</v>
          </cell>
          <cell r="GW54">
            <v>318</v>
          </cell>
          <cell r="GX54">
            <v>318</v>
          </cell>
          <cell r="GY54">
            <v>162</v>
          </cell>
          <cell r="GZ54">
            <v>162</v>
          </cell>
          <cell r="HA54">
            <v>156</v>
          </cell>
        </row>
        <row r="55">
          <cell r="D55">
            <v>156</v>
          </cell>
          <cell r="E55">
            <v>156</v>
          </cell>
          <cell r="F55">
            <v>156</v>
          </cell>
          <cell r="G55" t="str">
            <v>CUM</v>
          </cell>
          <cell r="H55">
            <v>156</v>
          </cell>
          <cell r="I55">
            <v>156</v>
          </cell>
          <cell r="J55">
            <v>156</v>
          </cell>
          <cell r="K55">
            <v>156</v>
          </cell>
          <cell r="L55">
            <v>156</v>
          </cell>
          <cell r="M55">
            <v>156</v>
          </cell>
          <cell r="N55">
            <v>156</v>
          </cell>
          <cell r="O55">
            <v>156</v>
          </cell>
          <cell r="P55">
            <v>156</v>
          </cell>
          <cell r="Q55">
            <v>156</v>
          </cell>
          <cell r="R55">
            <v>156</v>
          </cell>
          <cell r="S55">
            <v>156</v>
          </cell>
          <cell r="T55">
            <v>156</v>
          </cell>
          <cell r="U55">
            <v>156</v>
          </cell>
          <cell r="V55">
            <v>156</v>
          </cell>
          <cell r="W55">
            <v>156</v>
          </cell>
          <cell r="X55">
            <v>156</v>
          </cell>
          <cell r="Y55">
            <v>156</v>
          </cell>
          <cell r="Z55">
            <v>156</v>
          </cell>
          <cell r="AA55">
            <v>156</v>
          </cell>
          <cell r="AB55">
            <v>156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336</v>
          </cell>
          <cell r="AN55">
            <v>948</v>
          </cell>
          <cell r="AO55">
            <v>1566</v>
          </cell>
          <cell r="AP55">
            <v>2106</v>
          </cell>
          <cell r="AQ55">
            <v>3066</v>
          </cell>
          <cell r="AR55">
            <v>3702</v>
          </cell>
          <cell r="AS55">
            <v>4242</v>
          </cell>
          <cell r="AT55">
            <v>4242</v>
          </cell>
          <cell r="AU55">
            <v>4548</v>
          </cell>
          <cell r="AV55">
            <v>5010</v>
          </cell>
          <cell r="AW55">
            <v>5454</v>
          </cell>
          <cell r="AX55">
            <v>5988</v>
          </cell>
          <cell r="AY55">
            <v>5988</v>
          </cell>
          <cell r="AZ55">
            <v>5988</v>
          </cell>
          <cell r="BA55">
            <v>5988</v>
          </cell>
          <cell r="BB55">
            <v>5988</v>
          </cell>
          <cell r="BC55">
            <v>5988</v>
          </cell>
          <cell r="BD55">
            <v>5988</v>
          </cell>
          <cell r="BE55">
            <v>5988</v>
          </cell>
          <cell r="BF55">
            <v>5988</v>
          </cell>
          <cell r="BG55">
            <v>5988</v>
          </cell>
          <cell r="BH55">
            <v>5988</v>
          </cell>
          <cell r="BI55">
            <v>5988</v>
          </cell>
          <cell r="BJ55">
            <v>5988</v>
          </cell>
          <cell r="BK55">
            <v>5988</v>
          </cell>
          <cell r="BL55">
            <v>5988</v>
          </cell>
          <cell r="BM55">
            <v>5988</v>
          </cell>
          <cell r="BN55">
            <v>5988</v>
          </cell>
          <cell r="BO55">
            <v>5988</v>
          </cell>
          <cell r="BP55">
            <v>5988</v>
          </cell>
          <cell r="BQ55">
            <v>5988</v>
          </cell>
          <cell r="BR55">
            <v>5988</v>
          </cell>
          <cell r="BS55">
            <v>5988</v>
          </cell>
          <cell r="BT55">
            <v>5988</v>
          </cell>
          <cell r="BU55">
            <v>5988</v>
          </cell>
          <cell r="BV55">
            <v>5988</v>
          </cell>
          <cell r="BW55">
            <v>5988</v>
          </cell>
          <cell r="BX55">
            <v>5988</v>
          </cell>
          <cell r="BY55">
            <v>5988</v>
          </cell>
          <cell r="BZ55">
            <v>5988</v>
          </cell>
          <cell r="CA55">
            <v>5988</v>
          </cell>
          <cell r="CB55">
            <v>5988</v>
          </cell>
          <cell r="CC55">
            <v>5988</v>
          </cell>
          <cell r="CD55">
            <v>5988</v>
          </cell>
          <cell r="CE55">
            <v>5988</v>
          </cell>
          <cell r="CF55">
            <v>5988</v>
          </cell>
          <cell r="CG55">
            <v>5988</v>
          </cell>
          <cell r="CH55">
            <v>5988</v>
          </cell>
          <cell r="CI55">
            <v>5988</v>
          </cell>
          <cell r="CJ55">
            <v>5988</v>
          </cell>
          <cell r="CK55">
            <v>5988</v>
          </cell>
          <cell r="CL55">
            <v>5988</v>
          </cell>
          <cell r="CM55">
            <v>5988</v>
          </cell>
          <cell r="CN55">
            <v>5988</v>
          </cell>
          <cell r="CO55">
            <v>5988</v>
          </cell>
          <cell r="CP55">
            <v>5988</v>
          </cell>
          <cell r="CQ55">
            <v>5988</v>
          </cell>
          <cell r="CR55">
            <v>5988</v>
          </cell>
          <cell r="CS55">
            <v>5988</v>
          </cell>
          <cell r="CT55">
            <v>5988</v>
          </cell>
          <cell r="CU55">
            <v>5988</v>
          </cell>
          <cell r="CV55">
            <v>5988</v>
          </cell>
          <cell r="CW55">
            <v>5988</v>
          </cell>
          <cell r="CX55">
            <v>5988</v>
          </cell>
          <cell r="CY55">
            <v>5988</v>
          </cell>
          <cell r="CZ55">
            <v>5988</v>
          </cell>
          <cell r="DA55">
            <v>5988</v>
          </cell>
          <cell r="DB55">
            <v>5988</v>
          </cell>
          <cell r="DC55">
            <v>5988</v>
          </cell>
          <cell r="DD55">
            <v>5988</v>
          </cell>
          <cell r="DE55">
            <v>5988</v>
          </cell>
          <cell r="DF55">
            <v>5988</v>
          </cell>
          <cell r="DG55">
            <v>5988</v>
          </cell>
          <cell r="DH55">
            <v>5988</v>
          </cell>
          <cell r="DI55">
            <v>5988</v>
          </cell>
          <cell r="DJ55">
            <v>5988</v>
          </cell>
          <cell r="DK55">
            <v>5988</v>
          </cell>
          <cell r="DL55">
            <v>5988</v>
          </cell>
          <cell r="DM55">
            <v>5988</v>
          </cell>
          <cell r="DN55">
            <v>5988</v>
          </cell>
          <cell r="DO55">
            <v>5988</v>
          </cell>
          <cell r="DP55">
            <v>5988</v>
          </cell>
          <cell r="DQ55">
            <v>5988</v>
          </cell>
          <cell r="DR55">
            <v>5988</v>
          </cell>
          <cell r="DS55">
            <v>5988</v>
          </cell>
          <cell r="DT55">
            <v>5988</v>
          </cell>
          <cell r="DU55">
            <v>5988</v>
          </cell>
          <cell r="DV55">
            <v>5988</v>
          </cell>
          <cell r="DW55">
            <v>5988</v>
          </cell>
          <cell r="DX55">
            <v>5988</v>
          </cell>
          <cell r="DY55">
            <v>5988</v>
          </cell>
          <cell r="DZ55">
            <v>5988</v>
          </cell>
          <cell r="EA55">
            <v>5988</v>
          </cell>
          <cell r="EB55">
            <v>5988</v>
          </cell>
          <cell r="EC55">
            <v>5988</v>
          </cell>
          <cell r="ED55">
            <v>5988</v>
          </cell>
          <cell r="EE55">
            <v>5988</v>
          </cell>
          <cell r="EF55">
            <v>5988</v>
          </cell>
          <cell r="EG55">
            <v>5988</v>
          </cell>
          <cell r="EH55">
            <v>5988</v>
          </cell>
          <cell r="EI55">
            <v>5988</v>
          </cell>
          <cell r="EJ55">
            <v>5988</v>
          </cell>
          <cell r="EK55">
            <v>5988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68</v>
          </cell>
          <cell r="GD55">
            <v>135</v>
          </cell>
          <cell r="GE55">
            <v>202</v>
          </cell>
          <cell r="GF55">
            <v>269</v>
          </cell>
          <cell r="GG55">
            <v>336</v>
          </cell>
          <cell r="GH55">
            <v>492</v>
          </cell>
          <cell r="GI55">
            <v>648</v>
          </cell>
          <cell r="GJ55">
            <v>798</v>
          </cell>
          <cell r="GK55">
            <v>948</v>
          </cell>
          <cell r="GL55">
            <v>1104</v>
          </cell>
          <cell r="GM55">
            <v>1260</v>
          </cell>
          <cell r="GN55">
            <v>1416</v>
          </cell>
          <cell r="GO55">
            <v>1566</v>
          </cell>
          <cell r="GP55">
            <v>1674</v>
          </cell>
          <cell r="GQ55">
            <v>1782</v>
          </cell>
          <cell r="GR55">
            <v>1890</v>
          </cell>
          <cell r="GS55">
            <v>1998</v>
          </cell>
          <cell r="GT55">
            <v>2106</v>
          </cell>
          <cell r="GU55">
            <v>2430</v>
          </cell>
          <cell r="GV55">
            <v>2430</v>
          </cell>
          <cell r="GW55">
            <v>2748</v>
          </cell>
          <cell r="GX55">
            <v>3066</v>
          </cell>
          <cell r="GY55">
            <v>3228</v>
          </cell>
          <cell r="GZ55">
            <v>3390</v>
          </cell>
          <cell r="HA55">
            <v>3546</v>
          </cell>
        </row>
        <row r="56">
          <cell r="D56" t="str">
            <v>82111-FET40</v>
          </cell>
          <cell r="E56">
            <v>3546</v>
          </cell>
          <cell r="F56" t="str">
            <v>A01</v>
          </cell>
          <cell r="G56" t="str">
            <v>QTY</v>
          </cell>
          <cell r="H56">
            <v>3546</v>
          </cell>
          <cell r="I56">
            <v>3546</v>
          </cell>
          <cell r="J56">
            <v>3546</v>
          </cell>
          <cell r="K56">
            <v>3546</v>
          </cell>
          <cell r="L56">
            <v>3546</v>
          </cell>
          <cell r="M56">
            <v>3546</v>
          </cell>
          <cell r="N56">
            <v>3546</v>
          </cell>
          <cell r="O56">
            <v>3546</v>
          </cell>
          <cell r="P56">
            <v>3546</v>
          </cell>
          <cell r="Q56">
            <v>3546</v>
          </cell>
          <cell r="R56">
            <v>3546</v>
          </cell>
          <cell r="S56">
            <v>3546</v>
          </cell>
          <cell r="T56">
            <v>3546</v>
          </cell>
          <cell r="U56">
            <v>3546</v>
          </cell>
          <cell r="V56">
            <v>3546</v>
          </cell>
          <cell r="W56">
            <v>3546</v>
          </cell>
          <cell r="X56">
            <v>3546</v>
          </cell>
          <cell r="Y56">
            <v>3546</v>
          </cell>
          <cell r="Z56">
            <v>3546</v>
          </cell>
          <cell r="AA56">
            <v>3546</v>
          </cell>
          <cell r="AB56">
            <v>3546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282</v>
          </cell>
          <cell r="AN56">
            <v>498</v>
          </cell>
          <cell r="AO56">
            <v>552</v>
          </cell>
          <cell r="AP56">
            <v>552</v>
          </cell>
          <cell r="AQ56">
            <v>576</v>
          </cell>
          <cell r="AR56">
            <v>828</v>
          </cell>
          <cell r="AS56">
            <v>798</v>
          </cell>
          <cell r="AT56">
            <v>420</v>
          </cell>
          <cell r="AU56">
            <v>714</v>
          </cell>
          <cell r="AV56">
            <v>636</v>
          </cell>
          <cell r="AW56">
            <v>612</v>
          </cell>
          <cell r="AX56">
            <v>732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58</v>
          </cell>
          <cell r="GD56">
            <v>56</v>
          </cell>
          <cell r="GE56">
            <v>56</v>
          </cell>
          <cell r="GF56">
            <v>56</v>
          </cell>
          <cell r="GG56">
            <v>56</v>
          </cell>
          <cell r="GH56">
            <v>126</v>
          </cell>
          <cell r="GI56">
            <v>126</v>
          </cell>
          <cell r="GJ56">
            <v>126</v>
          </cell>
          <cell r="GK56">
            <v>120</v>
          </cell>
          <cell r="GL56">
            <v>138</v>
          </cell>
          <cell r="GM56">
            <v>138</v>
          </cell>
          <cell r="GN56">
            <v>138</v>
          </cell>
          <cell r="GO56">
            <v>138</v>
          </cell>
          <cell r="GP56">
            <v>114</v>
          </cell>
          <cell r="GQ56">
            <v>114</v>
          </cell>
          <cell r="GR56">
            <v>108</v>
          </cell>
          <cell r="GS56">
            <v>108</v>
          </cell>
          <cell r="GT56">
            <v>108</v>
          </cell>
          <cell r="GU56">
            <v>192</v>
          </cell>
          <cell r="GV56">
            <v>192</v>
          </cell>
          <cell r="GW56">
            <v>192</v>
          </cell>
          <cell r="GX56">
            <v>192</v>
          </cell>
          <cell r="GY56">
            <v>210</v>
          </cell>
          <cell r="GZ56">
            <v>210</v>
          </cell>
          <cell r="HA56">
            <v>204</v>
          </cell>
        </row>
        <row r="57">
          <cell r="D57">
            <v>204</v>
          </cell>
          <cell r="E57">
            <v>204</v>
          </cell>
          <cell r="F57">
            <v>204</v>
          </cell>
          <cell r="G57" t="str">
            <v>CUM</v>
          </cell>
          <cell r="H57">
            <v>204</v>
          </cell>
          <cell r="I57">
            <v>204</v>
          </cell>
          <cell r="J57">
            <v>204</v>
          </cell>
          <cell r="K57">
            <v>204</v>
          </cell>
          <cell r="L57">
            <v>204</v>
          </cell>
          <cell r="M57">
            <v>204</v>
          </cell>
          <cell r="N57">
            <v>204</v>
          </cell>
          <cell r="O57">
            <v>204</v>
          </cell>
          <cell r="P57">
            <v>204</v>
          </cell>
          <cell r="Q57">
            <v>204</v>
          </cell>
          <cell r="R57">
            <v>204</v>
          </cell>
          <cell r="S57">
            <v>204</v>
          </cell>
          <cell r="T57">
            <v>204</v>
          </cell>
          <cell r="U57">
            <v>204</v>
          </cell>
          <cell r="V57">
            <v>204</v>
          </cell>
          <cell r="W57">
            <v>204</v>
          </cell>
          <cell r="X57">
            <v>204</v>
          </cell>
          <cell r="Y57">
            <v>204</v>
          </cell>
          <cell r="Z57">
            <v>204</v>
          </cell>
          <cell r="AA57">
            <v>204</v>
          </cell>
          <cell r="AB57">
            <v>204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282</v>
          </cell>
          <cell r="AN57">
            <v>780</v>
          </cell>
          <cell r="AO57">
            <v>1332</v>
          </cell>
          <cell r="AP57">
            <v>1884</v>
          </cell>
          <cell r="AQ57">
            <v>2460</v>
          </cell>
          <cell r="AR57">
            <v>3288</v>
          </cell>
          <cell r="AS57">
            <v>4086</v>
          </cell>
          <cell r="AT57">
            <v>4506</v>
          </cell>
          <cell r="AU57">
            <v>5220</v>
          </cell>
          <cell r="AV57">
            <v>5856</v>
          </cell>
          <cell r="AW57">
            <v>6468</v>
          </cell>
          <cell r="AX57">
            <v>7200</v>
          </cell>
          <cell r="AY57">
            <v>7200</v>
          </cell>
          <cell r="AZ57">
            <v>7200</v>
          </cell>
          <cell r="BA57">
            <v>7200</v>
          </cell>
          <cell r="BB57">
            <v>7200</v>
          </cell>
          <cell r="BC57">
            <v>7200</v>
          </cell>
          <cell r="BD57">
            <v>7200</v>
          </cell>
          <cell r="BE57">
            <v>7200</v>
          </cell>
          <cell r="BF57">
            <v>7200</v>
          </cell>
          <cell r="BG57">
            <v>7200</v>
          </cell>
          <cell r="BH57">
            <v>7200</v>
          </cell>
          <cell r="BI57">
            <v>7200</v>
          </cell>
          <cell r="BJ57">
            <v>7200</v>
          </cell>
          <cell r="BK57">
            <v>7200</v>
          </cell>
          <cell r="BL57">
            <v>7200</v>
          </cell>
          <cell r="BM57">
            <v>7200</v>
          </cell>
          <cell r="BN57">
            <v>7200</v>
          </cell>
          <cell r="BO57">
            <v>7200</v>
          </cell>
          <cell r="BP57">
            <v>7200</v>
          </cell>
          <cell r="BQ57">
            <v>7200</v>
          </cell>
          <cell r="BR57">
            <v>7200</v>
          </cell>
          <cell r="BS57">
            <v>7200</v>
          </cell>
          <cell r="BT57">
            <v>7200</v>
          </cell>
          <cell r="BU57">
            <v>7200</v>
          </cell>
          <cell r="BV57">
            <v>7200</v>
          </cell>
          <cell r="BW57">
            <v>7200</v>
          </cell>
          <cell r="BX57">
            <v>7200</v>
          </cell>
          <cell r="BY57">
            <v>7200</v>
          </cell>
          <cell r="BZ57">
            <v>7200</v>
          </cell>
          <cell r="CA57">
            <v>7200</v>
          </cell>
          <cell r="CB57">
            <v>7200</v>
          </cell>
          <cell r="CC57">
            <v>7200</v>
          </cell>
          <cell r="CD57">
            <v>7200</v>
          </cell>
          <cell r="CE57">
            <v>7200</v>
          </cell>
          <cell r="CF57">
            <v>7200</v>
          </cell>
          <cell r="CG57">
            <v>7200</v>
          </cell>
          <cell r="CH57">
            <v>7200</v>
          </cell>
          <cell r="CI57">
            <v>7200</v>
          </cell>
          <cell r="CJ57">
            <v>7200</v>
          </cell>
          <cell r="CK57">
            <v>7200</v>
          </cell>
          <cell r="CL57">
            <v>7200</v>
          </cell>
          <cell r="CM57">
            <v>7200</v>
          </cell>
          <cell r="CN57">
            <v>7200</v>
          </cell>
          <cell r="CO57">
            <v>7200</v>
          </cell>
          <cell r="CP57">
            <v>7200</v>
          </cell>
          <cell r="CQ57">
            <v>7200</v>
          </cell>
          <cell r="CR57">
            <v>7200</v>
          </cell>
          <cell r="CS57">
            <v>7200</v>
          </cell>
          <cell r="CT57">
            <v>7200</v>
          </cell>
          <cell r="CU57">
            <v>7200</v>
          </cell>
          <cell r="CV57">
            <v>7200</v>
          </cell>
          <cell r="CW57">
            <v>7200</v>
          </cell>
          <cell r="CX57">
            <v>7200</v>
          </cell>
          <cell r="CY57">
            <v>7200</v>
          </cell>
          <cell r="CZ57">
            <v>7200</v>
          </cell>
          <cell r="DA57">
            <v>7200</v>
          </cell>
          <cell r="DB57">
            <v>7200</v>
          </cell>
          <cell r="DC57">
            <v>7200</v>
          </cell>
          <cell r="DD57">
            <v>7200</v>
          </cell>
          <cell r="DE57">
            <v>7200</v>
          </cell>
          <cell r="DF57">
            <v>7200</v>
          </cell>
          <cell r="DG57">
            <v>7200</v>
          </cell>
          <cell r="DH57">
            <v>7200</v>
          </cell>
          <cell r="DI57">
            <v>7200</v>
          </cell>
          <cell r="DJ57">
            <v>7200</v>
          </cell>
          <cell r="DK57">
            <v>7200</v>
          </cell>
          <cell r="DL57">
            <v>7200</v>
          </cell>
          <cell r="DM57">
            <v>7200</v>
          </cell>
          <cell r="DN57">
            <v>7200</v>
          </cell>
          <cell r="DO57">
            <v>7200</v>
          </cell>
          <cell r="DP57">
            <v>7200</v>
          </cell>
          <cell r="DQ57">
            <v>7200</v>
          </cell>
          <cell r="DR57">
            <v>7200</v>
          </cell>
          <cell r="DS57">
            <v>7200</v>
          </cell>
          <cell r="DT57">
            <v>7200</v>
          </cell>
          <cell r="DU57">
            <v>7200</v>
          </cell>
          <cell r="DV57">
            <v>7200</v>
          </cell>
          <cell r="DW57">
            <v>7200</v>
          </cell>
          <cell r="DX57">
            <v>7200</v>
          </cell>
          <cell r="DY57">
            <v>7200</v>
          </cell>
          <cell r="DZ57">
            <v>7200</v>
          </cell>
          <cell r="EA57">
            <v>7200</v>
          </cell>
          <cell r="EB57">
            <v>7200</v>
          </cell>
          <cell r="EC57">
            <v>7200</v>
          </cell>
          <cell r="ED57">
            <v>7200</v>
          </cell>
          <cell r="EE57">
            <v>7200</v>
          </cell>
          <cell r="EF57">
            <v>7200</v>
          </cell>
          <cell r="EG57">
            <v>7200</v>
          </cell>
          <cell r="EH57">
            <v>7200</v>
          </cell>
          <cell r="EI57">
            <v>7200</v>
          </cell>
          <cell r="EJ57">
            <v>7200</v>
          </cell>
          <cell r="EK57">
            <v>7200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58</v>
          </cell>
          <cell r="GD57">
            <v>114</v>
          </cell>
          <cell r="GE57">
            <v>170</v>
          </cell>
          <cell r="GF57">
            <v>226</v>
          </cell>
          <cell r="GG57">
            <v>282</v>
          </cell>
          <cell r="GH57">
            <v>408</v>
          </cell>
          <cell r="GI57">
            <v>534</v>
          </cell>
          <cell r="GJ57">
            <v>660</v>
          </cell>
          <cell r="GK57">
            <v>780</v>
          </cell>
          <cell r="GL57">
            <v>918</v>
          </cell>
          <cell r="GM57">
            <v>1056</v>
          </cell>
          <cell r="GN57">
            <v>1194</v>
          </cell>
          <cell r="GO57">
            <v>1332</v>
          </cell>
          <cell r="GP57">
            <v>1446</v>
          </cell>
          <cell r="GQ57">
            <v>1560</v>
          </cell>
          <cell r="GR57">
            <v>1668</v>
          </cell>
          <cell r="GS57">
            <v>1776</v>
          </cell>
          <cell r="GT57">
            <v>1884</v>
          </cell>
          <cell r="GU57">
            <v>2076</v>
          </cell>
          <cell r="GV57">
            <v>2076</v>
          </cell>
          <cell r="GW57">
            <v>2268</v>
          </cell>
          <cell r="GX57">
            <v>2460</v>
          </cell>
          <cell r="GY57">
            <v>2670</v>
          </cell>
          <cell r="GZ57">
            <v>2880</v>
          </cell>
          <cell r="HA57">
            <v>3084</v>
          </cell>
        </row>
        <row r="58">
          <cell r="D58" t="str">
            <v>82115-F2390</v>
          </cell>
          <cell r="E58" t="str">
            <v>A00</v>
          </cell>
          <cell r="F58" t="str">
            <v>B01</v>
          </cell>
          <cell r="G58" t="str">
            <v>QTY</v>
          </cell>
          <cell r="H58">
            <v>3084</v>
          </cell>
          <cell r="I58">
            <v>3084</v>
          </cell>
          <cell r="J58">
            <v>3084</v>
          </cell>
          <cell r="K58">
            <v>3084</v>
          </cell>
          <cell r="L58">
            <v>3084</v>
          </cell>
          <cell r="M58">
            <v>3084</v>
          </cell>
          <cell r="N58">
            <v>3084</v>
          </cell>
          <cell r="O58">
            <v>3084</v>
          </cell>
          <cell r="P58">
            <v>3084</v>
          </cell>
          <cell r="Q58">
            <v>3084</v>
          </cell>
          <cell r="R58">
            <v>3084</v>
          </cell>
          <cell r="S58">
            <v>3084</v>
          </cell>
          <cell r="T58">
            <v>3084</v>
          </cell>
          <cell r="U58">
            <v>3084</v>
          </cell>
          <cell r="V58">
            <v>3084</v>
          </cell>
          <cell r="W58">
            <v>3084</v>
          </cell>
          <cell r="X58">
            <v>3084</v>
          </cell>
          <cell r="Y58">
            <v>3084</v>
          </cell>
          <cell r="Z58">
            <v>3084</v>
          </cell>
          <cell r="AA58">
            <v>3084</v>
          </cell>
          <cell r="AB58">
            <v>3084</v>
          </cell>
          <cell r="AC58">
            <v>50</v>
          </cell>
          <cell r="AD58">
            <v>40</v>
          </cell>
          <cell r="AE58">
            <v>0</v>
          </cell>
          <cell r="AF58">
            <v>4</v>
          </cell>
          <cell r="AG58">
            <v>0</v>
          </cell>
          <cell r="AH58">
            <v>240</v>
          </cell>
          <cell r="AI58">
            <v>140</v>
          </cell>
          <cell r="AJ58">
            <v>100</v>
          </cell>
          <cell r="AK58">
            <v>24</v>
          </cell>
          <cell r="AL58">
            <v>66</v>
          </cell>
          <cell r="AM58">
            <v>30</v>
          </cell>
          <cell r="AN58">
            <v>36</v>
          </cell>
          <cell r="AO58">
            <v>6</v>
          </cell>
          <cell r="AP58">
            <v>0</v>
          </cell>
          <cell r="AQ58">
            <v>0</v>
          </cell>
          <cell r="AR58">
            <v>12</v>
          </cell>
          <cell r="AS58">
            <v>24</v>
          </cell>
          <cell r="AT58">
            <v>54</v>
          </cell>
          <cell r="AU58">
            <v>36</v>
          </cell>
          <cell r="AV58">
            <v>24</v>
          </cell>
          <cell r="AW58">
            <v>30</v>
          </cell>
          <cell r="AX58">
            <v>36</v>
          </cell>
          <cell r="AY58">
            <v>40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4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90</v>
          </cell>
          <cell r="FH58">
            <v>0</v>
          </cell>
          <cell r="FI58">
            <v>60</v>
          </cell>
          <cell r="FJ58">
            <v>0</v>
          </cell>
          <cell r="FK58">
            <v>90</v>
          </cell>
          <cell r="FL58">
            <v>60</v>
          </cell>
          <cell r="FM58">
            <v>60</v>
          </cell>
          <cell r="FN58">
            <v>20</v>
          </cell>
          <cell r="FO58">
            <v>0</v>
          </cell>
          <cell r="FP58">
            <v>50</v>
          </cell>
          <cell r="FQ58">
            <v>0</v>
          </cell>
          <cell r="FR58">
            <v>50</v>
          </cell>
          <cell r="FS58">
            <v>0</v>
          </cell>
          <cell r="FT58">
            <v>24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36</v>
          </cell>
          <cell r="FZ58">
            <v>30</v>
          </cell>
          <cell r="GA58">
            <v>0</v>
          </cell>
          <cell r="GB58">
            <v>0</v>
          </cell>
          <cell r="GC58">
            <v>6</v>
          </cell>
          <cell r="GD58">
            <v>6</v>
          </cell>
          <cell r="GE58">
            <v>6</v>
          </cell>
          <cell r="GF58">
            <v>6</v>
          </cell>
          <cell r="GG58">
            <v>6</v>
          </cell>
          <cell r="GH58">
            <v>12</v>
          </cell>
          <cell r="GI58">
            <v>12</v>
          </cell>
          <cell r="GJ58">
            <v>6</v>
          </cell>
          <cell r="GK58">
            <v>6</v>
          </cell>
          <cell r="GL58">
            <v>6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12</v>
          </cell>
          <cell r="GZ58">
            <v>0</v>
          </cell>
          <cell r="HA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 t="str">
            <v>CUM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50</v>
          </cell>
          <cell r="AD59">
            <v>90</v>
          </cell>
          <cell r="AE59">
            <v>90</v>
          </cell>
          <cell r="AF59">
            <v>94</v>
          </cell>
          <cell r="AG59">
            <v>94</v>
          </cell>
          <cell r="AH59">
            <v>334</v>
          </cell>
          <cell r="AI59">
            <v>384</v>
          </cell>
          <cell r="AJ59">
            <v>484</v>
          </cell>
          <cell r="AK59">
            <v>508</v>
          </cell>
          <cell r="AL59">
            <v>574</v>
          </cell>
          <cell r="AM59">
            <v>604</v>
          </cell>
          <cell r="AN59">
            <v>640</v>
          </cell>
          <cell r="AO59">
            <v>646</v>
          </cell>
          <cell r="AP59">
            <v>646</v>
          </cell>
          <cell r="AQ59">
            <v>646</v>
          </cell>
          <cell r="AR59">
            <v>658</v>
          </cell>
          <cell r="AS59">
            <v>682</v>
          </cell>
          <cell r="AT59">
            <v>736</v>
          </cell>
          <cell r="AU59">
            <v>772</v>
          </cell>
          <cell r="AV59">
            <v>796</v>
          </cell>
          <cell r="AW59">
            <v>826</v>
          </cell>
          <cell r="AX59">
            <v>862</v>
          </cell>
          <cell r="AY59">
            <v>862</v>
          </cell>
          <cell r="AZ59">
            <v>862</v>
          </cell>
          <cell r="BA59">
            <v>862</v>
          </cell>
          <cell r="BB59">
            <v>862</v>
          </cell>
          <cell r="BC59">
            <v>862</v>
          </cell>
          <cell r="BD59">
            <v>862</v>
          </cell>
          <cell r="BE59">
            <v>862</v>
          </cell>
          <cell r="BF59">
            <v>862</v>
          </cell>
          <cell r="BG59">
            <v>862</v>
          </cell>
          <cell r="BH59">
            <v>862</v>
          </cell>
          <cell r="BI59">
            <v>862</v>
          </cell>
          <cell r="BJ59">
            <v>862</v>
          </cell>
          <cell r="BK59">
            <v>862</v>
          </cell>
          <cell r="BL59">
            <v>862</v>
          </cell>
          <cell r="BM59">
            <v>862</v>
          </cell>
          <cell r="BN59">
            <v>862</v>
          </cell>
          <cell r="BO59">
            <v>862</v>
          </cell>
          <cell r="BP59">
            <v>862</v>
          </cell>
          <cell r="BQ59">
            <v>862</v>
          </cell>
          <cell r="BR59">
            <v>862</v>
          </cell>
          <cell r="BS59">
            <v>862</v>
          </cell>
          <cell r="BT59">
            <v>862</v>
          </cell>
          <cell r="BU59">
            <v>862</v>
          </cell>
          <cell r="BV59">
            <v>862</v>
          </cell>
          <cell r="BW59">
            <v>862</v>
          </cell>
          <cell r="BX59">
            <v>862</v>
          </cell>
          <cell r="BY59">
            <v>862</v>
          </cell>
          <cell r="BZ59">
            <v>862</v>
          </cell>
          <cell r="CA59">
            <v>862</v>
          </cell>
          <cell r="CB59">
            <v>862</v>
          </cell>
          <cell r="CC59">
            <v>862</v>
          </cell>
          <cell r="CD59">
            <v>862</v>
          </cell>
          <cell r="CE59">
            <v>862</v>
          </cell>
          <cell r="CF59">
            <v>862</v>
          </cell>
          <cell r="CG59">
            <v>862</v>
          </cell>
          <cell r="CH59">
            <v>862</v>
          </cell>
          <cell r="CI59">
            <v>862</v>
          </cell>
          <cell r="CJ59">
            <v>862</v>
          </cell>
          <cell r="CK59">
            <v>862</v>
          </cell>
          <cell r="CL59">
            <v>862</v>
          </cell>
          <cell r="CM59">
            <v>862</v>
          </cell>
          <cell r="CN59">
            <v>862</v>
          </cell>
          <cell r="CO59">
            <v>862</v>
          </cell>
          <cell r="CP59">
            <v>862</v>
          </cell>
          <cell r="CQ59">
            <v>862</v>
          </cell>
          <cell r="CR59">
            <v>862</v>
          </cell>
          <cell r="CS59">
            <v>862</v>
          </cell>
          <cell r="CT59">
            <v>862</v>
          </cell>
          <cell r="CU59">
            <v>862</v>
          </cell>
          <cell r="CV59">
            <v>862</v>
          </cell>
          <cell r="CW59">
            <v>862</v>
          </cell>
          <cell r="CX59">
            <v>862</v>
          </cell>
          <cell r="CY59">
            <v>862</v>
          </cell>
          <cell r="CZ59">
            <v>862</v>
          </cell>
          <cell r="DA59">
            <v>862</v>
          </cell>
          <cell r="DB59">
            <v>862</v>
          </cell>
          <cell r="DC59">
            <v>862</v>
          </cell>
          <cell r="DD59">
            <v>862</v>
          </cell>
          <cell r="DE59">
            <v>862</v>
          </cell>
          <cell r="DF59">
            <v>862</v>
          </cell>
          <cell r="DG59">
            <v>862</v>
          </cell>
          <cell r="DH59">
            <v>862</v>
          </cell>
          <cell r="DI59">
            <v>862</v>
          </cell>
          <cell r="DJ59">
            <v>862</v>
          </cell>
          <cell r="DK59">
            <v>862</v>
          </cell>
          <cell r="DL59">
            <v>862</v>
          </cell>
          <cell r="DM59">
            <v>862</v>
          </cell>
          <cell r="DN59">
            <v>862</v>
          </cell>
          <cell r="DO59">
            <v>862</v>
          </cell>
          <cell r="DP59">
            <v>862</v>
          </cell>
          <cell r="DQ59">
            <v>862</v>
          </cell>
          <cell r="DR59">
            <v>862</v>
          </cell>
          <cell r="DS59">
            <v>862</v>
          </cell>
          <cell r="DT59">
            <v>862</v>
          </cell>
          <cell r="DU59">
            <v>862</v>
          </cell>
          <cell r="DV59">
            <v>862</v>
          </cell>
          <cell r="DW59">
            <v>862</v>
          </cell>
          <cell r="DX59">
            <v>862</v>
          </cell>
          <cell r="DY59">
            <v>862</v>
          </cell>
          <cell r="DZ59">
            <v>862</v>
          </cell>
          <cell r="EA59">
            <v>862</v>
          </cell>
          <cell r="EB59">
            <v>862</v>
          </cell>
          <cell r="EC59">
            <v>862</v>
          </cell>
          <cell r="ED59">
            <v>862</v>
          </cell>
          <cell r="EE59">
            <v>862</v>
          </cell>
          <cell r="EF59">
            <v>862</v>
          </cell>
          <cell r="EG59">
            <v>862</v>
          </cell>
          <cell r="EH59">
            <v>862</v>
          </cell>
          <cell r="EI59">
            <v>862</v>
          </cell>
          <cell r="EJ59">
            <v>862</v>
          </cell>
          <cell r="EK59">
            <v>862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4</v>
          </cell>
          <cell r="FA59">
            <v>4</v>
          </cell>
          <cell r="FB59">
            <v>4</v>
          </cell>
          <cell r="FC59">
            <v>4</v>
          </cell>
          <cell r="FD59">
            <v>4</v>
          </cell>
          <cell r="FE59">
            <v>4</v>
          </cell>
          <cell r="FF59">
            <v>4</v>
          </cell>
          <cell r="FG59">
            <v>94</v>
          </cell>
          <cell r="FH59">
            <v>94</v>
          </cell>
          <cell r="FI59">
            <v>154</v>
          </cell>
          <cell r="FJ59">
            <v>154</v>
          </cell>
          <cell r="FK59">
            <v>244</v>
          </cell>
          <cell r="FL59">
            <v>304</v>
          </cell>
          <cell r="FM59">
            <v>364</v>
          </cell>
          <cell r="FN59">
            <v>384</v>
          </cell>
          <cell r="FO59">
            <v>384</v>
          </cell>
          <cell r="FP59">
            <v>434</v>
          </cell>
          <cell r="FQ59">
            <v>434</v>
          </cell>
          <cell r="FR59">
            <v>484</v>
          </cell>
          <cell r="FS59">
            <v>484</v>
          </cell>
          <cell r="FT59">
            <v>508</v>
          </cell>
          <cell r="FU59">
            <v>508</v>
          </cell>
          <cell r="FV59">
            <v>508</v>
          </cell>
          <cell r="FW59">
            <v>508</v>
          </cell>
          <cell r="FX59">
            <v>508</v>
          </cell>
          <cell r="FY59">
            <v>544</v>
          </cell>
          <cell r="FZ59">
            <v>574</v>
          </cell>
          <cell r="GA59">
            <v>574</v>
          </cell>
          <cell r="GB59">
            <v>574</v>
          </cell>
          <cell r="GC59">
            <v>580</v>
          </cell>
          <cell r="GD59">
            <v>586</v>
          </cell>
          <cell r="GE59">
            <v>592</v>
          </cell>
          <cell r="GF59">
            <v>598</v>
          </cell>
          <cell r="GG59">
            <v>604</v>
          </cell>
          <cell r="GH59">
            <v>616</v>
          </cell>
          <cell r="GI59">
            <v>628</v>
          </cell>
          <cell r="GJ59">
            <v>634</v>
          </cell>
          <cell r="GK59">
            <v>640</v>
          </cell>
          <cell r="GL59">
            <v>646</v>
          </cell>
          <cell r="GM59">
            <v>646</v>
          </cell>
          <cell r="GN59">
            <v>646</v>
          </cell>
          <cell r="GO59">
            <v>646</v>
          </cell>
          <cell r="GP59">
            <v>646</v>
          </cell>
          <cell r="GQ59">
            <v>646</v>
          </cell>
          <cell r="GR59">
            <v>646</v>
          </cell>
          <cell r="GS59">
            <v>646</v>
          </cell>
          <cell r="GT59">
            <v>646</v>
          </cell>
          <cell r="GU59">
            <v>646</v>
          </cell>
          <cell r="GV59">
            <v>646</v>
          </cell>
          <cell r="GW59">
            <v>646</v>
          </cell>
          <cell r="GX59">
            <v>646</v>
          </cell>
          <cell r="GY59">
            <v>658</v>
          </cell>
          <cell r="GZ59">
            <v>658</v>
          </cell>
          <cell r="HA59">
            <v>658</v>
          </cell>
        </row>
        <row r="60">
          <cell r="D60" t="str">
            <v>82116-0ZW70</v>
          </cell>
          <cell r="E60" t="str">
            <v>A00</v>
          </cell>
          <cell r="F60" t="str">
            <v>A01</v>
          </cell>
          <cell r="G60" t="str">
            <v>QTY</v>
          </cell>
          <cell r="H60">
            <v>658</v>
          </cell>
          <cell r="I60">
            <v>658</v>
          </cell>
          <cell r="J60">
            <v>658</v>
          </cell>
          <cell r="K60">
            <v>658</v>
          </cell>
          <cell r="L60">
            <v>658</v>
          </cell>
          <cell r="M60">
            <v>658</v>
          </cell>
          <cell r="N60">
            <v>658</v>
          </cell>
          <cell r="O60">
            <v>658</v>
          </cell>
          <cell r="P60">
            <v>658</v>
          </cell>
          <cell r="Q60">
            <v>658</v>
          </cell>
          <cell r="R60">
            <v>658</v>
          </cell>
          <cell r="S60">
            <v>658</v>
          </cell>
          <cell r="T60">
            <v>658</v>
          </cell>
          <cell r="U60">
            <v>658</v>
          </cell>
          <cell r="V60">
            <v>658</v>
          </cell>
          <cell r="W60">
            <v>658</v>
          </cell>
          <cell r="X60">
            <v>658</v>
          </cell>
          <cell r="Y60">
            <v>658</v>
          </cell>
          <cell r="Z60">
            <v>658</v>
          </cell>
          <cell r="AA60">
            <v>658</v>
          </cell>
          <cell r="AB60">
            <v>658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 t="str">
            <v>CUM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</row>
        <row r="62">
          <cell r="D62" t="str">
            <v>82116-0ZW80</v>
          </cell>
          <cell r="E62">
            <v>0</v>
          </cell>
          <cell r="F62" t="str">
            <v>A01</v>
          </cell>
          <cell r="G62" t="str">
            <v>QTY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2</v>
          </cell>
          <cell r="AG62">
            <v>0</v>
          </cell>
          <cell r="AH62">
            <v>820</v>
          </cell>
          <cell r="AI62">
            <v>870</v>
          </cell>
          <cell r="AJ62">
            <v>630</v>
          </cell>
          <cell r="AK62">
            <v>156</v>
          </cell>
          <cell r="AL62">
            <v>540</v>
          </cell>
          <cell r="AM62">
            <v>492</v>
          </cell>
          <cell r="AN62">
            <v>426</v>
          </cell>
          <cell r="AO62">
            <v>456</v>
          </cell>
          <cell r="AP62">
            <v>216</v>
          </cell>
          <cell r="AQ62">
            <v>264</v>
          </cell>
          <cell r="AR62">
            <v>312</v>
          </cell>
          <cell r="AS62">
            <v>420</v>
          </cell>
          <cell r="AT62">
            <v>450</v>
          </cell>
          <cell r="AU62">
            <v>462</v>
          </cell>
          <cell r="AV62">
            <v>384</v>
          </cell>
          <cell r="AW62">
            <v>366</v>
          </cell>
          <cell r="AX62">
            <v>438</v>
          </cell>
          <cell r="AY62">
            <v>438</v>
          </cell>
          <cell r="AZ62">
            <v>438</v>
          </cell>
          <cell r="BA62">
            <v>438</v>
          </cell>
          <cell r="BB62">
            <v>438</v>
          </cell>
          <cell r="BC62">
            <v>438</v>
          </cell>
          <cell r="BD62">
            <v>438</v>
          </cell>
          <cell r="BE62">
            <v>438</v>
          </cell>
          <cell r="BF62">
            <v>438</v>
          </cell>
          <cell r="BG62">
            <v>438</v>
          </cell>
          <cell r="BH62">
            <v>438</v>
          </cell>
          <cell r="BI62">
            <v>438</v>
          </cell>
          <cell r="BJ62">
            <v>438</v>
          </cell>
          <cell r="BK62">
            <v>438</v>
          </cell>
          <cell r="BL62">
            <v>438</v>
          </cell>
          <cell r="BM62">
            <v>438</v>
          </cell>
          <cell r="BN62">
            <v>438</v>
          </cell>
          <cell r="BO62">
            <v>438</v>
          </cell>
          <cell r="BP62">
            <v>438</v>
          </cell>
          <cell r="BQ62">
            <v>438</v>
          </cell>
          <cell r="BR62">
            <v>438</v>
          </cell>
          <cell r="BS62">
            <v>438</v>
          </cell>
          <cell r="BT62">
            <v>438</v>
          </cell>
          <cell r="BU62">
            <v>438</v>
          </cell>
          <cell r="BV62">
            <v>438</v>
          </cell>
          <cell r="BW62">
            <v>438</v>
          </cell>
          <cell r="BX62">
            <v>438</v>
          </cell>
          <cell r="BY62">
            <v>438</v>
          </cell>
          <cell r="BZ62">
            <v>438</v>
          </cell>
          <cell r="CA62">
            <v>438</v>
          </cell>
          <cell r="CB62">
            <v>438</v>
          </cell>
          <cell r="CC62">
            <v>438</v>
          </cell>
          <cell r="CD62">
            <v>438</v>
          </cell>
          <cell r="CE62">
            <v>438</v>
          </cell>
          <cell r="CF62">
            <v>438</v>
          </cell>
          <cell r="CG62">
            <v>438</v>
          </cell>
          <cell r="CH62">
            <v>438</v>
          </cell>
          <cell r="CI62">
            <v>438</v>
          </cell>
          <cell r="CJ62">
            <v>438</v>
          </cell>
          <cell r="CK62">
            <v>438</v>
          </cell>
          <cell r="CL62">
            <v>438</v>
          </cell>
          <cell r="CM62">
            <v>438</v>
          </cell>
          <cell r="CN62">
            <v>438</v>
          </cell>
          <cell r="CO62">
            <v>438</v>
          </cell>
          <cell r="CP62">
            <v>438</v>
          </cell>
          <cell r="CQ62">
            <v>438</v>
          </cell>
          <cell r="CR62">
            <v>438</v>
          </cell>
          <cell r="CS62">
            <v>438</v>
          </cell>
          <cell r="CT62">
            <v>438</v>
          </cell>
          <cell r="CU62">
            <v>438</v>
          </cell>
          <cell r="CV62">
            <v>438</v>
          </cell>
          <cell r="CW62">
            <v>438</v>
          </cell>
          <cell r="CX62">
            <v>438</v>
          </cell>
          <cell r="CY62">
            <v>438</v>
          </cell>
          <cell r="CZ62">
            <v>438</v>
          </cell>
          <cell r="DA62">
            <v>438</v>
          </cell>
          <cell r="DB62">
            <v>438</v>
          </cell>
          <cell r="DC62">
            <v>438</v>
          </cell>
          <cell r="DD62">
            <v>438</v>
          </cell>
          <cell r="DE62">
            <v>438</v>
          </cell>
          <cell r="DF62">
            <v>438</v>
          </cell>
          <cell r="DG62">
            <v>438</v>
          </cell>
          <cell r="DH62">
            <v>438</v>
          </cell>
          <cell r="DI62">
            <v>438</v>
          </cell>
          <cell r="DJ62">
            <v>438</v>
          </cell>
          <cell r="DK62">
            <v>438</v>
          </cell>
          <cell r="DL62">
            <v>438</v>
          </cell>
          <cell r="DM62">
            <v>438</v>
          </cell>
          <cell r="DN62">
            <v>438</v>
          </cell>
          <cell r="DO62">
            <v>438</v>
          </cell>
          <cell r="DP62">
            <v>438</v>
          </cell>
          <cell r="DQ62">
            <v>438</v>
          </cell>
          <cell r="DR62">
            <v>438</v>
          </cell>
          <cell r="DS62">
            <v>438</v>
          </cell>
          <cell r="DT62">
            <v>438</v>
          </cell>
          <cell r="DU62">
            <v>438</v>
          </cell>
          <cell r="DV62">
            <v>438</v>
          </cell>
          <cell r="DW62">
            <v>438</v>
          </cell>
          <cell r="DX62">
            <v>438</v>
          </cell>
          <cell r="DY62">
            <v>438</v>
          </cell>
          <cell r="DZ62">
            <v>438</v>
          </cell>
          <cell r="EA62">
            <v>438</v>
          </cell>
          <cell r="EB62">
            <v>438</v>
          </cell>
          <cell r="EC62">
            <v>438</v>
          </cell>
          <cell r="ED62">
            <v>438</v>
          </cell>
          <cell r="EE62">
            <v>438</v>
          </cell>
          <cell r="EF62">
            <v>438</v>
          </cell>
          <cell r="EG62">
            <v>438</v>
          </cell>
          <cell r="EH62">
            <v>438</v>
          </cell>
          <cell r="EI62">
            <v>438</v>
          </cell>
          <cell r="EJ62">
            <v>438</v>
          </cell>
          <cell r="EK62">
            <v>438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2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200</v>
          </cell>
          <cell r="FH62">
            <v>0</v>
          </cell>
          <cell r="FI62">
            <v>200</v>
          </cell>
          <cell r="FJ62">
            <v>200</v>
          </cell>
          <cell r="FK62">
            <v>220</v>
          </cell>
          <cell r="FL62">
            <v>220</v>
          </cell>
          <cell r="FM62">
            <v>220</v>
          </cell>
          <cell r="FN62">
            <v>220</v>
          </cell>
          <cell r="FO62">
            <v>210</v>
          </cell>
          <cell r="FP62">
            <v>160</v>
          </cell>
          <cell r="FQ62">
            <v>160</v>
          </cell>
          <cell r="FR62">
            <v>160</v>
          </cell>
          <cell r="FS62">
            <v>150</v>
          </cell>
          <cell r="FT62">
            <v>42</v>
          </cell>
          <cell r="FU62">
            <v>42</v>
          </cell>
          <cell r="FV62">
            <v>36</v>
          </cell>
          <cell r="FW62">
            <v>0</v>
          </cell>
          <cell r="FX62">
            <v>36</v>
          </cell>
          <cell r="FY62">
            <v>138</v>
          </cell>
          <cell r="FZ62">
            <v>138</v>
          </cell>
          <cell r="GA62">
            <v>132</v>
          </cell>
          <cell r="GB62">
            <v>132</v>
          </cell>
          <cell r="GC62">
            <v>100</v>
          </cell>
          <cell r="GD62">
            <v>98</v>
          </cell>
          <cell r="GE62">
            <v>98</v>
          </cell>
          <cell r="GF62">
            <v>98</v>
          </cell>
          <cell r="GG62">
            <v>98</v>
          </cell>
          <cell r="GH62">
            <v>108</v>
          </cell>
          <cell r="GI62">
            <v>108</v>
          </cell>
          <cell r="GJ62">
            <v>108</v>
          </cell>
          <cell r="GK62">
            <v>102</v>
          </cell>
          <cell r="GL62">
            <v>114</v>
          </cell>
          <cell r="GM62">
            <v>114</v>
          </cell>
          <cell r="GN62">
            <v>114</v>
          </cell>
          <cell r="GO62">
            <v>114</v>
          </cell>
          <cell r="GP62">
            <v>48</v>
          </cell>
          <cell r="GQ62">
            <v>42</v>
          </cell>
          <cell r="GR62">
            <v>42</v>
          </cell>
          <cell r="GS62">
            <v>42</v>
          </cell>
          <cell r="GT62">
            <v>42</v>
          </cell>
          <cell r="GU62">
            <v>90</v>
          </cell>
          <cell r="GV62">
            <v>90</v>
          </cell>
          <cell r="GW62">
            <v>90</v>
          </cell>
          <cell r="GX62">
            <v>84</v>
          </cell>
          <cell r="GY62">
            <v>78</v>
          </cell>
          <cell r="GZ62">
            <v>78</v>
          </cell>
          <cell r="HA62">
            <v>78</v>
          </cell>
        </row>
        <row r="63">
          <cell r="D63">
            <v>78</v>
          </cell>
          <cell r="E63">
            <v>78</v>
          </cell>
          <cell r="F63">
            <v>78</v>
          </cell>
          <cell r="G63" t="str">
            <v>CUM</v>
          </cell>
          <cell r="H63">
            <v>78</v>
          </cell>
          <cell r="I63">
            <v>78</v>
          </cell>
          <cell r="J63">
            <v>78</v>
          </cell>
          <cell r="K63">
            <v>78</v>
          </cell>
          <cell r="L63">
            <v>78</v>
          </cell>
          <cell r="M63">
            <v>78</v>
          </cell>
          <cell r="N63">
            <v>78</v>
          </cell>
          <cell r="O63">
            <v>78</v>
          </cell>
          <cell r="P63">
            <v>78</v>
          </cell>
          <cell r="Q63">
            <v>78</v>
          </cell>
          <cell r="R63">
            <v>78</v>
          </cell>
          <cell r="S63">
            <v>78</v>
          </cell>
          <cell r="T63">
            <v>78</v>
          </cell>
          <cell r="U63">
            <v>78</v>
          </cell>
          <cell r="V63">
            <v>78</v>
          </cell>
          <cell r="W63">
            <v>78</v>
          </cell>
          <cell r="X63">
            <v>78</v>
          </cell>
          <cell r="Y63">
            <v>78</v>
          </cell>
          <cell r="Z63">
            <v>78</v>
          </cell>
          <cell r="AA63">
            <v>78</v>
          </cell>
          <cell r="AB63">
            <v>78</v>
          </cell>
          <cell r="AC63">
            <v>0</v>
          </cell>
          <cell r="AD63">
            <v>0</v>
          </cell>
          <cell r="AE63">
            <v>0</v>
          </cell>
          <cell r="AF63">
            <v>2</v>
          </cell>
          <cell r="AG63">
            <v>2</v>
          </cell>
          <cell r="AH63">
            <v>822</v>
          </cell>
          <cell r="AI63">
            <v>1692</v>
          </cell>
          <cell r="AJ63">
            <v>2322</v>
          </cell>
          <cell r="AK63">
            <v>2478</v>
          </cell>
          <cell r="AL63">
            <v>3018</v>
          </cell>
          <cell r="AM63">
            <v>3510</v>
          </cell>
          <cell r="AN63">
            <v>3936</v>
          </cell>
          <cell r="AO63">
            <v>4392</v>
          </cell>
          <cell r="AP63">
            <v>4608</v>
          </cell>
          <cell r="AQ63">
            <v>4872</v>
          </cell>
          <cell r="AR63">
            <v>5184</v>
          </cell>
          <cell r="AS63">
            <v>5604</v>
          </cell>
          <cell r="AT63">
            <v>6054</v>
          </cell>
          <cell r="AU63">
            <v>6516</v>
          </cell>
          <cell r="AV63">
            <v>6900</v>
          </cell>
          <cell r="AW63">
            <v>7266</v>
          </cell>
          <cell r="AX63">
            <v>7704</v>
          </cell>
          <cell r="AY63">
            <v>7704</v>
          </cell>
          <cell r="AZ63">
            <v>7704</v>
          </cell>
          <cell r="BA63">
            <v>7704</v>
          </cell>
          <cell r="BB63">
            <v>7704</v>
          </cell>
          <cell r="BC63">
            <v>7704</v>
          </cell>
          <cell r="BD63">
            <v>7704</v>
          </cell>
          <cell r="BE63">
            <v>7704</v>
          </cell>
          <cell r="BF63">
            <v>7704</v>
          </cell>
          <cell r="BG63">
            <v>7704</v>
          </cell>
          <cell r="BH63">
            <v>7704</v>
          </cell>
          <cell r="BI63">
            <v>7704</v>
          </cell>
          <cell r="BJ63">
            <v>7704</v>
          </cell>
          <cell r="BK63">
            <v>7704</v>
          </cell>
          <cell r="BL63">
            <v>7704</v>
          </cell>
          <cell r="BM63">
            <v>7704</v>
          </cell>
          <cell r="BN63">
            <v>7704</v>
          </cell>
          <cell r="BO63">
            <v>7704</v>
          </cell>
          <cell r="BP63">
            <v>7704</v>
          </cell>
          <cell r="BQ63">
            <v>7704</v>
          </cell>
          <cell r="BR63">
            <v>7704</v>
          </cell>
          <cell r="BS63">
            <v>7704</v>
          </cell>
          <cell r="BT63">
            <v>7704</v>
          </cell>
          <cell r="BU63">
            <v>7704</v>
          </cell>
          <cell r="BV63">
            <v>7704</v>
          </cell>
          <cell r="BW63">
            <v>7704</v>
          </cell>
          <cell r="BX63">
            <v>7704</v>
          </cell>
          <cell r="BY63">
            <v>7704</v>
          </cell>
          <cell r="BZ63">
            <v>7704</v>
          </cell>
          <cell r="CA63">
            <v>7704</v>
          </cell>
          <cell r="CB63">
            <v>7704</v>
          </cell>
          <cell r="CC63">
            <v>7704</v>
          </cell>
          <cell r="CD63">
            <v>7704</v>
          </cell>
          <cell r="CE63">
            <v>7704</v>
          </cell>
          <cell r="CF63">
            <v>7704</v>
          </cell>
          <cell r="CG63">
            <v>7704</v>
          </cell>
          <cell r="CH63">
            <v>7704</v>
          </cell>
          <cell r="CI63">
            <v>7704</v>
          </cell>
          <cell r="CJ63">
            <v>7704</v>
          </cell>
          <cell r="CK63">
            <v>7704</v>
          </cell>
          <cell r="CL63">
            <v>7704</v>
          </cell>
          <cell r="CM63">
            <v>7704</v>
          </cell>
          <cell r="CN63">
            <v>7704</v>
          </cell>
          <cell r="CO63">
            <v>7704</v>
          </cell>
          <cell r="CP63">
            <v>7704</v>
          </cell>
          <cell r="CQ63">
            <v>7704</v>
          </cell>
          <cell r="CR63">
            <v>7704</v>
          </cell>
          <cell r="CS63">
            <v>7704</v>
          </cell>
          <cell r="CT63">
            <v>7704</v>
          </cell>
          <cell r="CU63">
            <v>7704</v>
          </cell>
          <cell r="CV63">
            <v>7704</v>
          </cell>
          <cell r="CW63">
            <v>7704</v>
          </cell>
          <cell r="CX63">
            <v>7704</v>
          </cell>
          <cell r="CY63">
            <v>7704</v>
          </cell>
          <cell r="CZ63">
            <v>7704</v>
          </cell>
          <cell r="DA63">
            <v>7704</v>
          </cell>
          <cell r="DB63">
            <v>7704</v>
          </cell>
          <cell r="DC63">
            <v>7704</v>
          </cell>
          <cell r="DD63">
            <v>7704</v>
          </cell>
          <cell r="DE63">
            <v>7704</v>
          </cell>
          <cell r="DF63">
            <v>7704</v>
          </cell>
          <cell r="DG63">
            <v>7704</v>
          </cell>
          <cell r="DH63">
            <v>7704</v>
          </cell>
          <cell r="DI63">
            <v>7704</v>
          </cell>
          <cell r="DJ63">
            <v>7704</v>
          </cell>
          <cell r="DK63">
            <v>7704</v>
          </cell>
          <cell r="DL63">
            <v>7704</v>
          </cell>
          <cell r="DM63">
            <v>7704</v>
          </cell>
          <cell r="DN63">
            <v>7704</v>
          </cell>
          <cell r="DO63">
            <v>7704</v>
          </cell>
          <cell r="DP63">
            <v>7704</v>
          </cell>
          <cell r="DQ63">
            <v>7704</v>
          </cell>
          <cell r="DR63">
            <v>7704</v>
          </cell>
          <cell r="DS63">
            <v>7704</v>
          </cell>
          <cell r="DT63">
            <v>7704</v>
          </cell>
          <cell r="DU63">
            <v>7704</v>
          </cell>
          <cell r="DV63">
            <v>7704</v>
          </cell>
          <cell r="DW63">
            <v>7704</v>
          </cell>
          <cell r="DX63">
            <v>7704</v>
          </cell>
          <cell r="DY63">
            <v>7704</v>
          </cell>
          <cell r="DZ63">
            <v>7704</v>
          </cell>
          <cell r="EA63">
            <v>7704</v>
          </cell>
          <cell r="EB63">
            <v>7704</v>
          </cell>
          <cell r="EC63">
            <v>7704</v>
          </cell>
          <cell r="ED63">
            <v>7704</v>
          </cell>
          <cell r="EE63">
            <v>7704</v>
          </cell>
          <cell r="EF63">
            <v>7704</v>
          </cell>
          <cell r="EG63">
            <v>7704</v>
          </cell>
          <cell r="EH63">
            <v>7704</v>
          </cell>
          <cell r="EI63">
            <v>7704</v>
          </cell>
          <cell r="EJ63">
            <v>7704</v>
          </cell>
          <cell r="EK63">
            <v>7704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2</v>
          </cell>
          <cell r="FA63">
            <v>2</v>
          </cell>
          <cell r="FB63">
            <v>2</v>
          </cell>
          <cell r="FC63">
            <v>2</v>
          </cell>
          <cell r="FD63">
            <v>2</v>
          </cell>
          <cell r="FE63">
            <v>2</v>
          </cell>
          <cell r="FF63">
            <v>2</v>
          </cell>
          <cell r="FG63">
            <v>202</v>
          </cell>
          <cell r="FH63">
            <v>202</v>
          </cell>
          <cell r="FI63">
            <v>402</v>
          </cell>
          <cell r="FJ63">
            <v>602</v>
          </cell>
          <cell r="FK63">
            <v>822</v>
          </cell>
          <cell r="FL63">
            <v>1042</v>
          </cell>
          <cell r="FM63">
            <v>1262</v>
          </cell>
          <cell r="FN63">
            <v>1482</v>
          </cell>
          <cell r="FO63">
            <v>1692</v>
          </cell>
          <cell r="FP63">
            <v>1852</v>
          </cell>
          <cell r="FQ63">
            <v>2012</v>
          </cell>
          <cell r="FR63">
            <v>2172</v>
          </cell>
          <cell r="FS63">
            <v>2322</v>
          </cell>
          <cell r="FT63">
            <v>2364</v>
          </cell>
          <cell r="FU63">
            <v>2406</v>
          </cell>
          <cell r="FV63">
            <v>2442</v>
          </cell>
          <cell r="FW63">
            <v>2442</v>
          </cell>
          <cell r="FX63">
            <v>2478</v>
          </cell>
          <cell r="FY63">
            <v>2616</v>
          </cell>
          <cell r="FZ63">
            <v>2754</v>
          </cell>
          <cell r="GA63">
            <v>2886</v>
          </cell>
          <cell r="GB63">
            <v>3018</v>
          </cell>
          <cell r="GC63">
            <v>3118</v>
          </cell>
          <cell r="GD63">
            <v>3216</v>
          </cell>
          <cell r="GE63">
            <v>3314</v>
          </cell>
          <cell r="GF63">
            <v>3412</v>
          </cell>
          <cell r="GG63">
            <v>3510</v>
          </cell>
          <cell r="GH63">
            <v>3618</v>
          </cell>
          <cell r="GI63">
            <v>3726</v>
          </cell>
          <cell r="GJ63">
            <v>3834</v>
          </cell>
          <cell r="GK63">
            <v>3936</v>
          </cell>
          <cell r="GL63">
            <v>4050</v>
          </cell>
          <cell r="GM63">
            <v>4164</v>
          </cell>
          <cell r="GN63">
            <v>4278</v>
          </cell>
          <cell r="GO63">
            <v>4392</v>
          </cell>
          <cell r="GP63">
            <v>4440</v>
          </cell>
          <cell r="GQ63">
            <v>4482</v>
          </cell>
          <cell r="GR63">
            <v>4524</v>
          </cell>
          <cell r="GS63">
            <v>4566</v>
          </cell>
          <cell r="GT63">
            <v>4608</v>
          </cell>
          <cell r="GU63">
            <v>4698</v>
          </cell>
          <cell r="GV63">
            <v>4698</v>
          </cell>
          <cell r="GW63">
            <v>4788</v>
          </cell>
          <cell r="GX63">
            <v>4872</v>
          </cell>
          <cell r="GY63">
            <v>4950</v>
          </cell>
          <cell r="GZ63">
            <v>5028</v>
          </cell>
          <cell r="HA63">
            <v>5106</v>
          </cell>
        </row>
        <row r="64">
          <cell r="D64" t="str">
            <v>82116-0ZW90</v>
          </cell>
          <cell r="E64">
            <v>5106</v>
          </cell>
          <cell r="F64" t="str">
            <v>A01</v>
          </cell>
          <cell r="G64" t="str">
            <v>QTY</v>
          </cell>
          <cell r="H64">
            <v>5106</v>
          </cell>
          <cell r="I64">
            <v>5106</v>
          </cell>
          <cell r="J64">
            <v>5106</v>
          </cell>
          <cell r="K64">
            <v>5106</v>
          </cell>
          <cell r="L64">
            <v>5106</v>
          </cell>
          <cell r="M64">
            <v>5106</v>
          </cell>
          <cell r="N64">
            <v>5106</v>
          </cell>
          <cell r="O64">
            <v>5106</v>
          </cell>
          <cell r="P64">
            <v>5106</v>
          </cell>
          <cell r="Q64">
            <v>5106</v>
          </cell>
          <cell r="R64">
            <v>5106</v>
          </cell>
          <cell r="S64">
            <v>5106</v>
          </cell>
          <cell r="T64">
            <v>5106</v>
          </cell>
          <cell r="U64">
            <v>5106</v>
          </cell>
          <cell r="V64">
            <v>5106</v>
          </cell>
          <cell r="W64">
            <v>5106</v>
          </cell>
          <cell r="X64">
            <v>5106</v>
          </cell>
          <cell r="Y64">
            <v>5106</v>
          </cell>
          <cell r="Z64">
            <v>5106</v>
          </cell>
          <cell r="AA64">
            <v>5106</v>
          </cell>
          <cell r="AB64">
            <v>5106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450</v>
          </cell>
          <cell r="AN64">
            <v>978</v>
          </cell>
          <cell r="AO64">
            <v>630</v>
          </cell>
          <cell r="AP64">
            <v>750</v>
          </cell>
          <cell r="AQ64">
            <v>480</v>
          </cell>
          <cell r="AR64">
            <v>378</v>
          </cell>
          <cell r="AS64">
            <v>384</v>
          </cell>
          <cell r="AT64">
            <v>312</v>
          </cell>
          <cell r="AU64">
            <v>264</v>
          </cell>
          <cell r="AV64">
            <v>306</v>
          </cell>
          <cell r="AW64">
            <v>294</v>
          </cell>
          <cell r="AX64">
            <v>360</v>
          </cell>
          <cell r="AY64">
            <v>360</v>
          </cell>
          <cell r="AZ64">
            <v>360</v>
          </cell>
          <cell r="BA64">
            <v>360</v>
          </cell>
          <cell r="BB64">
            <v>360</v>
          </cell>
          <cell r="BC64">
            <v>360</v>
          </cell>
          <cell r="BD64">
            <v>360</v>
          </cell>
          <cell r="BE64">
            <v>360</v>
          </cell>
          <cell r="BF64">
            <v>360</v>
          </cell>
          <cell r="BG64">
            <v>360</v>
          </cell>
          <cell r="BH64">
            <v>360</v>
          </cell>
          <cell r="BI64">
            <v>360</v>
          </cell>
          <cell r="BJ64">
            <v>360</v>
          </cell>
          <cell r="BK64">
            <v>360</v>
          </cell>
          <cell r="BL64">
            <v>360</v>
          </cell>
          <cell r="BM64">
            <v>360</v>
          </cell>
          <cell r="BN64">
            <v>360</v>
          </cell>
          <cell r="BO64">
            <v>360</v>
          </cell>
          <cell r="BP64">
            <v>360</v>
          </cell>
          <cell r="BQ64">
            <v>360</v>
          </cell>
          <cell r="BR64">
            <v>360</v>
          </cell>
          <cell r="BS64">
            <v>360</v>
          </cell>
          <cell r="BT64">
            <v>360</v>
          </cell>
          <cell r="BU64">
            <v>360</v>
          </cell>
          <cell r="BV64">
            <v>360</v>
          </cell>
          <cell r="BW64">
            <v>360</v>
          </cell>
          <cell r="BX64">
            <v>360</v>
          </cell>
          <cell r="BY64">
            <v>360</v>
          </cell>
          <cell r="BZ64">
            <v>360</v>
          </cell>
          <cell r="CA64">
            <v>360</v>
          </cell>
          <cell r="CB64">
            <v>360</v>
          </cell>
          <cell r="CC64">
            <v>360</v>
          </cell>
          <cell r="CD64">
            <v>360</v>
          </cell>
          <cell r="CE64">
            <v>360</v>
          </cell>
          <cell r="CF64">
            <v>360</v>
          </cell>
          <cell r="CG64">
            <v>360</v>
          </cell>
          <cell r="CH64">
            <v>360</v>
          </cell>
          <cell r="CI64">
            <v>360</v>
          </cell>
          <cell r="CJ64">
            <v>360</v>
          </cell>
          <cell r="CK64">
            <v>360</v>
          </cell>
          <cell r="CL64">
            <v>360</v>
          </cell>
          <cell r="CM64">
            <v>360</v>
          </cell>
          <cell r="CN64">
            <v>360</v>
          </cell>
          <cell r="CO64">
            <v>360</v>
          </cell>
          <cell r="CP64">
            <v>360</v>
          </cell>
          <cell r="CQ64">
            <v>360</v>
          </cell>
          <cell r="CR64">
            <v>360</v>
          </cell>
          <cell r="CS64">
            <v>360</v>
          </cell>
          <cell r="CT64">
            <v>360</v>
          </cell>
          <cell r="CU64">
            <v>360</v>
          </cell>
          <cell r="CV64">
            <v>360</v>
          </cell>
          <cell r="CW64">
            <v>360</v>
          </cell>
          <cell r="CX64">
            <v>360</v>
          </cell>
          <cell r="CY64">
            <v>360</v>
          </cell>
          <cell r="CZ64">
            <v>360</v>
          </cell>
          <cell r="DA64">
            <v>360</v>
          </cell>
          <cell r="DB64">
            <v>360</v>
          </cell>
          <cell r="DC64">
            <v>360</v>
          </cell>
          <cell r="DD64">
            <v>360</v>
          </cell>
          <cell r="DE64">
            <v>360</v>
          </cell>
          <cell r="DF64">
            <v>360</v>
          </cell>
          <cell r="DG64">
            <v>360</v>
          </cell>
          <cell r="DH64">
            <v>360</v>
          </cell>
          <cell r="DI64">
            <v>360</v>
          </cell>
          <cell r="DJ64">
            <v>360</v>
          </cell>
          <cell r="DK64">
            <v>360</v>
          </cell>
          <cell r="DL64">
            <v>360</v>
          </cell>
          <cell r="DM64">
            <v>360</v>
          </cell>
          <cell r="DN64">
            <v>360</v>
          </cell>
          <cell r="DO64">
            <v>360</v>
          </cell>
          <cell r="DP64">
            <v>360</v>
          </cell>
          <cell r="DQ64">
            <v>360</v>
          </cell>
          <cell r="DR64">
            <v>360</v>
          </cell>
          <cell r="DS64">
            <v>360</v>
          </cell>
          <cell r="DT64">
            <v>360</v>
          </cell>
          <cell r="DU64">
            <v>360</v>
          </cell>
          <cell r="DV64">
            <v>360</v>
          </cell>
          <cell r="DW64">
            <v>360</v>
          </cell>
          <cell r="DX64">
            <v>360</v>
          </cell>
          <cell r="DY64">
            <v>360</v>
          </cell>
          <cell r="DZ64">
            <v>360</v>
          </cell>
          <cell r="EA64">
            <v>360</v>
          </cell>
          <cell r="EB64">
            <v>360</v>
          </cell>
          <cell r="EC64">
            <v>360</v>
          </cell>
          <cell r="ED64">
            <v>360</v>
          </cell>
          <cell r="EE64">
            <v>360</v>
          </cell>
          <cell r="EF64">
            <v>360</v>
          </cell>
          <cell r="EG64">
            <v>360</v>
          </cell>
          <cell r="EH64">
            <v>360</v>
          </cell>
          <cell r="EI64">
            <v>360</v>
          </cell>
          <cell r="EJ64">
            <v>360</v>
          </cell>
          <cell r="EK64">
            <v>360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90</v>
          </cell>
          <cell r="GD64">
            <v>90</v>
          </cell>
          <cell r="GE64">
            <v>90</v>
          </cell>
          <cell r="GF64">
            <v>90</v>
          </cell>
          <cell r="GG64">
            <v>90</v>
          </cell>
          <cell r="GH64">
            <v>246</v>
          </cell>
          <cell r="GI64">
            <v>246</v>
          </cell>
          <cell r="GJ64">
            <v>246</v>
          </cell>
          <cell r="GK64">
            <v>240</v>
          </cell>
          <cell r="GL64">
            <v>162</v>
          </cell>
          <cell r="GM64">
            <v>156</v>
          </cell>
          <cell r="GN64">
            <v>156</v>
          </cell>
          <cell r="GO64">
            <v>156</v>
          </cell>
          <cell r="GP64">
            <v>150</v>
          </cell>
          <cell r="GQ64">
            <v>150</v>
          </cell>
          <cell r="GR64">
            <v>150</v>
          </cell>
          <cell r="GS64">
            <v>150</v>
          </cell>
          <cell r="GT64">
            <v>150</v>
          </cell>
          <cell r="GU64">
            <v>162</v>
          </cell>
          <cell r="GV64">
            <v>162</v>
          </cell>
          <cell r="GW64">
            <v>162</v>
          </cell>
          <cell r="GX64">
            <v>156</v>
          </cell>
          <cell r="GY64">
            <v>96</v>
          </cell>
          <cell r="GZ64">
            <v>96</v>
          </cell>
          <cell r="HA64">
            <v>96</v>
          </cell>
        </row>
        <row r="65">
          <cell r="D65">
            <v>96</v>
          </cell>
          <cell r="E65">
            <v>96</v>
          </cell>
          <cell r="F65">
            <v>96</v>
          </cell>
          <cell r="G65" t="str">
            <v>CUM</v>
          </cell>
          <cell r="H65">
            <v>96</v>
          </cell>
          <cell r="I65">
            <v>96</v>
          </cell>
          <cell r="J65">
            <v>96</v>
          </cell>
          <cell r="K65">
            <v>96</v>
          </cell>
          <cell r="L65">
            <v>96</v>
          </cell>
          <cell r="M65">
            <v>96</v>
          </cell>
          <cell r="N65">
            <v>96</v>
          </cell>
          <cell r="O65">
            <v>96</v>
          </cell>
          <cell r="P65">
            <v>96</v>
          </cell>
          <cell r="Q65">
            <v>96</v>
          </cell>
          <cell r="R65">
            <v>96</v>
          </cell>
          <cell r="S65">
            <v>96</v>
          </cell>
          <cell r="T65">
            <v>96</v>
          </cell>
          <cell r="U65">
            <v>96</v>
          </cell>
          <cell r="V65">
            <v>96</v>
          </cell>
          <cell r="W65">
            <v>96</v>
          </cell>
          <cell r="X65">
            <v>96</v>
          </cell>
          <cell r="Y65">
            <v>96</v>
          </cell>
          <cell r="Z65">
            <v>96</v>
          </cell>
          <cell r="AA65">
            <v>96</v>
          </cell>
          <cell r="AB65">
            <v>96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450</v>
          </cell>
          <cell r="AN65">
            <v>1428</v>
          </cell>
          <cell r="AO65">
            <v>2058</v>
          </cell>
          <cell r="AP65">
            <v>2808</v>
          </cell>
          <cell r="AQ65">
            <v>3288</v>
          </cell>
          <cell r="AR65">
            <v>3666</v>
          </cell>
          <cell r="AS65">
            <v>4050</v>
          </cell>
          <cell r="AT65">
            <v>4362</v>
          </cell>
          <cell r="AU65">
            <v>4626</v>
          </cell>
          <cell r="AV65">
            <v>4932</v>
          </cell>
          <cell r="AW65">
            <v>5226</v>
          </cell>
          <cell r="AX65">
            <v>5586</v>
          </cell>
          <cell r="AY65">
            <v>5586</v>
          </cell>
          <cell r="AZ65">
            <v>5586</v>
          </cell>
          <cell r="BA65">
            <v>5586</v>
          </cell>
          <cell r="BB65">
            <v>5586</v>
          </cell>
          <cell r="BC65">
            <v>5586</v>
          </cell>
          <cell r="BD65">
            <v>5586</v>
          </cell>
          <cell r="BE65">
            <v>5586</v>
          </cell>
          <cell r="BF65">
            <v>5586</v>
          </cell>
          <cell r="BG65">
            <v>5586</v>
          </cell>
          <cell r="BH65">
            <v>5586</v>
          </cell>
          <cell r="BI65">
            <v>5586</v>
          </cell>
          <cell r="BJ65">
            <v>5586</v>
          </cell>
          <cell r="BK65">
            <v>5586</v>
          </cell>
          <cell r="BL65">
            <v>5586</v>
          </cell>
          <cell r="BM65">
            <v>5586</v>
          </cell>
          <cell r="BN65">
            <v>5586</v>
          </cell>
          <cell r="BO65">
            <v>5586</v>
          </cell>
          <cell r="BP65">
            <v>5586</v>
          </cell>
          <cell r="BQ65">
            <v>5586</v>
          </cell>
          <cell r="BR65">
            <v>5586</v>
          </cell>
          <cell r="BS65">
            <v>5586</v>
          </cell>
          <cell r="BT65">
            <v>5586</v>
          </cell>
          <cell r="BU65">
            <v>5586</v>
          </cell>
          <cell r="BV65">
            <v>5586</v>
          </cell>
          <cell r="BW65">
            <v>5586</v>
          </cell>
          <cell r="BX65">
            <v>5586</v>
          </cell>
          <cell r="BY65">
            <v>5586</v>
          </cell>
          <cell r="BZ65">
            <v>5586</v>
          </cell>
          <cell r="CA65">
            <v>5586</v>
          </cell>
          <cell r="CB65">
            <v>5586</v>
          </cell>
          <cell r="CC65">
            <v>5586</v>
          </cell>
          <cell r="CD65">
            <v>5586</v>
          </cell>
          <cell r="CE65">
            <v>5586</v>
          </cell>
          <cell r="CF65">
            <v>5586</v>
          </cell>
          <cell r="CG65">
            <v>5586</v>
          </cell>
          <cell r="CH65">
            <v>5586</v>
          </cell>
          <cell r="CI65">
            <v>5586</v>
          </cell>
          <cell r="CJ65">
            <v>5586</v>
          </cell>
          <cell r="CK65">
            <v>5586</v>
          </cell>
          <cell r="CL65">
            <v>5586</v>
          </cell>
          <cell r="CM65">
            <v>5586</v>
          </cell>
          <cell r="CN65">
            <v>5586</v>
          </cell>
          <cell r="CO65">
            <v>5586</v>
          </cell>
          <cell r="CP65">
            <v>5586</v>
          </cell>
          <cell r="CQ65">
            <v>5586</v>
          </cell>
          <cell r="CR65">
            <v>5586</v>
          </cell>
          <cell r="CS65">
            <v>5586</v>
          </cell>
          <cell r="CT65">
            <v>5586</v>
          </cell>
          <cell r="CU65">
            <v>5586</v>
          </cell>
          <cell r="CV65">
            <v>5586</v>
          </cell>
          <cell r="CW65">
            <v>5586</v>
          </cell>
          <cell r="CX65">
            <v>5586</v>
          </cell>
          <cell r="CY65">
            <v>5586</v>
          </cell>
          <cell r="CZ65">
            <v>5586</v>
          </cell>
          <cell r="DA65">
            <v>5586</v>
          </cell>
          <cell r="DB65">
            <v>5586</v>
          </cell>
          <cell r="DC65">
            <v>5586</v>
          </cell>
          <cell r="DD65">
            <v>5586</v>
          </cell>
          <cell r="DE65">
            <v>5586</v>
          </cell>
          <cell r="DF65">
            <v>5586</v>
          </cell>
          <cell r="DG65">
            <v>5586</v>
          </cell>
          <cell r="DH65">
            <v>5586</v>
          </cell>
          <cell r="DI65">
            <v>5586</v>
          </cell>
          <cell r="DJ65">
            <v>5586</v>
          </cell>
          <cell r="DK65">
            <v>5586</v>
          </cell>
          <cell r="DL65">
            <v>5586</v>
          </cell>
          <cell r="DM65">
            <v>5586</v>
          </cell>
          <cell r="DN65">
            <v>5586</v>
          </cell>
          <cell r="DO65">
            <v>5586</v>
          </cell>
          <cell r="DP65">
            <v>5586</v>
          </cell>
          <cell r="DQ65">
            <v>5586</v>
          </cell>
          <cell r="DR65">
            <v>5586</v>
          </cell>
          <cell r="DS65">
            <v>5586</v>
          </cell>
          <cell r="DT65">
            <v>5586</v>
          </cell>
          <cell r="DU65">
            <v>5586</v>
          </cell>
          <cell r="DV65">
            <v>5586</v>
          </cell>
          <cell r="DW65">
            <v>5586</v>
          </cell>
          <cell r="DX65">
            <v>5586</v>
          </cell>
          <cell r="DY65">
            <v>5586</v>
          </cell>
          <cell r="DZ65">
            <v>5586</v>
          </cell>
          <cell r="EA65">
            <v>5586</v>
          </cell>
          <cell r="EB65">
            <v>5586</v>
          </cell>
          <cell r="EC65">
            <v>5586</v>
          </cell>
          <cell r="ED65">
            <v>5586</v>
          </cell>
          <cell r="EE65">
            <v>5586</v>
          </cell>
          <cell r="EF65">
            <v>5586</v>
          </cell>
          <cell r="EG65">
            <v>5586</v>
          </cell>
          <cell r="EH65">
            <v>5586</v>
          </cell>
          <cell r="EI65">
            <v>5586</v>
          </cell>
          <cell r="EJ65">
            <v>5586</v>
          </cell>
          <cell r="EK65">
            <v>5586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90</v>
          </cell>
          <cell r="GD65">
            <v>180</v>
          </cell>
          <cell r="GE65">
            <v>270</v>
          </cell>
          <cell r="GF65">
            <v>360</v>
          </cell>
          <cell r="GG65">
            <v>450</v>
          </cell>
          <cell r="GH65">
            <v>696</v>
          </cell>
          <cell r="GI65">
            <v>942</v>
          </cell>
          <cell r="GJ65">
            <v>1188</v>
          </cell>
          <cell r="GK65">
            <v>1428</v>
          </cell>
          <cell r="GL65">
            <v>1590</v>
          </cell>
          <cell r="GM65">
            <v>1746</v>
          </cell>
          <cell r="GN65">
            <v>1902</v>
          </cell>
          <cell r="GO65">
            <v>2058</v>
          </cell>
          <cell r="GP65">
            <v>2208</v>
          </cell>
          <cell r="GQ65">
            <v>2358</v>
          </cell>
          <cell r="GR65">
            <v>2508</v>
          </cell>
          <cell r="GS65">
            <v>2658</v>
          </cell>
          <cell r="GT65">
            <v>2808</v>
          </cell>
          <cell r="GU65">
            <v>2970</v>
          </cell>
          <cell r="GV65">
            <v>2970</v>
          </cell>
          <cell r="GW65">
            <v>3132</v>
          </cell>
          <cell r="GX65">
            <v>3288</v>
          </cell>
          <cell r="GY65">
            <v>3384</v>
          </cell>
          <cell r="GZ65">
            <v>3480</v>
          </cell>
          <cell r="HA65">
            <v>3576</v>
          </cell>
        </row>
        <row r="66">
          <cell r="D66" t="str">
            <v>82116-0ZX70</v>
          </cell>
          <cell r="E66">
            <v>3576</v>
          </cell>
          <cell r="F66" t="str">
            <v>A01</v>
          </cell>
          <cell r="G66" t="str">
            <v>QTY</v>
          </cell>
          <cell r="H66">
            <v>3576</v>
          </cell>
          <cell r="I66">
            <v>3576</v>
          </cell>
          <cell r="J66">
            <v>3576</v>
          </cell>
          <cell r="K66">
            <v>3576</v>
          </cell>
          <cell r="L66">
            <v>3576</v>
          </cell>
          <cell r="M66">
            <v>3576</v>
          </cell>
          <cell r="N66">
            <v>3576</v>
          </cell>
          <cell r="O66">
            <v>3576</v>
          </cell>
          <cell r="P66">
            <v>3576</v>
          </cell>
          <cell r="Q66">
            <v>3576</v>
          </cell>
          <cell r="R66">
            <v>3576</v>
          </cell>
          <cell r="S66">
            <v>3576</v>
          </cell>
          <cell r="T66">
            <v>3576</v>
          </cell>
          <cell r="U66">
            <v>3576</v>
          </cell>
          <cell r="V66">
            <v>3576</v>
          </cell>
          <cell r="W66">
            <v>3576</v>
          </cell>
          <cell r="X66">
            <v>3576</v>
          </cell>
          <cell r="Y66">
            <v>3576</v>
          </cell>
          <cell r="Z66">
            <v>3576</v>
          </cell>
          <cell r="AA66">
            <v>3576</v>
          </cell>
          <cell r="AB66">
            <v>3576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6</v>
          </cell>
          <cell r="AN66">
            <v>6</v>
          </cell>
          <cell r="AO66">
            <v>18</v>
          </cell>
          <cell r="AP66">
            <v>18</v>
          </cell>
          <cell r="AQ66">
            <v>12</v>
          </cell>
          <cell r="AR66">
            <v>12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6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6</v>
          </cell>
          <cell r="GI66">
            <v>0</v>
          </cell>
          <cell r="GJ66">
            <v>0</v>
          </cell>
          <cell r="GK66">
            <v>0</v>
          </cell>
          <cell r="GL66">
            <v>18</v>
          </cell>
          <cell r="GM66">
            <v>0</v>
          </cell>
          <cell r="GN66">
            <v>0</v>
          </cell>
          <cell r="GO66">
            <v>0</v>
          </cell>
          <cell r="GP66">
            <v>18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12</v>
          </cell>
          <cell r="GV66">
            <v>12</v>
          </cell>
          <cell r="GW66">
            <v>0</v>
          </cell>
          <cell r="GX66">
            <v>0</v>
          </cell>
          <cell r="GY66">
            <v>12</v>
          </cell>
          <cell r="GZ66">
            <v>0</v>
          </cell>
          <cell r="HA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 t="str">
            <v>CUM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6</v>
          </cell>
          <cell r="AN67">
            <v>12</v>
          </cell>
          <cell r="AO67">
            <v>30</v>
          </cell>
          <cell r="AP67">
            <v>48</v>
          </cell>
          <cell r="AQ67">
            <v>60</v>
          </cell>
          <cell r="AR67">
            <v>72</v>
          </cell>
          <cell r="AS67">
            <v>72</v>
          </cell>
          <cell r="AT67">
            <v>72</v>
          </cell>
          <cell r="AU67">
            <v>72</v>
          </cell>
          <cell r="AV67">
            <v>72</v>
          </cell>
          <cell r="AW67">
            <v>72</v>
          </cell>
          <cell r="AX67">
            <v>72</v>
          </cell>
          <cell r="AY67">
            <v>72</v>
          </cell>
          <cell r="AZ67">
            <v>72</v>
          </cell>
          <cell r="BA67">
            <v>72</v>
          </cell>
          <cell r="BB67">
            <v>72</v>
          </cell>
          <cell r="BC67">
            <v>72</v>
          </cell>
          <cell r="BD67">
            <v>72</v>
          </cell>
          <cell r="BE67">
            <v>72</v>
          </cell>
          <cell r="BF67">
            <v>72</v>
          </cell>
          <cell r="BG67">
            <v>72</v>
          </cell>
          <cell r="BH67">
            <v>72</v>
          </cell>
          <cell r="BI67">
            <v>72</v>
          </cell>
          <cell r="BJ67">
            <v>72</v>
          </cell>
          <cell r="BK67">
            <v>72</v>
          </cell>
          <cell r="BL67">
            <v>72</v>
          </cell>
          <cell r="BM67">
            <v>72</v>
          </cell>
          <cell r="BN67">
            <v>72</v>
          </cell>
          <cell r="BO67">
            <v>72</v>
          </cell>
          <cell r="BP67">
            <v>72</v>
          </cell>
          <cell r="BQ67">
            <v>72</v>
          </cell>
          <cell r="BR67">
            <v>72</v>
          </cell>
          <cell r="BS67">
            <v>72</v>
          </cell>
          <cell r="BT67">
            <v>72</v>
          </cell>
          <cell r="BU67">
            <v>72</v>
          </cell>
          <cell r="BV67">
            <v>72</v>
          </cell>
          <cell r="BW67">
            <v>72</v>
          </cell>
          <cell r="BX67">
            <v>72</v>
          </cell>
          <cell r="BY67">
            <v>72</v>
          </cell>
          <cell r="BZ67">
            <v>72</v>
          </cell>
          <cell r="CA67">
            <v>72</v>
          </cell>
          <cell r="CB67">
            <v>72</v>
          </cell>
          <cell r="CC67">
            <v>72</v>
          </cell>
          <cell r="CD67">
            <v>72</v>
          </cell>
          <cell r="CE67">
            <v>72</v>
          </cell>
          <cell r="CF67">
            <v>72</v>
          </cell>
          <cell r="CG67">
            <v>72</v>
          </cell>
          <cell r="CH67">
            <v>72</v>
          </cell>
          <cell r="CI67">
            <v>72</v>
          </cell>
          <cell r="CJ67">
            <v>72</v>
          </cell>
          <cell r="CK67">
            <v>72</v>
          </cell>
          <cell r="CL67">
            <v>72</v>
          </cell>
          <cell r="CM67">
            <v>72</v>
          </cell>
          <cell r="CN67">
            <v>72</v>
          </cell>
          <cell r="CO67">
            <v>72</v>
          </cell>
          <cell r="CP67">
            <v>72</v>
          </cell>
          <cell r="CQ67">
            <v>72</v>
          </cell>
          <cell r="CR67">
            <v>72</v>
          </cell>
          <cell r="CS67">
            <v>72</v>
          </cell>
          <cell r="CT67">
            <v>72</v>
          </cell>
          <cell r="CU67">
            <v>72</v>
          </cell>
          <cell r="CV67">
            <v>72</v>
          </cell>
          <cell r="CW67">
            <v>72</v>
          </cell>
          <cell r="CX67">
            <v>72</v>
          </cell>
          <cell r="CY67">
            <v>72</v>
          </cell>
          <cell r="CZ67">
            <v>72</v>
          </cell>
          <cell r="DA67">
            <v>72</v>
          </cell>
          <cell r="DB67">
            <v>72</v>
          </cell>
          <cell r="DC67">
            <v>72</v>
          </cell>
          <cell r="DD67">
            <v>72</v>
          </cell>
          <cell r="DE67">
            <v>72</v>
          </cell>
          <cell r="DF67">
            <v>72</v>
          </cell>
          <cell r="DG67">
            <v>72</v>
          </cell>
          <cell r="DH67">
            <v>72</v>
          </cell>
          <cell r="DI67">
            <v>72</v>
          </cell>
          <cell r="DJ67">
            <v>72</v>
          </cell>
          <cell r="DK67">
            <v>72</v>
          </cell>
          <cell r="DL67">
            <v>72</v>
          </cell>
          <cell r="DM67">
            <v>72</v>
          </cell>
          <cell r="DN67">
            <v>72</v>
          </cell>
          <cell r="DO67">
            <v>72</v>
          </cell>
          <cell r="DP67">
            <v>72</v>
          </cell>
          <cell r="DQ67">
            <v>72</v>
          </cell>
          <cell r="DR67">
            <v>72</v>
          </cell>
          <cell r="DS67">
            <v>72</v>
          </cell>
          <cell r="DT67">
            <v>72</v>
          </cell>
          <cell r="DU67">
            <v>72</v>
          </cell>
          <cell r="DV67">
            <v>72</v>
          </cell>
          <cell r="DW67">
            <v>72</v>
          </cell>
          <cell r="DX67">
            <v>72</v>
          </cell>
          <cell r="DY67">
            <v>72</v>
          </cell>
          <cell r="DZ67">
            <v>72</v>
          </cell>
          <cell r="EA67">
            <v>72</v>
          </cell>
          <cell r="EB67">
            <v>72</v>
          </cell>
          <cell r="EC67">
            <v>72</v>
          </cell>
          <cell r="ED67">
            <v>72</v>
          </cell>
          <cell r="EE67">
            <v>72</v>
          </cell>
          <cell r="EF67">
            <v>72</v>
          </cell>
          <cell r="EG67">
            <v>72</v>
          </cell>
          <cell r="EH67">
            <v>72</v>
          </cell>
          <cell r="EI67">
            <v>72</v>
          </cell>
          <cell r="EJ67">
            <v>72</v>
          </cell>
          <cell r="EK67">
            <v>72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6</v>
          </cell>
          <cell r="GD67">
            <v>6</v>
          </cell>
          <cell r="GE67">
            <v>6</v>
          </cell>
          <cell r="GF67">
            <v>6</v>
          </cell>
          <cell r="GG67">
            <v>6</v>
          </cell>
          <cell r="GH67">
            <v>12</v>
          </cell>
          <cell r="GI67">
            <v>12</v>
          </cell>
          <cell r="GJ67">
            <v>12</v>
          </cell>
          <cell r="GK67">
            <v>12</v>
          </cell>
          <cell r="GL67">
            <v>30</v>
          </cell>
          <cell r="GM67">
            <v>30</v>
          </cell>
          <cell r="GN67">
            <v>30</v>
          </cell>
          <cell r="GO67">
            <v>30</v>
          </cell>
          <cell r="GP67">
            <v>48</v>
          </cell>
          <cell r="GQ67">
            <v>48</v>
          </cell>
          <cell r="GR67">
            <v>48</v>
          </cell>
          <cell r="GS67">
            <v>48</v>
          </cell>
          <cell r="GT67">
            <v>48</v>
          </cell>
          <cell r="GU67">
            <v>60</v>
          </cell>
          <cell r="GV67">
            <v>60</v>
          </cell>
          <cell r="GW67">
            <v>60</v>
          </cell>
          <cell r="GX67">
            <v>60</v>
          </cell>
          <cell r="GY67">
            <v>72</v>
          </cell>
          <cell r="GZ67">
            <v>72</v>
          </cell>
          <cell r="HA67">
            <v>72</v>
          </cell>
        </row>
        <row r="68">
          <cell r="D68" t="str">
            <v>82116-0ZX80</v>
          </cell>
          <cell r="E68">
            <v>72</v>
          </cell>
          <cell r="F68" t="str">
            <v>002</v>
          </cell>
          <cell r="G68" t="str">
            <v>QTY</v>
          </cell>
          <cell r="H68">
            <v>72</v>
          </cell>
          <cell r="I68">
            <v>72</v>
          </cell>
          <cell r="J68">
            <v>72</v>
          </cell>
          <cell r="K68">
            <v>72</v>
          </cell>
          <cell r="L68">
            <v>72</v>
          </cell>
          <cell r="M68">
            <v>72</v>
          </cell>
          <cell r="N68">
            <v>72</v>
          </cell>
          <cell r="O68">
            <v>72</v>
          </cell>
          <cell r="P68">
            <v>72</v>
          </cell>
          <cell r="Q68">
            <v>72</v>
          </cell>
          <cell r="R68">
            <v>72</v>
          </cell>
          <cell r="S68">
            <v>72</v>
          </cell>
          <cell r="T68">
            <v>72</v>
          </cell>
          <cell r="U68">
            <v>72</v>
          </cell>
          <cell r="V68">
            <v>72</v>
          </cell>
          <cell r="W68">
            <v>72</v>
          </cell>
          <cell r="X68">
            <v>72</v>
          </cell>
          <cell r="Y68">
            <v>72</v>
          </cell>
          <cell r="Z68">
            <v>72</v>
          </cell>
          <cell r="AA68">
            <v>72</v>
          </cell>
          <cell r="AB68">
            <v>72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90</v>
          </cell>
          <cell r="AI68">
            <v>90</v>
          </cell>
          <cell r="AJ68">
            <v>70</v>
          </cell>
          <cell r="AK68">
            <v>18</v>
          </cell>
          <cell r="AL68">
            <v>54</v>
          </cell>
          <cell r="AM68">
            <v>54</v>
          </cell>
          <cell r="AN68">
            <v>66</v>
          </cell>
          <cell r="AO68">
            <v>66</v>
          </cell>
          <cell r="AP68">
            <v>66</v>
          </cell>
          <cell r="AQ68">
            <v>48</v>
          </cell>
          <cell r="AR68">
            <v>30</v>
          </cell>
          <cell r="AS68">
            <v>54</v>
          </cell>
          <cell r="AT68">
            <v>72</v>
          </cell>
          <cell r="AU68">
            <v>60</v>
          </cell>
          <cell r="AV68">
            <v>48</v>
          </cell>
          <cell r="AW68">
            <v>54</v>
          </cell>
          <cell r="AX68">
            <v>60</v>
          </cell>
          <cell r="AY68">
            <v>60</v>
          </cell>
          <cell r="AZ68">
            <v>60</v>
          </cell>
          <cell r="BA68">
            <v>60</v>
          </cell>
          <cell r="BB68">
            <v>60</v>
          </cell>
          <cell r="BC68">
            <v>60</v>
          </cell>
          <cell r="BD68">
            <v>60</v>
          </cell>
          <cell r="BE68">
            <v>60</v>
          </cell>
          <cell r="BF68">
            <v>60</v>
          </cell>
          <cell r="BG68">
            <v>60</v>
          </cell>
          <cell r="BH68">
            <v>60</v>
          </cell>
          <cell r="BI68">
            <v>60</v>
          </cell>
          <cell r="BJ68">
            <v>60</v>
          </cell>
          <cell r="BK68">
            <v>60</v>
          </cell>
          <cell r="BL68">
            <v>60</v>
          </cell>
          <cell r="BM68">
            <v>60</v>
          </cell>
          <cell r="BN68">
            <v>60</v>
          </cell>
          <cell r="BO68">
            <v>60</v>
          </cell>
          <cell r="BP68">
            <v>60</v>
          </cell>
          <cell r="BQ68">
            <v>60</v>
          </cell>
          <cell r="BR68">
            <v>60</v>
          </cell>
          <cell r="BS68">
            <v>60</v>
          </cell>
          <cell r="BT68">
            <v>60</v>
          </cell>
          <cell r="BU68">
            <v>60</v>
          </cell>
          <cell r="BV68">
            <v>60</v>
          </cell>
          <cell r="BW68">
            <v>60</v>
          </cell>
          <cell r="BX68">
            <v>60</v>
          </cell>
          <cell r="BY68">
            <v>60</v>
          </cell>
          <cell r="BZ68">
            <v>60</v>
          </cell>
          <cell r="CA68">
            <v>60</v>
          </cell>
          <cell r="CB68">
            <v>60</v>
          </cell>
          <cell r="CC68">
            <v>60</v>
          </cell>
          <cell r="CD68">
            <v>60</v>
          </cell>
          <cell r="CE68">
            <v>60</v>
          </cell>
          <cell r="CF68">
            <v>60</v>
          </cell>
          <cell r="CG68">
            <v>60</v>
          </cell>
          <cell r="CH68">
            <v>60</v>
          </cell>
          <cell r="CI68">
            <v>60</v>
          </cell>
          <cell r="CJ68">
            <v>60</v>
          </cell>
          <cell r="CK68">
            <v>60</v>
          </cell>
          <cell r="CL68">
            <v>60</v>
          </cell>
          <cell r="CM68">
            <v>60</v>
          </cell>
          <cell r="CN68">
            <v>60</v>
          </cell>
          <cell r="CO68">
            <v>60</v>
          </cell>
          <cell r="CP68">
            <v>60</v>
          </cell>
          <cell r="CQ68">
            <v>60</v>
          </cell>
          <cell r="CR68">
            <v>60</v>
          </cell>
          <cell r="CS68">
            <v>60</v>
          </cell>
          <cell r="CT68">
            <v>60</v>
          </cell>
          <cell r="CU68">
            <v>60</v>
          </cell>
          <cell r="CV68">
            <v>60</v>
          </cell>
          <cell r="CW68">
            <v>60</v>
          </cell>
          <cell r="CX68">
            <v>60</v>
          </cell>
          <cell r="CY68">
            <v>60</v>
          </cell>
          <cell r="CZ68">
            <v>60</v>
          </cell>
          <cell r="DA68">
            <v>60</v>
          </cell>
          <cell r="DB68">
            <v>60</v>
          </cell>
          <cell r="DC68">
            <v>60</v>
          </cell>
          <cell r="DD68">
            <v>60</v>
          </cell>
          <cell r="DE68">
            <v>60</v>
          </cell>
          <cell r="DF68">
            <v>60</v>
          </cell>
          <cell r="DG68">
            <v>60</v>
          </cell>
          <cell r="DH68">
            <v>60</v>
          </cell>
          <cell r="DI68">
            <v>60</v>
          </cell>
          <cell r="DJ68">
            <v>60</v>
          </cell>
          <cell r="DK68">
            <v>60</v>
          </cell>
          <cell r="DL68">
            <v>60</v>
          </cell>
          <cell r="DM68">
            <v>60</v>
          </cell>
          <cell r="DN68">
            <v>60</v>
          </cell>
          <cell r="DO68">
            <v>60</v>
          </cell>
          <cell r="DP68">
            <v>60</v>
          </cell>
          <cell r="DQ68">
            <v>60</v>
          </cell>
          <cell r="DR68">
            <v>60</v>
          </cell>
          <cell r="DS68">
            <v>60</v>
          </cell>
          <cell r="DT68">
            <v>60</v>
          </cell>
          <cell r="DU68">
            <v>60</v>
          </cell>
          <cell r="DV68">
            <v>60</v>
          </cell>
          <cell r="DW68">
            <v>60</v>
          </cell>
          <cell r="DX68">
            <v>60</v>
          </cell>
          <cell r="DY68">
            <v>60</v>
          </cell>
          <cell r="DZ68">
            <v>60</v>
          </cell>
          <cell r="EA68">
            <v>60</v>
          </cell>
          <cell r="EB68">
            <v>60</v>
          </cell>
          <cell r="EC68">
            <v>60</v>
          </cell>
          <cell r="ED68">
            <v>60</v>
          </cell>
          <cell r="EE68">
            <v>60</v>
          </cell>
          <cell r="EF68">
            <v>60</v>
          </cell>
          <cell r="EG68">
            <v>60</v>
          </cell>
          <cell r="EH68">
            <v>60</v>
          </cell>
          <cell r="EI68">
            <v>60</v>
          </cell>
          <cell r="EJ68">
            <v>60</v>
          </cell>
          <cell r="EK68">
            <v>60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30</v>
          </cell>
          <cell r="FH68">
            <v>0</v>
          </cell>
          <cell r="FI68">
            <v>20</v>
          </cell>
          <cell r="FJ68">
            <v>20</v>
          </cell>
          <cell r="FK68">
            <v>20</v>
          </cell>
          <cell r="FL68">
            <v>20</v>
          </cell>
          <cell r="FM68">
            <v>30</v>
          </cell>
          <cell r="FN68">
            <v>20</v>
          </cell>
          <cell r="FO68">
            <v>20</v>
          </cell>
          <cell r="FP68">
            <v>20</v>
          </cell>
          <cell r="FQ68">
            <v>20</v>
          </cell>
          <cell r="FR68">
            <v>20</v>
          </cell>
          <cell r="FS68">
            <v>10</v>
          </cell>
          <cell r="FT68">
            <v>12</v>
          </cell>
          <cell r="FU68">
            <v>6</v>
          </cell>
          <cell r="FV68">
            <v>0</v>
          </cell>
          <cell r="FW68">
            <v>0</v>
          </cell>
          <cell r="FX68">
            <v>0</v>
          </cell>
          <cell r="FY68">
            <v>18</v>
          </cell>
          <cell r="FZ68">
            <v>18</v>
          </cell>
          <cell r="GA68">
            <v>18</v>
          </cell>
          <cell r="GB68">
            <v>0</v>
          </cell>
          <cell r="GC68">
            <v>12</v>
          </cell>
          <cell r="GD68">
            <v>12</v>
          </cell>
          <cell r="GE68">
            <v>12</v>
          </cell>
          <cell r="GF68">
            <v>12</v>
          </cell>
          <cell r="GG68">
            <v>6</v>
          </cell>
          <cell r="GH68">
            <v>18</v>
          </cell>
          <cell r="GI68">
            <v>18</v>
          </cell>
          <cell r="GJ68">
            <v>18</v>
          </cell>
          <cell r="GK68">
            <v>12</v>
          </cell>
          <cell r="GL68">
            <v>18</v>
          </cell>
          <cell r="GM68">
            <v>18</v>
          </cell>
          <cell r="GN68">
            <v>18</v>
          </cell>
          <cell r="GO68">
            <v>12</v>
          </cell>
          <cell r="GP68">
            <v>18</v>
          </cell>
          <cell r="GQ68">
            <v>12</v>
          </cell>
          <cell r="GR68">
            <v>12</v>
          </cell>
          <cell r="GS68">
            <v>12</v>
          </cell>
          <cell r="GT68">
            <v>12</v>
          </cell>
          <cell r="GU68">
            <v>18</v>
          </cell>
          <cell r="GV68">
            <v>18</v>
          </cell>
          <cell r="GW68">
            <v>18</v>
          </cell>
          <cell r="GX68">
            <v>12</v>
          </cell>
          <cell r="GY68">
            <v>12</v>
          </cell>
          <cell r="GZ68">
            <v>6</v>
          </cell>
          <cell r="HA68">
            <v>6</v>
          </cell>
        </row>
        <row r="69">
          <cell r="D69">
            <v>6</v>
          </cell>
          <cell r="E69">
            <v>6</v>
          </cell>
          <cell r="F69">
            <v>6</v>
          </cell>
          <cell r="G69" t="str">
            <v>CUM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90</v>
          </cell>
          <cell r="AI69">
            <v>180</v>
          </cell>
          <cell r="AJ69">
            <v>250</v>
          </cell>
          <cell r="AK69">
            <v>268</v>
          </cell>
          <cell r="AL69">
            <v>322</v>
          </cell>
          <cell r="AM69">
            <v>376</v>
          </cell>
          <cell r="AN69">
            <v>442</v>
          </cell>
          <cell r="AO69">
            <v>508</v>
          </cell>
          <cell r="AP69">
            <v>574</v>
          </cell>
          <cell r="AQ69">
            <v>622</v>
          </cell>
          <cell r="AR69">
            <v>652</v>
          </cell>
          <cell r="AS69">
            <v>706</v>
          </cell>
          <cell r="AT69">
            <v>778</v>
          </cell>
          <cell r="AU69">
            <v>838</v>
          </cell>
          <cell r="AV69">
            <v>886</v>
          </cell>
          <cell r="AW69">
            <v>940</v>
          </cell>
          <cell r="AX69">
            <v>1000</v>
          </cell>
          <cell r="AY69">
            <v>1000</v>
          </cell>
          <cell r="AZ69">
            <v>1000</v>
          </cell>
          <cell r="BA69">
            <v>1000</v>
          </cell>
          <cell r="BB69">
            <v>1000</v>
          </cell>
          <cell r="BC69">
            <v>1000</v>
          </cell>
          <cell r="BD69">
            <v>1000</v>
          </cell>
          <cell r="BE69">
            <v>1000</v>
          </cell>
          <cell r="BF69">
            <v>1000</v>
          </cell>
          <cell r="BG69">
            <v>1000</v>
          </cell>
          <cell r="BH69">
            <v>1000</v>
          </cell>
          <cell r="BI69">
            <v>1000</v>
          </cell>
          <cell r="BJ69">
            <v>1000</v>
          </cell>
          <cell r="BK69">
            <v>1000</v>
          </cell>
          <cell r="BL69">
            <v>1000</v>
          </cell>
          <cell r="BM69">
            <v>1000</v>
          </cell>
          <cell r="BN69">
            <v>1000</v>
          </cell>
          <cell r="BO69">
            <v>1000</v>
          </cell>
          <cell r="BP69">
            <v>1000</v>
          </cell>
          <cell r="BQ69">
            <v>1000</v>
          </cell>
          <cell r="BR69">
            <v>1000</v>
          </cell>
          <cell r="BS69">
            <v>1000</v>
          </cell>
          <cell r="BT69">
            <v>1000</v>
          </cell>
          <cell r="BU69">
            <v>1000</v>
          </cell>
          <cell r="BV69">
            <v>1000</v>
          </cell>
          <cell r="BW69">
            <v>1000</v>
          </cell>
          <cell r="BX69">
            <v>1000</v>
          </cell>
          <cell r="BY69">
            <v>1000</v>
          </cell>
          <cell r="BZ69">
            <v>1000</v>
          </cell>
          <cell r="CA69">
            <v>1000</v>
          </cell>
          <cell r="CB69">
            <v>1000</v>
          </cell>
          <cell r="CC69">
            <v>1000</v>
          </cell>
          <cell r="CD69">
            <v>1000</v>
          </cell>
          <cell r="CE69">
            <v>1000</v>
          </cell>
          <cell r="CF69">
            <v>1000</v>
          </cell>
          <cell r="CG69">
            <v>1000</v>
          </cell>
          <cell r="CH69">
            <v>1000</v>
          </cell>
          <cell r="CI69">
            <v>1000</v>
          </cell>
          <cell r="CJ69">
            <v>1000</v>
          </cell>
          <cell r="CK69">
            <v>1000</v>
          </cell>
          <cell r="CL69">
            <v>1000</v>
          </cell>
          <cell r="CM69">
            <v>1000</v>
          </cell>
          <cell r="CN69">
            <v>1000</v>
          </cell>
          <cell r="CO69">
            <v>1000</v>
          </cell>
          <cell r="CP69">
            <v>1000</v>
          </cell>
          <cell r="CQ69">
            <v>1000</v>
          </cell>
          <cell r="CR69">
            <v>1000</v>
          </cell>
          <cell r="CS69">
            <v>1000</v>
          </cell>
          <cell r="CT69">
            <v>1000</v>
          </cell>
          <cell r="CU69">
            <v>1000</v>
          </cell>
          <cell r="CV69">
            <v>1000</v>
          </cell>
          <cell r="CW69">
            <v>1000</v>
          </cell>
          <cell r="CX69">
            <v>1000</v>
          </cell>
          <cell r="CY69">
            <v>1000</v>
          </cell>
          <cell r="CZ69">
            <v>1000</v>
          </cell>
          <cell r="DA69">
            <v>1000</v>
          </cell>
          <cell r="DB69">
            <v>1000</v>
          </cell>
          <cell r="DC69">
            <v>1000</v>
          </cell>
          <cell r="DD69">
            <v>1000</v>
          </cell>
          <cell r="DE69">
            <v>1000</v>
          </cell>
          <cell r="DF69">
            <v>1000</v>
          </cell>
          <cell r="DG69">
            <v>1000</v>
          </cell>
          <cell r="DH69">
            <v>1000</v>
          </cell>
          <cell r="DI69">
            <v>1000</v>
          </cell>
          <cell r="DJ69">
            <v>1000</v>
          </cell>
          <cell r="DK69">
            <v>1000</v>
          </cell>
          <cell r="DL69">
            <v>1000</v>
          </cell>
          <cell r="DM69">
            <v>1000</v>
          </cell>
          <cell r="DN69">
            <v>1000</v>
          </cell>
          <cell r="DO69">
            <v>1000</v>
          </cell>
          <cell r="DP69">
            <v>1000</v>
          </cell>
          <cell r="DQ69">
            <v>1000</v>
          </cell>
          <cell r="DR69">
            <v>1000</v>
          </cell>
          <cell r="DS69">
            <v>1000</v>
          </cell>
          <cell r="DT69">
            <v>1000</v>
          </cell>
          <cell r="DU69">
            <v>1000</v>
          </cell>
          <cell r="DV69">
            <v>1000</v>
          </cell>
          <cell r="DW69">
            <v>1000</v>
          </cell>
          <cell r="DX69">
            <v>1000</v>
          </cell>
          <cell r="DY69">
            <v>1000</v>
          </cell>
          <cell r="DZ69">
            <v>1000</v>
          </cell>
          <cell r="EA69">
            <v>1000</v>
          </cell>
          <cell r="EB69">
            <v>1000</v>
          </cell>
          <cell r="EC69">
            <v>1000</v>
          </cell>
          <cell r="ED69">
            <v>1000</v>
          </cell>
          <cell r="EE69">
            <v>1000</v>
          </cell>
          <cell r="EF69">
            <v>1000</v>
          </cell>
          <cell r="EG69">
            <v>1000</v>
          </cell>
          <cell r="EH69">
            <v>1000</v>
          </cell>
          <cell r="EI69">
            <v>1000</v>
          </cell>
          <cell r="EJ69">
            <v>1000</v>
          </cell>
          <cell r="EK69">
            <v>1000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30</v>
          </cell>
          <cell r="FH69">
            <v>30</v>
          </cell>
          <cell r="FI69">
            <v>50</v>
          </cell>
          <cell r="FJ69">
            <v>70</v>
          </cell>
          <cell r="FK69">
            <v>90</v>
          </cell>
          <cell r="FL69">
            <v>110</v>
          </cell>
          <cell r="FM69">
            <v>140</v>
          </cell>
          <cell r="FN69">
            <v>160</v>
          </cell>
          <cell r="FO69">
            <v>180</v>
          </cell>
          <cell r="FP69">
            <v>200</v>
          </cell>
          <cell r="FQ69">
            <v>220</v>
          </cell>
          <cell r="FR69">
            <v>240</v>
          </cell>
          <cell r="FS69">
            <v>250</v>
          </cell>
          <cell r="FT69">
            <v>262</v>
          </cell>
          <cell r="FU69">
            <v>268</v>
          </cell>
          <cell r="FV69">
            <v>268</v>
          </cell>
          <cell r="FW69">
            <v>268</v>
          </cell>
          <cell r="FX69">
            <v>268</v>
          </cell>
          <cell r="FY69">
            <v>286</v>
          </cell>
          <cell r="FZ69">
            <v>304</v>
          </cell>
          <cell r="GA69">
            <v>322</v>
          </cell>
          <cell r="GB69">
            <v>322</v>
          </cell>
          <cell r="GC69">
            <v>334</v>
          </cell>
          <cell r="GD69">
            <v>346</v>
          </cell>
          <cell r="GE69">
            <v>358</v>
          </cell>
          <cell r="GF69">
            <v>370</v>
          </cell>
          <cell r="GG69">
            <v>376</v>
          </cell>
          <cell r="GH69">
            <v>394</v>
          </cell>
          <cell r="GI69">
            <v>412</v>
          </cell>
          <cell r="GJ69">
            <v>430</v>
          </cell>
          <cell r="GK69">
            <v>442</v>
          </cell>
          <cell r="GL69">
            <v>460</v>
          </cell>
          <cell r="GM69">
            <v>478</v>
          </cell>
          <cell r="GN69">
            <v>496</v>
          </cell>
          <cell r="GO69">
            <v>508</v>
          </cell>
          <cell r="GP69">
            <v>526</v>
          </cell>
          <cell r="GQ69">
            <v>538</v>
          </cell>
          <cell r="GR69">
            <v>550</v>
          </cell>
          <cell r="GS69">
            <v>562</v>
          </cell>
          <cell r="GT69">
            <v>574</v>
          </cell>
          <cell r="GU69">
            <v>592</v>
          </cell>
          <cell r="GV69">
            <v>592</v>
          </cell>
          <cell r="GW69">
            <v>610</v>
          </cell>
          <cell r="GX69">
            <v>622</v>
          </cell>
          <cell r="GY69">
            <v>634</v>
          </cell>
          <cell r="GZ69">
            <v>640</v>
          </cell>
          <cell r="HA69">
            <v>646</v>
          </cell>
        </row>
        <row r="70">
          <cell r="D70" t="str">
            <v>82116-0ZX90</v>
          </cell>
          <cell r="E70">
            <v>646</v>
          </cell>
          <cell r="F70" t="str">
            <v>A01</v>
          </cell>
          <cell r="G70" t="str">
            <v>QTY</v>
          </cell>
          <cell r="H70">
            <v>646</v>
          </cell>
          <cell r="I70">
            <v>646</v>
          </cell>
          <cell r="J70">
            <v>646</v>
          </cell>
          <cell r="K70">
            <v>646</v>
          </cell>
          <cell r="L70">
            <v>646</v>
          </cell>
          <cell r="M70">
            <v>646</v>
          </cell>
          <cell r="N70">
            <v>646</v>
          </cell>
          <cell r="O70">
            <v>646</v>
          </cell>
          <cell r="P70">
            <v>646</v>
          </cell>
          <cell r="Q70">
            <v>646</v>
          </cell>
          <cell r="R70">
            <v>646</v>
          </cell>
          <cell r="S70">
            <v>646</v>
          </cell>
          <cell r="T70">
            <v>646</v>
          </cell>
          <cell r="U70">
            <v>646</v>
          </cell>
          <cell r="V70">
            <v>646</v>
          </cell>
          <cell r="W70">
            <v>646</v>
          </cell>
          <cell r="X70">
            <v>646</v>
          </cell>
          <cell r="Y70">
            <v>646</v>
          </cell>
          <cell r="Z70">
            <v>646</v>
          </cell>
          <cell r="AA70">
            <v>646</v>
          </cell>
          <cell r="AB70">
            <v>646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66</v>
          </cell>
          <cell r="AN70">
            <v>84</v>
          </cell>
          <cell r="AO70">
            <v>150</v>
          </cell>
          <cell r="AP70">
            <v>84</v>
          </cell>
          <cell r="AQ70">
            <v>66</v>
          </cell>
          <cell r="AR70">
            <v>54</v>
          </cell>
          <cell r="AS70">
            <v>54</v>
          </cell>
          <cell r="AT70">
            <v>36</v>
          </cell>
          <cell r="AU70">
            <v>54</v>
          </cell>
          <cell r="AV70">
            <v>54</v>
          </cell>
          <cell r="AW70">
            <v>54</v>
          </cell>
          <cell r="AX70">
            <v>66</v>
          </cell>
          <cell r="AY70">
            <v>66</v>
          </cell>
          <cell r="AZ70">
            <v>66</v>
          </cell>
          <cell r="BA70">
            <v>66</v>
          </cell>
          <cell r="BB70">
            <v>66</v>
          </cell>
          <cell r="BC70">
            <v>66</v>
          </cell>
          <cell r="BD70">
            <v>66</v>
          </cell>
          <cell r="BE70">
            <v>66</v>
          </cell>
          <cell r="BF70">
            <v>66</v>
          </cell>
          <cell r="BG70">
            <v>66</v>
          </cell>
          <cell r="BH70">
            <v>66</v>
          </cell>
          <cell r="BI70">
            <v>66</v>
          </cell>
          <cell r="BJ70">
            <v>66</v>
          </cell>
          <cell r="BK70">
            <v>66</v>
          </cell>
          <cell r="BL70">
            <v>66</v>
          </cell>
          <cell r="BM70">
            <v>66</v>
          </cell>
          <cell r="BN70">
            <v>66</v>
          </cell>
          <cell r="BO70">
            <v>66</v>
          </cell>
          <cell r="BP70">
            <v>66</v>
          </cell>
          <cell r="BQ70">
            <v>66</v>
          </cell>
          <cell r="BR70">
            <v>66</v>
          </cell>
          <cell r="BS70">
            <v>66</v>
          </cell>
          <cell r="BT70">
            <v>66</v>
          </cell>
          <cell r="BU70">
            <v>66</v>
          </cell>
          <cell r="BV70">
            <v>66</v>
          </cell>
          <cell r="BW70">
            <v>66</v>
          </cell>
          <cell r="BX70">
            <v>66</v>
          </cell>
          <cell r="BY70">
            <v>66</v>
          </cell>
          <cell r="BZ70">
            <v>66</v>
          </cell>
          <cell r="CA70">
            <v>66</v>
          </cell>
          <cell r="CB70">
            <v>66</v>
          </cell>
          <cell r="CC70">
            <v>66</v>
          </cell>
          <cell r="CD70">
            <v>66</v>
          </cell>
          <cell r="CE70">
            <v>66</v>
          </cell>
          <cell r="CF70">
            <v>66</v>
          </cell>
          <cell r="CG70">
            <v>66</v>
          </cell>
          <cell r="CH70">
            <v>66</v>
          </cell>
          <cell r="CI70">
            <v>66</v>
          </cell>
          <cell r="CJ70">
            <v>66</v>
          </cell>
          <cell r="CK70">
            <v>66</v>
          </cell>
          <cell r="CL70">
            <v>66</v>
          </cell>
          <cell r="CM70">
            <v>66</v>
          </cell>
          <cell r="CN70">
            <v>66</v>
          </cell>
          <cell r="CO70">
            <v>66</v>
          </cell>
          <cell r="CP70">
            <v>66</v>
          </cell>
          <cell r="CQ70">
            <v>66</v>
          </cell>
          <cell r="CR70">
            <v>66</v>
          </cell>
          <cell r="CS70">
            <v>66</v>
          </cell>
          <cell r="CT70">
            <v>66</v>
          </cell>
          <cell r="CU70">
            <v>66</v>
          </cell>
          <cell r="CV70">
            <v>66</v>
          </cell>
          <cell r="CW70">
            <v>66</v>
          </cell>
          <cell r="CX70">
            <v>66</v>
          </cell>
          <cell r="CY70">
            <v>66</v>
          </cell>
          <cell r="CZ70">
            <v>66</v>
          </cell>
          <cell r="DA70">
            <v>66</v>
          </cell>
          <cell r="DB70">
            <v>66</v>
          </cell>
          <cell r="DC70">
            <v>66</v>
          </cell>
          <cell r="DD70">
            <v>66</v>
          </cell>
          <cell r="DE70">
            <v>66</v>
          </cell>
          <cell r="DF70">
            <v>66</v>
          </cell>
          <cell r="DG70">
            <v>66</v>
          </cell>
          <cell r="DH70">
            <v>66</v>
          </cell>
          <cell r="DI70">
            <v>66</v>
          </cell>
          <cell r="DJ70">
            <v>66</v>
          </cell>
          <cell r="DK70">
            <v>66</v>
          </cell>
          <cell r="DL70">
            <v>66</v>
          </cell>
          <cell r="DM70">
            <v>66</v>
          </cell>
          <cell r="DN70">
            <v>66</v>
          </cell>
          <cell r="DO70">
            <v>66</v>
          </cell>
          <cell r="DP70">
            <v>66</v>
          </cell>
          <cell r="DQ70">
            <v>66</v>
          </cell>
          <cell r="DR70">
            <v>66</v>
          </cell>
          <cell r="DS70">
            <v>66</v>
          </cell>
          <cell r="DT70">
            <v>66</v>
          </cell>
          <cell r="DU70">
            <v>66</v>
          </cell>
          <cell r="DV70">
            <v>66</v>
          </cell>
          <cell r="DW70">
            <v>66</v>
          </cell>
          <cell r="DX70">
            <v>66</v>
          </cell>
          <cell r="DY70">
            <v>66</v>
          </cell>
          <cell r="DZ70">
            <v>66</v>
          </cell>
          <cell r="EA70">
            <v>66</v>
          </cell>
          <cell r="EB70">
            <v>66</v>
          </cell>
          <cell r="EC70">
            <v>66</v>
          </cell>
          <cell r="ED70">
            <v>66</v>
          </cell>
          <cell r="EE70">
            <v>66</v>
          </cell>
          <cell r="EF70">
            <v>66</v>
          </cell>
          <cell r="EG70">
            <v>66</v>
          </cell>
          <cell r="EH70">
            <v>66</v>
          </cell>
          <cell r="EI70">
            <v>66</v>
          </cell>
          <cell r="EJ70">
            <v>66</v>
          </cell>
          <cell r="EK70">
            <v>66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18</v>
          </cell>
          <cell r="GD70">
            <v>12</v>
          </cell>
          <cell r="GE70">
            <v>12</v>
          </cell>
          <cell r="GF70">
            <v>12</v>
          </cell>
          <cell r="GG70">
            <v>12</v>
          </cell>
          <cell r="GH70">
            <v>24</v>
          </cell>
          <cell r="GI70">
            <v>24</v>
          </cell>
          <cell r="GJ70">
            <v>18</v>
          </cell>
          <cell r="GK70">
            <v>18</v>
          </cell>
          <cell r="GL70">
            <v>42</v>
          </cell>
          <cell r="GM70">
            <v>36</v>
          </cell>
          <cell r="GN70">
            <v>36</v>
          </cell>
          <cell r="GO70">
            <v>36</v>
          </cell>
          <cell r="GP70">
            <v>18</v>
          </cell>
          <cell r="GQ70">
            <v>18</v>
          </cell>
          <cell r="GR70">
            <v>18</v>
          </cell>
          <cell r="GS70">
            <v>18</v>
          </cell>
          <cell r="GT70">
            <v>12</v>
          </cell>
          <cell r="GU70">
            <v>24</v>
          </cell>
          <cell r="GV70">
            <v>24</v>
          </cell>
          <cell r="GW70">
            <v>24</v>
          </cell>
          <cell r="GX70">
            <v>18</v>
          </cell>
          <cell r="GY70">
            <v>18</v>
          </cell>
          <cell r="GZ70">
            <v>12</v>
          </cell>
          <cell r="HA70">
            <v>12</v>
          </cell>
        </row>
        <row r="71">
          <cell r="D71">
            <v>12</v>
          </cell>
          <cell r="E71">
            <v>12</v>
          </cell>
          <cell r="F71">
            <v>12</v>
          </cell>
          <cell r="G71" t="str">
            <v>CUM</v>
          </cell>
          <cell r="H71">
            <v>12</v>
          </cell>
          <cell r="I71">
            <v>12</v>
          </cell>
          <cell r="J71">
            <v>12</v>
          </cell>
          <cell r="K71">
            <v>12</v>
          </cell>
          <cell r="L71">
            <v>12</v>
          </cell>
          <cell r="M71">
            <v>12</v>
          </cell>
          <cell r="N71">
            <v>12</v>
          </cell>
          <cell r="O71">
            <v>12</v>
          </cell>
          <cell r="P71">
            <v>12</v>
          </cell>
          <cell r="Q71">
            <v>12</v>
          </cell>
          <cell r="R71">
            <v>12</v>
          </cell>
          <cell r="S71">
            <v>12</v>
          </cell>
          <cell r="T71">
            <v>12</v>
          </cell>
          <cell r="U71">
            <v>12</v>
          </cell>
          <cell r="V71">
            <v>12</v>
          </cell>
          <cell r="W71">
            <v>12</v>
          </cell>
          <cell r="X71">
            <v>12</v>
          </cell>
          <cell r="Y71">
            <v>12</v>
          </cell>
          <cell r="Z71">
            <v>12</v>
          </cell>
          <cell r="AA71">
            <v>12</v>
          </cell>
          <cell r="AB71">
            <v>12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66</v>
          </cell>
          <cell r="AN71">
            <v>150</v>
          </cell>
          <cell r="AO71">
            <v>300</v>
          </cell>
          <cell r="AP71">
            <v>384</v>
          </cell>
          <cell r="AQ71">
            <v>450</v>
          </cell>
          <cell r="AR71">
            <v>504</v>
          </cell>
          <cell r="AS71">
            <v>558</v>
          </cell>
          <cell r="AT71">
            <v>594</v>
          </cell>
          <cell r="AU71">
            <v>648</v>
          </cell>
          <cell r="AV71">
            <v>702</v>
          </cell>
          <cell r="AW71">
            <v>756</v>
          </cell>
          <cell r="AX71">
            <v>822</v>
          </cell>
          <cell r="AY71">
            <v>822</v>
          </cell>
          <cell r="AZ71">
            <v>822</v>
          </cell>
          <cell r="BA71">
            <v>822</v>
          </cell>
          <cell r="BB71">
            <v>822</v>
          </cell>
          <cell r="BC71">
            <v>822</v>
          </cell>
          <cell r="BD71">
            <v>822</v>
          </cell>
          <cell r="BE71">
            <v>822</v>
          </cell>
          <cell r="BF71">
            <v>822</v>
          </cell>
          <cell r="BG71">
            <v>822</v>
          </cell>
          <cell r="BH71">
            <v>822</v>
          </cell>
          <cell r="BI71">
            <v>822</v>
          </cell>
          <cell r="BJ71">
            <v>822</v>
          </cell>
          <cell r="BK71">
            <v>822</v>
          </cell>
          <cell r="BL71">
            <v>822</v>
          </cell>
          <cell r="BM71">
            <v>822</v>
          </cell>
          <cell r="BN71">
            <v>822</v>
          </cell>
          <cell r="BO71">
            <v>822</v>
          </cell>
          <cell r="BP71">
            <v>822</v>
          </cell>
          <cell r="BQ71">
            <v>822</v>
          </cell>
          <cell r="BR71">
            <v>822</v>
          </cell>
          <cell r="BS71">
            <v>822</v>
          </cell>
          <cell r="BT71">
            <v>822</v>
          </cell>
          <cell r="BU71">
            <v>822</v>
          </cell>
          <cell r="BV71">
            <v>822</v>
          </cell>
          <cell r="BW71">
            <v>822</v>
          </cell>
          <cell r="BX71">
            <v>822</v>
          </cell>
          <cell r="BY71">
            <v>822</v>
          </cell>
          <cell r="BZ71">
            <v>822</v>
          </cell>
          <cell r="CA71">
            <v>822</v>
          </cell>
          <cell r="CB71">
            <v>822</v>
          </cell>
          <cell r="CC71">
            <v>822</v>
          </cell>
          <cell r="CD71">
            <v>822</v>
          </cell>
          <cell r="CE71">
            <v>822</v>
          </cell>
          <cell r="CF71">
            <v>822</v>
          </cell>
          <cell r="CG71">
            <v>822</v>
          </cell>
          <cell r="CH71">
            <v>822</v>
          </cell>
          <cell r="CI71">
            <v>822</v>
          </cell>
          <cell r="CJ71">
            <v>822</v>
          </cell>
          <cell r="CK71">
            <v>822</v>
          </cell>
          <cell r="CL71">
            <v>822</v>
          </cell>
          <cell r="CM71">
            <v>822</v>
          </cell>
          <cell r="CN71">
            <v>822</v>
          </cell>
          <cell r="CO71">
            <v>822</v>
          </cell>
          <cell r="CP71">
            <v>822</v>
          </cell>
          <cell r="CQ71">
            <v>822</v>
          </cell>
          <cell r="CR71">
            <v>822</v>
          </cell>
          <cell r="CS71">
            <v>822</v>
          </cell>
          <cell r="CT71">
            <v>822</v>
          </cell>
          <cell r="CU71">
            <v>822</v>
          </cell>
          <cell r="CV71">
            <v>822</v>
          </cell>
          <cell r="CW71">
            <v>822</v>
          </cell>
          <cell r="CX71">
            <v>822</v>
          </cell>
          <cell r="CY71">
            <v>822</v>
          </cell>
          <cell r="CZ71">
            <v>822</v>
          </cell>
          <cell r="DA71">
            <v>822</v>
          </cell>
          <cell r="DB71">
            <v>822</v>
          </cell>
          <cell r="DC71">
            <v>822</v>
          </cell>
          <cell r="DD71">
            <v>822</v>
          </cell>
          <cell r="DE71">
            <v>822</v>
          </cell>
          <cell r="DF71">
            <v>822</v>
          </cell>
          <cell r="DG71">
            <v>822</v>
          </cell>
          <cell r="DH71">
            <v>822</v>
          </cell>
          <cell r="DI71">
            <v>822</v>
          </cell>
          <cell r="DJ71">
            <v>822</v>
          </cell>
          <cell r="DK71">
            <v>822</v>
          </cell>
          <cell r="DL71">
            <v>822</v>
          </cell>
          <cell r="DM71">
            <v>822</v>
          </cell>
          <cell r="DN71">
            <v>822</v>
          </cell>
          <cell r="DO71">
            <v>822</v>
          </cell>
          <cell r="DP71">
            <v>822</v>
          </cell>
          <cell r="DQ71">
            <v>822</v>
          </cell>
          <cell r="DR71">
            <v>822</v>
          </cell>
          <cell r="DS71">
            <v>822</v>
          </cell>
          <cell r="DT71">
            <v>822</v>
          </cell>
          <cell r="DU71">
            <v>822</v>
          </cell>
          <cell r="DV71">
            <v>822</v>
          </cell>
          <cell r="DW71">
            <v>822</v>
          </cell>
          <cell r="DX71">
            <v>822</v>
          </cell>
          <cell r="DY71">
            <v>822</v>
          </cell>
          <cell r="DZ71">
            <v>822</v>
          </cell>
          <cell r="EA71">
            <v>822</v>
          </cell>
          <cell r="EB71">
            <v>822</v>
          </cell>
          <cell r="EC71">
            <v>822</v>
          </cell>
          <cell r="ED71">
            <v>822</v>
          </cell>
          <cell r="EE71">
            <v>822</v>
          </cell>
          <cell r="EF71">
            <v>822</v>
          </cell>
          <cell r="EG71">
            <v>822</v>
          </cell>
          <cell r="EH71">
            <v>822</v>
          </cell>
          <cell r="EI71">
            <v>822</v>
          </cell>
          <cell r="EJ71">
            <v>822</v>
          </cell>
          <cell r="EK71">
            <v>822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18</v>
          </cell>
          <cell r="GD71">
            <v>30</v>
          </cell>
          <cell r="GE71">
            <v>42</v>
          </cell>
          <cell r="GF71">
            <v>54</v>
          </cell>
          <cell r="GG71">
            <v>66</v>
          </cell>
          <cell r="GH71">
            <v>90</v>
          </cell>
          <cell r="GI71">
            <v>114</v>
          </cell>
          <cell r="GJ71">
            <v>132</v>
          </cell>
          <cell r="GK71">
            <v>150</v>
          </cell>
          <cell r="GL71">
            <v>192</v>
          </cell>
          <cell r="GM71">
            <v>228</v>
          </cell>
          <cell r="GN71">
            <v>264</v>
          </cell>
          <cell r="GO71">
            <v>300</v>
          </cell>
          <cell r="GP71">
            <v>318</v>
          </cell>
          <cell r="GQ71">
            <v>336</v>
          </cell>
          <cell r="GR71">
            <v>354</v>
          </cell>
          <cell r="GS71">
            <v>372</v>
          </cell>
          <cell r="GT71">
            <v>384</v>
          </cell>
          <cell r="GU71">
            <v>408</v>
          </cell>
          <cell r="GV71">
            <v>408</v>
          </cell>
          <cell r="GW71">
            <v>432</v>
          </cell>
          <cell r="GX71">
            <v>450</v>
          </cell>
          <cell r="GY71">
            <v>468</v>
          </cell>
          <cell r="GZ71">
            <v>480</v>
          </cell>
          <cell r="HA71">
            <v>492</v>
          </cell>
        </row>
        <row r="72">
          <cell r="D72" t="str">
            <v>82116-0ZY00</v>
          </cell>
          <cell r="E72">
            <v>492</v>
          </cell>
          <cell r="F72" t="str">
            <v>A01</v>
          </cell>
          <cell r="G72" t="str">
            <v>QTY</v>
          </cell>
          <cell r="H72">
            <v>492</v>
          </cell>
          <cell r="I72">
            <v>492</v>
          </cell>
          <cell r="J72">
            <v>492</v>
          </cell>
          <cell r="K72">
            <v>492</v>
          </cell>
          <cell r="L72">
            <v>492</v>
          </cell>
          <cell r="M72">
            <v>492</v>
          </cell>
          <cell r="N72">
            <v>492</v>
          </cell>
          <cell r="O72">
            <v>492</v>
          </cell>
          <cell r="P72">
            <v>492</v>
          </cell>
          <cell r="Q72">
            <v>492</v>
          </cell>
          <cell r="R72">
            <v>492</v>
          </cell>
          <cell r="S72">
            <v>492</v>
          </cell>
          <cell r="T72">
            <v>492</v>
          </cell>
          <cell r="U72">
            <v>492</v>
          </cell>
          <cell r="V72">
            <v>492</v>
          </cell>
          <cell r="W72">
            <v>492</v>
          </cell>
          <cell r="X72">
            <v>492</v>
          </cell>
          <cell r="Y72">
            <v>492</v>
          </cell>
          <cell r="Z72">
            <v>492</v>
          </cell>
          <cell r="AA72">
            <v>492</v>
          </cell>
          <cell r="AB72">
            <v>492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600</v>
          </cell>
          <cell r="AN72">
            <v>1008</v>
          </cell>
          <cell r="AO72">
            <v>1194</v>
          </cell>
          <cell r="AP72">
            <v>1296</v>
          </cell>
          <cell r="AQ72">
            <v>1524</v>
          </cell>
          <cell r="AR72">
            <v>1494</v>
          </cell>
          <cell r="AS72">
            <v>1296</v>
          </cell>
          <cell r="AT72">
            <v>348</v>
          </cell>
          <cell r="AU72">
            <v>720</v>
          </cell>
          <cell r="AV72">
            <v>660</v>
          </cell>
          <cell r="AW72">
            <v>636</v>
          </cell>
          <cell r="AX72">
            <v>762</v>
          </cell>
          <cell r="AY72">
            <v>762</v>
          </cell>
          <cell r="AZ72">
            <v>762</v>
          </cell>
          <cell r="BA72">
            <v>762</v>
          </cell>
          <cell r="BB72">
            <v>762</v>
          </cell>
          <cell r="BC72">
            <v>762</v>
          </cell>
          <cell r="BD72">
            <v>762</v>
          </cell>
          <cell r="BE72">
            <v>762</v>
          </cell>
          <cell r="BF72">
            <v>762</v>
          </cell>
          <cell r="BG72">
            <v>762</v>
          </cell>
          <cell r="BH72">
            <v>762</v>
          </cell>
          <cell r="BI72">
            <v>762</v>
          </cell>
          <cell r="BJ72">
            <v>762</v>
          </cell>
          <cell r="BK72">
            <v>762</v>
          </cell>
          <cell r="BL72">
            <v>762</v>
          </cell>
          <cell r="BM72">
            <v>762</v>
          </cell>
          <cell r="BN72">
            <v>762</v>
          </cell>
          <cell r="BO72">
            <v>762</v>
          </cell>
          <cell r="BP72">
            <v>762</v>
          </cell>
          <cell r="BQ72">
            <v>762</v>
          </cell>
          <cell r="BR72">
            <v>762</v>
          </cell>
          <cell r="BS72">
            <v>762</v>
          </cell>
          <cell r="BT72">
            <v>762</v>
          </cell>
          <cell r="BU72">
            <v>762</v>
          </cell>
          <cell r="BV72">
            <v>762</v>
          </cell>
          <cell r="BW72">
            <v>762</v>
          </cell>
          <cell r="BX72">
            <v>762</v>
          </cell>
          <cell r="BY72">
            <v>762</v>
          </cell>
          <cell r="BZ72">
            <v>762</v>
          </cell>
          <cell r="CA72">
            <v>762</v>
          </cell>
          <cell r="CB72">
            <v>762</v>
          </cell>
          <cell r="CC72">
            <v>762</v>
          </cell>
          <cell r="CD72">
            <v>762</v>
          </cell>
          <cell r="CE72">
            <v>762</v>
          </cell>
          <cell r="CF72">
            <v>762</v>
          </cell>
          <cell r="CG72">
            <v>762</v>
          </cell>
          <cell r="CH72">
            <v>762</v>
          </cell>
          <cell r="CI72">
            <v>762</v>
          </cell>
          <cell r="CJ72">
            <v>762</v>
          </cell>
          <cell r="CK72">
            <v>762</v>
          </cell>
          <cell r="CL72">
            <v>762</v>
          </cell>
          <cell r="CM72">
            <v>762</v>
          </cell>
          <cell r="CN72">
            <v>762</v>
          </cell>
          <cell r="CO72">
            <v>762</v>
          </cell>
          <cell r="CP72">
            <v>762</v>
          </cell>
          <cell r="CQ72">
            <v>762</v>
          </cell>
          <cell r="CR72">
            <v>762</v>
          </cell>
          <cell r="CS72">
            <v>762</v>
          </cell>
          <cell r="CT72">
            <v>762</v>
          </cell>
          <cell r="CU72">
            <v>762</v>
          </cell>
          <cell r="CV72">
            <v>762</v>
          </cell>
          <cell r="CW72">
            <v>762</v>
          </cell>
          <cell r="CX72">
            <v>762</v>
          </cell>
          <cell r="CY72">
            <v>762</v>
          </cell>
          <cell r="CZ72">
            <v>762</v>
          </cell>
          <cell r="DA72">
            <v>762</v>
          </cell>
          <cell r="DB72">
            <v>762</v>
          </cell>
          <cell r="DC72">
            <v>762</v>
          </cell>
          <cell r="DD72">
            <v>762</v>
          </cell>
          <cell r="DE72">
            <v>762</v>
          </cell>
          <cell r="DF72">
            <v>762</v>
          </cell>
          <cell r="DG72">
            <v>762</v>
          </cell>
          <cell r="DH72">
            <v>762</v>
          </cell>
          <cell r="DI72">
            <v>762</v>
          </cell>
          <cell r="DJ72">
            <v>762</v>
          </cell>
          <cell r="DK72">
            <v>762</v>
          </cell>
          <cell r="DL72">
            <v>762</v>
          </cell>
          <cell r="DM72">
            <v>762</v>
          </cell>
          <cell r="DN72">
            <v>762</v>
          </cell>
          <cell r="DO72">
            <v>762</v>
          </cell>
          <cell r="DP72">
            <v>762</v>
          </cell>
          <cell r="DQ72">
            <v>762</v>
          </cell>
          <cell r="DR72">
            <v>762</v>
          </cell>
          <cell r="DS72">
            <v>762</v>
          </cell>
          <cell r="DT72">
            <v>762</v>
          </cell>
          <cell r="DU72">
            <v>762</v>
          </cell>
          <cell r="DV72">
            <v>762</v>
          </cell>
          <cell r="DW72">
            <v>762</v>
          </cell>
          <cell r="DX72">
            <v>762</v>
          </cell>
          <cell r="DY72">
            <v>762</v>
          </cell>
          <cell r="DZ72">
            <v>762</v>
          </cell>
          <cell r="EA72">
            <v>762</v>
          </cell>
          <cell r="EB72">
            <v>762</v>
          </cell>
          <cell r="EC72">
            <v>762</v>
          </cell>
          <cell r="ED72">
            <v>762</v>
          </cell>
          <cell r="EE72">
            <v>762</v>
          </cell>
          <cell r="EF72">
            <v>762</v>
          </cell>
          <cell r="EG72">
            <v>762</v>
          </cell>
          <cell r="EH72">
            <v>762</v>
          </cell>
          <cell r="EI72">
            <v>762</v>
          </cell>
          <cell r="EJ72">
            <v>762</v>
          </cell>
          <cell r="EK72">
            <v>762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120</v>
          </cell>
          <cell r="GD72">
            <v>120</v>
          </cell>
          <cell r="GE72">
            <v>120</v>
          </cell>
          <cell r="GF72">
            <v>120</v>
          </cell>
          <cell r="GG72">
            <v>120</v>
          </cell>
          <cell r="GH72">
            <v>252</v>
          </cell>
          <cell r="GI72">
            <v>252</v>
          </cell>
          <cell r="GJ72">
            <v>252</v>
          </cell>
          <cell r="GK72">
            <v>252</v>
          </cell>
          <cell r="GL72">
            <v>300</v>
          </cell>
          <cell r="GM72">
            <v>300</v>
          </cell>
          <cell r="GN72">
            <v>300</v>
          </cell>
          <cell r="GO72">
            <v>294</v>
          </cell>
          <cell r="GP72">
            <v>264</v>
          </cell>
          <cell r="GQ72">
            <v>258</v>
          </cell>
          <cell r="GR72">
            <v>258</v>
          </cell>
          <cell r="GS72">
            <v>258</v>
          </cell>
          <cell r="GT72">
            <v>258</v>
          </cell>
          <cell r="GU72">
            <v>510</v>
          </cell>
          <cell r="GV72">
            <v>510</v>
          </cell>
          <cell r="GW72">
            <v>510</v>
          </cell>
          <cell r="GX72">
            <v>504</v>
          </cell>
          <cell r="GY72">
            <v>378</v>
          </cell>
          <cell r="GZ72">
            <v>372</v>
          </cell>
          <cell r="HA72">
            <v>372</v>
          </cell>
        </row>
        <row r="73">
          <cell r="D73">
            <v>372</v>
          </cell>
          <cell r="E73">
            <v>372</v>
          </cell>
          <cell r="F73">
            <v>372</v>
          </cell>
          <cell r="G73" t="str">
            <v>CUM</v>
          </cell>
          <cell r="H73">
            <v>372</v>
          </cell>
          <cell r="I73">
            <v>372</v>
          </cell>
          <cell r="J73">
            <v>372</v>
          </cell>
          <cell r="K73">
            <v>372</v>
          </cell>
          <cell r="L73">
            <v>372</v>
          </cell>
          <cell r="M73">
            <v>372</v>
          </cell>
          <cell r="N73">
            <v>372</v>
          </cell>
          <cell r="O73">
            <v>372</v>
          </cell>
          <cell r="P73">
            <v>372</v>
          </cell>
          <cell r="Q73">
            <v>372</v>
          </cell>
          <cell r="R73">
            <v>372</v>
          </cell>
          <cell r="S73">
            <v>372</v>
          </cell>
          <cell r="T73">
            <v>372</v>
          </cell>
          <cell r="U73">
            <v>372</v>
          </cell>
          <cell r="V73">
            <v>372</v>
          </cell>
          <cell r="W73">
            <v>372</v>
          </cell>
          <cell r="X73">
            <v>372</v>
          </cell>
          <cell r="Y73">
            <v>372</v>
          </cell>
          <cell r="Z73">
            <v>372</v>
          </cell>
          <cell r="AA73">
            <v>372</v>
          </cell>
          <cell r="AB73">
            <v>372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600</v>
          </cell>
          <cell r="AN73">
            <v>1608</v>
          </cell>
          <cell r="AO73">
            <v>2802</v>
          </cell>
          <cell r="AP73">
            <v>4098</v>
          </cell>
          <cell r="AQ73">
            <v>5622</v>
          </cell>
          <cell r="AR73">
            <v>7116</v>
          </cell>
          <cell r="AS73">
            <v>8412</v>
          </cell>
          <cell r="AT73">
            <v>8760</v>
          </cell>
          <cell r="AU73">
            <v>9480</v>
          </cell>
          <cell r="AV73">
            <v>10140</v>
          </cell>
          <cell r="AW73">
            <v>10776</v>
          </cell>
          <cell r="AX73">
            <v>11538</v>
          </cell>
          <cell r="AY73">
            <v>11538</v>
          </cell>
          <cell r="AZ73">
            <v>11538</v>
          </cell>
          <cell r="BA73">
            <v>11538</v>
          </cell>
          <cell r="BB73">
            <v>11538</v>
          </cell>
          <cell r="BC73">
            <v>11538</v>
          </cell>
          <cell r="BD73">
            <v>11538</v>
          </cell>
          <cell r="BE73">
            <v>11538</v>
          </cell>
          <cell r="BF73">
            <v>11538</v>
          </cell>
          <cell r="BG73">
            <v>11538</v>
          </cell>
          <cell r="BH73">
            <v>11538</v>
          </cell>
          <cell r="BI73">
            <v>11538</v>
          </cell>
          <cell r="BJ73">
            <v>11538</v>
          </cell>
          <cell r="BK73">
            <v>11538</v>
          </cell>
          <cell r="BL73">
            <v>11538</v>
          </cell>
          <cell r="BM73">
            <v>11538</v>
          </cell>
          <cell r="BN73">
            <v>11538</v>
          </cell>
          <cell r="BO73">
            <v>11538</v>
          </cell>
          <cell r="BP73">
            <v>11538</v>
          </cell>
          <cell r="BQ73">
            <v>11538</v>
          </cell>
          <cell r="BR73">
            <v>11538</v>
          </cell>
          <cell r="BS73">
            <v>11538</v>
          </cell>
          <cell r="BT73">
            <v>11538</v>
          </cell>
          <cell r="BU73">
            <v>11538</v>
          </cell>
          <cell r="BV73">
            <v>11538</v>
          </cell>
          <cell r="BW73">
            <v>11538</v>
          </cell>
          <cell r="BX73">
            <v>11538</v>
          </cell>
          <cell r="BY73">
            <v>11538</v>
          </cell>
          <cell r="BZ73">
            <v>11538</v>
          </cell>
          <cell r="CA73">
            <v>11538</v>
          </cell>
          <cell r="CB73">
            <v>11538</v>
          </cell>
          <cell r="CC73">
            <v>11538</v>
          </cell>
          <cell r="CD73">
            <v>11538</v>
          </cell>
          <cell r="CE73">
            <v>11538</v>
          </cell>
          <cell r="CF73">
            <v>11538</v>
          </cell>
          <cell r="CG73">
            <v>11538</v>
          </cell>
          <cell r="CH73">
            <v>11538</v>
          </cell>
          <cell r="CI73">
            <v>11538</v>
          </cell>
          <cell r="CJ73">
            <v>11538</v>
          </cell>
          <cell r="CK73">
            <v>11538</v>
          </cell>
          <cell r="CL73">
            <v>11538</v>
          </cell>
          <cell r="CM73">
            <v>11538</v>
          </cell>
          <cell r="CN73">
            <v>11538</v>
          </cell>
          <cell r="CO73">
            <v>11538</v>
          </cell>
          <cell r="CP73">
            <v>11538</v>
          </cell>
          <cell r="CQ73">
            <v>11538</v>
          </cell>
          <cell r="CR73">
            <v>11538</v>
          </cell>
          <cell r="CS73">
            <v>11538</v>
          </cell>
          <cell r="CT73">
            <v>11538</v>
          </cell>
          <cell r="CU73">
            <v>11538</v>
          </cell>
          <cell r="CV73">
            <v>11538</v>
          </cell>
          <cell r="CW73">
            <v>11538</v>
          </cell>
          <cell r="CX73">
            <v>11538</v>
          </cell>
          <cell r="CY73">
            <v>11538</v>
          </cell>
          <cell r="CZ73">
            <v>11538</v>
          </cell>
          <cell r="DA73">
            <v>11538</v>
          </cell>
          <cell r="DB73">
            <v>11538</v>
          </cell>
          <cell r="DC73">
            <v>11538</v>
          </cell>
          <cell r="DD73">
            <v>11538</v>
          </cell>
          <cell r="DE73">
            <v>11538</v>
          </cell>
          <cell r="DF73">
            <v>11538</v>
          </cell>
          <cell r="DG73">
            <v>11538</v>
          </cell>
          <cell r="DH73">
            <v>11538</v>
          </cell>
          <cell r="DI73">
            <v>11538</v>
          </cell>
          <cell r="DJ73">
            <v>11538</v>
          </cell>
          <cell r="DK73">
            <v>11538</v>
          </cell>
          <cell r="DL73">
            <v>11538</v>
          </cell>
          <cell r="DM73">
            <v>11538</v>
          </cell>
          <cell r="DN73">
            <v>11538</v>
          </cell>
          <cell r="DO73">
            <v>11538</v>
          </cell>
          <cell r="DP73">
            <v>11538</v>
          </cell>
          <cell r="DQ73">
            <v>11538</v>
          </cell>
          <cell r="DR73">
            <v>11538</v>
          </cell>
          <cell r="DS73">
            <v>11538</v>
          </cell>
          <cell r="DT73">
            <v>11538</v>
          </cell>
          <cell r="DU73">
            <v>11538</v>
          </cell>
          <cell r="DV73">
            <v>11538</v>
          </cell>
          <cell r="DW73">
            <v>11538</v>
          </cell>
          <cell r="DX73">
            <v>11538</v>
          </cell>
          <cell r="DY73">
            <v>11538</v>
          </cell>
          <cell r="DZ73">
            <v>11538</v>
          </cell>
          <cell r="EA73">
            <v>11538</v>
          </cell>
          <cell r="EB73">
            <v>11538</v>
          </cell>
          <cell r="EC73">
            <v>11538</v>
          </cell>
          <cell r="ED73">
            <v>11538</v>
          </cell>
          <cell r="EE73">
            <v>11538</v>
          </cell>
          <cell r="EF73">
            <v>11538</v>
          </cell>
          <cell r="EG73">
            <v>11538</v>
          </cell>
          <cell r="EH73">
            <v>11538</v>
          </cell>
          <cell r="EI73">
            <v>11538</v>
          </cell>
          <cell r="EJ73">
            <v>11538</v>
          </cell>
          <cell r="EK73">
            <v>11538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120</v>
          </cell>
          <cell r="GD73">
            <v>240</v>
          </cell>
          <cell r="GE73">
            <v>360</v>
          </cell>
          <cell r="GF73">
            <v>480</v>
          </cell>
          <cell r="GG73">
            <v>600</v>
          </cell>
          <cell r="GH73">
            <v>852</v>
          </cell>
          <cell r="GI73">
            <v>1104</v>
          </cell>
          <cell r="GJ73">
            <v>1356</v>
          </cell>
          <cell r="GK73">
            <v>1608</v>
          </cell>
          <cell r="GL73">
            <v>1908</v>
          </cell>
          <cell r="GM73">
            <v>2208</v>
          </cell>
          <cell r="GN73">
            <v>2508</v>
          </cell>
          <cell r="GO73">
            <v>2802</v>
          </cell>
          <cell r="GP73">
            <v>3066</v>
          </cell>
          <cell r="GQ73">
            <v>3324</v>
          </cell>
          <cell r="GR73">
            <v>3582</v>
          </cell>
          <cell r="GS73">
            <v>3840</v>
          </cell>
          <cell r="GT73">
            <v>4098</v>
          </cell>
          <cell r="GU73">
            <v>4608</v>
          </cell>
          <cell r="GV73">
            <v>4608</v>
          </cell>
          <cell r="GW73">
            <v>5118</v>
          </cell>
          <cell r="GX73">
            <v>5622</v>
          </cell>
          <cell r="GY73">
            <v>6000</v>
          </cell>
          <cell r="GZ73">
            <v>6372</v>
          </cell>
          <cell r="HA73">
            <v>6744</v>
          </cell>
        </row>
        <row r="74">
          <cell r="D74" t="str">
            <v>82116-0ZY10</v>
          </cell>
          <cell r="E74">
            <v>6744</v>
          </cell>
          <cell r="F74" t="str">
            <v>A01</v>
          </cell>
          <cell r="G74" t="str">
            <v>QTY</v>
          </cell>
          <cell r="H74">
            <v>6744</v>
          </cell>
          <cell r="I74">
            <v>6744</v>
          </cell>
          <cell r="J74">
            <v>6744</v>
          </cell>
          <cell r="K74">
            <v>6744</v>
          </cell>
          <cell r="L74">
            <v>6744</v>
          </cell>
          <cell r="M74">
            <v>6744</v>
          </cell>
          <cell r="N74">
            <v>6744</v>
          </cell>
          <cell r="O74">
            <v>6744</v>
          </cell>
          <cell r="P74">
            <v>6744</v>
          </cell>
          <cell r="Q74">
            <v>6744</v>
          </cell>
          <cell r="R74">
            <v>6744</v>
          </cell>
          <cell r="S74">
            <v>6744</v>
          </cell>
          <cell r="T74">
            <v>6744</v>
          </cell>
          <cell r="U74">
            <v>6744</v>
          </cell>
          <cell r="V74">
            <v>6744</v>
          </cell>
          <cell r="W74">
            <v>6744</v>
          </cell>
          <cell r="X74">
            <v>6744</v>
          </cell>
          <cell r="Y74">
            <v>6744</v>
          </cell>
          <cell r="Z74">
            <v>6744</v>
          </cell>
          <cell r="AA74">
            <v>6744</v>
          </cell>
          <cell r="AB74">
            <v>6744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12</v>
          </cell>
          <cell r="AN74">
            <v>42</v>
          </cell>
          <cell r="AO74">
            <v>48</v>
          </cell>
          <cell r="AP74">
            <v>48</v>
          </cell>
          <cell r="AQ74">
            <v>66</v>
          </cell>
          <cell r="AR74">
            <v>66</v>
          </cell>
          <cell r="AS74">
            <v>126</v>
          </cell>
          <cell r="AT74">
            <v>192</v>
          </cell>
          <cell r="AU74">
            <v>198</v>
          </cell>
          <cell r="AV74">
            <v>168</v>
          </cell>
          <cell r="AW74">
            <v>156</v>
          </cell>
          <cell r="AX74">
            <v>192</v>
          </cell>
          <cell r="AY74">
            <v>192</v>
          </cell>
          <cell r="AZ74">
            <v>192</v>
          </cell>
          <cell r="BA74">
            <v>192</v>
          </cell>
          <cell r="BB74">
            <v>192</v>
          </cell>
          <cell r="BC74">
            <v>192</v>
          </cell>
          <cell r="BD74">
            <v>192</v>
          </cell>
          <cell r="BE74">
            <v>192</v>
          </cell>
          <cell r="BF74">
            <v>192</v>
          </cell>
          <cell r="BG74">
            <v>192</v>
          </cell>
          <cell r="BH74">
            <v>192</v>
          </cell>
          <cell r="BI74">
            <v>192</v>
          </cell>
          <cell r="BJ74">
            <v>192</v>
          </cell>
          <cell r="BK74">
            <v>192</v>
          </cell>
          <cell r="BL74">
            <v>192</v>
          </cell>
          <cell r="BM74">
            <v>192</v>
          </cell>
          <cell r="BN74">
            <v>192</v>
          </cell>
          <cell r="BO74">
            <v>192</v>
          </cell>
          <cell r="BP74">
            <v>192</v>
          </cell>
          <cell r="BQ74">
            <v>192</v>
          </cell>
          <cell r="BR74">
            <v>192</v>
          </cell>
          <cell r="BS74">
            <v>192</v>
          </cell>
          <cell r="BT74">
            <v>192</v>
          </cell>
          <cell r="BU74">
            <v>192</v>
          </cell>
          <cell r="BV74">
            <v>192</v>
          </cell>
          <cell r="BW74">
            <v>192</v>
          </cell>
          <cell r="BX74">
            <v>192</v>
          </cell>
          <cell r="BY74">
            <v>192</v>
          </cell>
          <cell r="BZ74">
            <v>192</v>
          </cell>
          <cell r="CA74">
            <v>192</v>
          </cell>
          <cell r="CB74">
            <v>192</v>
          </cell>
          <cell r="CC74">
            <v>192</v>
          </cell>
          <cell r="CD74">
            <v>192</v>
          </cell>
          <cell r="CE74">
            <v>192</v>
          </cell>
          <cell r="CF74">
            <v>192</v>
          </cell>
          <cell r="CG74">
            <v>192</v>
          </cell>
          <cell r="CH74">
            <v>192</v>
          </cell>
          <cell r="CI74">
            <v>192</v>
          </cell>
          <cell r="CJ74">
            <v>192</v>
          </cell>
          <cell r="CK74">
            <v>192</v>
          </cell>
          <cell r="CL74">
            <v>192</v>
          </cell>
          <cell r="CM74">
            <v>192</v>
          </cell>
          <cell r="CN74">
            <v>192</v>
          </cell>
          <cell r="CO74">
            <v>192</v>
          </cell>
          <cell r="CP74">
            <v>192</v>
          </cell>
          <cell r="CQ74">
            <v>192</v>
          </cell>
          <cell r="CR74">
            <v>192</v>
          </cell>
          <cell r="CS74">
            <v>192</v>
          </cell>
          <cell r="CT74">
            <v>192</v>
          </cell>
          <cell r="CU74">
            <v>192</v>
          </cell>
          <cell r="CV74">
            <v>192</v>
          </cell>
          <cell r="CW74">
            <v>192</v>
          </cell>
          <cell r="CX74">
            <v>192</v>
          </cell>
          <cell r="CY74">
            <v>192</v>
          </cell>
          <cell r="CZ74">
            <v>192</v>
          </cell>
          <cell r="DA74">
            <v>192</v>
          </cell>
          <cell r="DB74">
            <v>192</v>
          </cell>
          <cell r="DC74">
            <v>192</v>
          </cell>
          <cell r="DD74">
            <v>192</v>
          </cell>
          <cell r="DE74">
            <v>192</v>
          </cell>
          <cell r="DF74">
            <v>192</v>
          </cell>
          <cell r="DG74">
            <v>192</v>
          </cell>
          <cell r="DH74">
            <v>192</v>
          </cell>
          <cell r="DI74">
            <v>192</v>
          </cell>
          <cell r="DJ74">
            <v>192</v>
          </cell>
          <cell r="DK74">
            <v>192</v>
          </cell>
          <cell r="DL74">
            <v>192</v>
          </cell>
          <cell r="DM74">
            <v>192</v>
          </cell>
          <cell r="DN74">
            <v>192</v>
          </cell>
          <cell r="DO74">
            <v>192</v>
          </cell>
          <cell r="DP74">
            <v>192</v>
          </cell>
          <cell r="DQ74">
            <v>192</v>
          </cell>
          <cell r="DR74">
            <v>192</v>
          </cell>
          <cell r="DS74">
            <v>192</v>
          </cell>
          <cell r="DT74">
            <v>192</v>
          </cell>
          <cell r="DU74">
            <v>192</v>
          </cell>
          <cell r="DV74">
            <v>192</v>
          </cell>
          <cell r="DW74">
            <v>192</v>
          </cell>
          <cell r="DX74">
            <v>192</v>
          </cell>
          <cell r="DY74">
            <v>192</v>
          </cell>
          <cell r="DZ74">
            <v>192</v>
          </cell>
          <cell r="EA74">
            <v>192</v>
          </cell>
          <cell r="EB74">
            <v>192</v>
          </cell>
          <cell r="EC74">
            <v>192</v>
          </cell>
          <cell r="ED74">
            <v>192</v>
          </cell>
          <cell r="EE74">
            <v>192</v>
          </cell>
          <cell r="EF74">
            <v>192</v>
          </cell>
          <cell r="EG74">
            <v>192</v>
          </cell>
          <cell r="EH74">
            <v>192</v>
          </cell>
          <cell r="EI74">
            <v>192</v>
          </cell>
          <cell r="EJ74">
            <v>192</v>
          </cell>
          <cell r="EK74">
            <v>192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GC74">
            <v>6</v>
          </cell>
          <cell r="GD74">
            <v>6</v>
          </cell>
          <cell r="GE74">
            <v>0</v>
          </cell>
          <cell r="GF74">
            <v>0</v>
          </cell>
          <cell r="GG74">
            <v>0</v>
          </cell>
          <cell r="GH74">
            <v>12</v>
          </cell>
          <cell r="GI74">
            <v>12</v>
          </cell>
          <cell r="GJ74">
            <v>12</v>
          </cell>
          <cell r="GK74">
            <v>6</v>
          </cell>
          <cell r="GL74">
            <v>12</v>
          </cell>
          <cell r="GM74">
            <v>12</v>
          </cell>
          <cell r="GN74">
            <v>12</v>
          </cell>
          <cell r="GO74">
            <v>12</v>
          </cell>
          <cell r="GP74">
            <v>12</v>
          </cell>
          <cell r="GQ74">
            <v>12</v>
          </cell>
          <cell r="GR74">
            <v>12</v>
          </cell>
          <cell r="GS74">
            <v>6</v>
          </cell>
          <cell r="GT74">
            <v>6</v>
          </cell>
          <cell r="GU74">
            <v>24</v>
          </cell>
          <cell r="GV74">
            <v>0</v>
          </cell>
          <cell r="GW74">
            <v>24</v>
          </cell>
          <cell r="GX74">
            <v>18</v>
          </cell>
          <cell r="GY74">
            <v>18</v>
          </cell>
          <cell r="GZ74">
            <v>18</v>
          </cell>
          <cell r="HA74">
            <v>18</v>
          </cell>
        </row>
        <row r="75">
          <cell r="D75">
            <v>18</v>
          </cell>
          <cell r="E75">
            <v>18</v>
          </cell>
          <cell r="F75">
            <v>18</v>
          </cell>
          <cell r="G75" t="str">
            <v>CUM</v>
          </cell>
          <cell r="H75">
            <v>18</v>
          </cell>
          <cell r="I75">
            <v>18</v>
          </cell>
          <cell r="J75">
            <v>18</v>
          </cell>
          <cell r="K75">
            <v>18</v>
          </cell>
          <cell r="L75">
            <v>18</v>
          </cell>
          <cell r="M75">
            <v>18</v>
          </cell>
          <cell r="N75">
            <v>18</v>
          </cell>
          <cell r="O75">
            <v>18</v>
          </cell>
          <cell r="P75">
            <v>18</v>
          </cell>
          <cell r="Q75">
            <v>18</v>
          </cell>
          <cell r="R75">
            <v>18</v>
          </cell>
          <cell r="S75">
            <v>18</v>
          </cell>
          <cell r="T75">
            <v>18</v>
          </cell>
          <cell r="U75">
            <v>18</v>
          </cell>
          <cell r="V75">
            <v>18</v>
          </cell>
          <cell r="W75">
            <v>18</v>
          </cell>
          <cell r="X75">
            <v>18</v>
          </cell>
          <cell r="Y75">
            <v>18</v>
          </cell>
          <cell r="Z75">
            <v>18</v>
          </cell>
          <cell r="AA75">
            <v>18</v>
          </cell>
          <cell r="AB75">
            <v>18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12</v>
          </cell>
          <cell r="AN75">
            <v>54</v>
          </cell>
          <cell r="AO75">
            <v>102</v>
          </cell>
          <cell r="AP75">
            <v>150</v>
          </cell>
          <cell r="AQ75">
            <v>216</v>
          </cell>
          <cell r="AR75">
            <v>282</v>
          </cell>
          <cell r="AS75">
            <v>408</v>
          </cell>
          <cell r="AT75">
            <v>600</v>
          </cell>
          <cell r="AU75">
            <v>798</v>
          </cell>
          <cell r="AV75">
            <v>966</v>
          </cell>
          <cell r="AW75">
            <v>1122</v>
          </cell>
          <cell r="AX75">
            <v>1314</v>
          </cell>
          <cell r="AY75">
            <v>1314</v>
          </cell>
          <cell r="AZ75">
            <v>1314</v>
          </cell>
          <cell r="BA75">
            <v>1314</v>
          </cell>
          <cell r="BB75">
            <v>1314</v>
          </cell>
          <cell r="BC75">
            <v>1314</v>
          </cell>
          <cell r="BD75">
            <v>1314</v>
          </cell>
          <cell r="BE75">
            <v>1314</v>
          </cell>
          <cell r="BF75">
            <v>1314</v>
          </cell>
          <cell r="BG75">
            <v>1314</v>
          </cell>
          <cell r="BH75">
            <v>1314</v>
          </cell>
          <cell r="BI75">
            <v>1314</v>
          </cell>
          <cell r="BJ75">
            <v>1314</v>
          </cell>
          <cell r="BK75">
            <v>1314</v>
          </cell>
          <cell r="BL75">
            <v>1314</v>
          </cell>
          <cell r="BM75">
            <v>1314</v>
          </cell>
          <cell r="BN75">
            <v>1314</v>
          </cell>
          <cell r="BO75">
            <v>1314</v>
          </cell>
          <cell r="BP75">
            <v>1314</v>
          </cell>
          <cell r="BQ75">
            <v>1314</v>
          </cell>
          <cell r="BR75">
            <v>1314</v>
          </cell>
          <cell r="BS75">
            <v>1314</v>
          </cell>
          <cell r="BT75">
            <v>1314</v>
          </cell>
          <cell r="BU75">
            <v>1314</v>
          </cell>
          <cell r="BV75">
            <v>1314</v>
          </cell>
          <cell r="BW75">
            <v>1314</v>
          </cell>
          <cell r="BX75">
            <v>1314</v>
          </cell>
          <cell r="BY75">
            <v>1314</v>
          </cell>
          <cell r="BZ75">
            <v>1314</v>
          </cell>
          <cell r="CA75">
            <v>1314</v>
          </cell>
          <cell r="CB75">
            <v>1314</v>
          </cell>
          <cell r="CC75">
            <v>1314</v>
          </cell>
          <cell r="CD75">
            <v>1314</v>
          </cell>
          <cell r="CE75">
            <v>1314</v>
          </cell>
          <cell r="CF75">
            <v>1314</v>
          </cell>
          <cell r="CG75">
            <v>1314</v>
          </cell>
          <cell r="CH75">
            <v>1314</v>
          </cell>
          <cell r="CI75">
            <v>1314</v>
          </cell>
          <cell r="CJ75">
            <v>1314</v>
          </cell>
          <cell r="CK75">
            <v>1314</v>
          </cell>
          <cell r="CL75">
            <v>1314</v>
          </cell>
          <cell r="CM75">
            <v>1314</v>
          </cell>
          <cell r="CN75">
            <v>1314</v>
          </cell>
          <cell r="CO75">
            <v>1314</v>
          </cell>
          <cell r="CP75">
            <v>1314</v>
          </cell>
          <cell r="CQ75">
            <v>1314</v>
          </cell>
          <cell r="CR75">
            <v>1314</v>
          </cell>
          <cell r="CS75">
            <v>1314</v>
          </cell>
          <cell r="CT75">
            <v>1314</v>
          </cell>
          <cell r="CU75">
            <v>1314</v>
          </cell>
          <cell r="CV75">
            <v>1314</v>
          </cell>
          <cell r="CW75">
            <v>1314</v>
          </cell>
          <cell r="CX75">
            <v>1314</v>
          </cell>
          <cell r="CY75">
            <v>1314</v>
          </cell>
          <cell r="CZ75">
            <v>1314</v>
          </cell>
          <cell r="DA75">
            <v>1314</v>
          </cell>
          <cell r="DB75">
            <v>1314</v>
          </cell>
          <cell r="DC75">
            <v>1314</v>
          </cell>
          <cell r="DD75">
            <v>1314</v>
          </cell>
          <cell r="DE75">
            <v>1314</v>
          </cell>
          <cell r="DF75">
            <v>1314</v>
          </cell>
          <cell r="DG75">
            <v>1314</v>
          </cell>
          <cell r="DH75">
            <v>1314</v>
          </cell>
          <cell r="DI75">
            <v>1314</v>
          </cell>
          <cell r="DJ75">
            <v>1314</v>
          </cell>
          <cell r="DK75">
            <v>1314</v>
          </cell>
          <cell r="DL75">
            <v>1314</v>
          </cell>
          <cell r="DM75">
            <v>1314</v>
          </cell>
          <cell r="DN75">
            <v>1314</v>
          </cell>
          <cell r="DO75">
            <v>1314</v>
          </cell>
          <cell r="DP75">
            <v>1314</v>
          </cell>
          <cell r="DQ75">
            <v>1314</v>
          </cell>
          <cell r="DR75">
            <v>1314</v>
          </cell>
          <cell r="DS75">
            <v>1314</v>
          </cell>
          <cell r="DT75">
            <v>1314</v>
          </cell>
          <cell r="DU75">
            <v>1314</v>
          </cell>
          <cell r="DV75">
            <v>1314</v>
          </cell>
          <cell r="DW75">
            <v>1314</v>
          </cell>
          <cell r="DX75">
            <v>1314</v>
          </cell>
          <cell r="DY75">
            <v>1314</v>
          </cell>
          <cell r="DZ75">
            <v>1314</v>
          </cell>
          <cell r="EA75">
            <v>1314</v>
          </cell>
          <cell r="EB75">
            <v>1314</v>
          </cell>
          <cell r="EC75">
            <v>1314</v>
          </cell>
          <cell r="ED75">
            <v>1314</v>
          </cell>
          <cell r="EE75">
            <v>1314</v>
          </cell>
          <cell r="EF75">
            <v>1314</v>
          </cell>
          <cell r="EG75">
            <v>1314</v>
          </cell>
          <cell r="EH75">
            <v>1314</v>
          </cell>
          <cell r="EI75">
            <v>1314</v>
          </cell>
          <cell r="EJ75">
            <v>1314</v>
          </cell>
          <cell r="EK75">
            <v>1314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0</v>
          </cell>
          <cell r="FO75">
            <v>0</v>
          </cell>
          <cell r="FP75">
            <v>0</v>
          </cell>
          <cell r="FQ75">
            <v>0</v>
          </cell>
          <cell r="FR75">
            <v>0</v>
          </cell>
          <cell r="FS75">
            <v>0</v>
          </cell>
          <cell r="FT75">
            <v>0</v>
          </cell>
          <cell r="FU75">
            <v>0</v>
          </cell>
          <cell r="FV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GC75">
            <v>6</v>
          </cell>
          <cell r="GD75">
            <v>12</v>
          </cell>
          <cell r="GE75">
            <v>12</v>
          </cell>
          <cell r="GF75">
            <v>12</v>
          </cell>
          <cell r="GG75">
            <v>12</v>
          </cell>
          <cell r="GH75">
            <v>24</v>
          </cell>
          <cell r="GI75">
            <v>36</v>
          </cell>
          <cell r="GJ75">
            <v>48</v>
          </cell>
          <cell r="GK75">
            <v>54</v>
          </cell>
          <cell r="GL75">
            <v>66</v>
          </cell>
          <cell r="GM75">
            <v>78</v>
          </cell>
          <cell r="GN75">
            <v>90</v>
          </cell>
          <cell r="GO75">
            <v>102</v>
          </cell>
          <cell r="GP75">
            <v>114</v>
          </cell>
          <cell r="GQ75">
            <v>126</v>
          </cell>
          <cell r="GR75">
            <v>138</v>
          </cell>
          <cell r="GS75">
            <v>144</v>
          </cell>
          <cell r="GT75">
            <v>150</v>
          </cell>
          <cell r="GU75">
            <v>174</v>
          </cell>
          <cell r="GV75">
            <v>174</v>
          </cell>
          <cell r="GW75">
            <v>198</v>
          </cell>
          <cell r="GX75">
            <v>216</v>
          </cell>
          <cell r="GY75">
            <v>234</v>
          </cell>
          <cell r="GZ75">
            <v>252</v>
          </cell>
          <cell r="HA75">
            <v>270</v>
          </cell>
        </row>
        <row r="76">
          <cell r="D76">
            <v>270</v>
          </cell>
          <cell r="F76">
            <v>270</v>
          </cell>
          <cell r="G76" t="str">
            <v>QTY</v>
          </cell>
          <cell r="H76">
            <v>270</v>
          </cell>
          <cell r="I76">
            <v>270</v>
          </cell>
          <cell r="J76">
            <v>270</v>
          </cell>
          <cell r="K76">
            <v>270</v>
          </cell>
          <cell r="L76">
            <v>270</v>
          </cell>
          <cell r="M76">
            <v>270</v>
          </cell>
          <cell r="N76">
            <v>270</v>
          </cell>
          <cell r="O76">
            <v>270</v>
          </cell>
          <cell r="P76">
            <v>270</v>
          </cell>
          <cell r="Q76">
            <v>270</v>
          </cell>
          <cell r="R76">
            <v>270</v>
          </cell>
          <cell r="S76">
            <v>270</v>
          </cell>
          <cell r="T76">
            <v>270</v>
          </cell>
          <cell r="U76">
            <v>270</v>
          </cell>
          <cell r="V76">
            <v>270</v>
          </cell>
          <cell r="W76">
            <v>270</v>
          </cell>
          <cell r="X76">
            <v>270</v>
          </cell>
          <cell r="Y76">
            <v>270</v>
          </cell>
          <cell r="Z76">
            <v>270</v>
          </cell>
          <cell r="AA76">
            <v>270</v>
          </cell>
          <cell r="AB76">
            <v>270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</row>
        <row r="77">
          <cell r="D77">
            <v>0</v>
          </cell>
          <cell r="G77" t="str">
            <v>CUM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0</v>
          </cell>
          <cell r="GJ77">
            <v>0</v>
          </cell>
          <cell r="GK77">
            <v>0</v>
          </cell>
          <cell r="GL77">
            <v>0</v>
          </cell>
          <cell r="GM77">
            <v>0</v>
          </cell>
          <cell r="GN77">
            <v>0</v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U77">
            <v>0</v>
          </cell>
          <cell r="GV77">
            <v>0</v>
          </cell>
          <cell r="GW77">
            <v>0</v>
          </cell>
          <cell r="GX77">
            <v>0</v>
          </cell>
          <cell r="GY77">
            <v>0</v>
          </cell>
          <cell r="GZ77">
            <v>0</v>
          </cell>
          <cell r="HA77">
            <v>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I 原檔"/>
      <sheetName val="JAI (加新件號)"/>
      <sheetName val="比較"/>
      <sheetName val="Sheet1"/>
    </sheetNames>
    <sheetDataSet>
      <sheetData sheetId="0"/>
      <sheetData sheetId="1">
        <row r="20">
          <cell r="D20" t="str">
            <v>82111-FE150</v>
          </cell>
          <cell r="E20" t="str">
            <v>AT10</v>
          </cell>
          <cell r="F20" t="str">
            <v>000</v>
          </cell>
          <cell r="G20" t="str">
            <v>QTY</v>
          </cell>
          <cell r="H20">
            <v>930</v>
          </cell>
          <cell r="I20">
            <v>540</v>
          </cell>
          <cell r="J20">
            <v>290</v>
          </cell>
          <cell r="K20">
            <v>610</v>
          </cell>
          <cell r="L20">
            <v>500</v>
          </cell>
          <cell r="M20">
            <v>800</v>
          </cell>
          <cell r="N20">
            <v>860</v>
          </cell>
          <cell r="O20">
            <v>780</v>
          </cell>
          <cell r="P20">
            <v>1460</v>
          </cell>
          <cell r="Q20">
            <v>620</v>
          </cell>
          <cell r="R20">
            <v>500</v>
          </cell>
          <cell r="S20">
            <v>560</v>
          </cell>
          <cell r="T20">
            <v>480</v>
          </cell>
          <cell r="U20">
            <v>940</v>
          </cell>
          <cell r="V20">
            <v>620</v>
          </cell>
          <cell r="W20">
            <v>630</v>
          </cell>
          <cell r="X20">
            <v>410</v>
          </cell>
          <cell r="Y20">
            <v>850</v>
          </cell>
          <cell r="Z20">
            <v>410</v>
          </cell>
          <cell r="AA20">
            <v>470</v>
          </cell>
          <cell r="AB20">
            <v>540</v>
          </cell>
          <cell r="AC20">
            <v>430</v>
          </cell>
          <cell r="AD20">
            <v>380</v>
          </cell>
          <cell r="AE20">
            <v>460</v>
          </cell>
          <cell r="AF20">
            <v>390</v>
          </cell>
          <cell r="AG20">
            <v>350</v>
          </cell>
          <cell r="AH20">
            <v>500</v>
          </cell>
          <cell r="AI20">
            <v>440</v>
          </cell>
          <cell r="AJ20">
            <v>470</v>
          </cell>
          <cell r="AK20">
            <v>830</v>
          </cell>
          <cell r="AL20">
            <v>360</v>
          </cell>
          <cell r="AM20">
            <v>6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144</v>
          </cell>
          <cell r="AZ20">
            <v>90</v>
          </cell>
          <cell r="BA20">
            <v>66</v>
          </cell>
          <cell r="BB20">
            <v>6</v>
          </cell>
          <cell r="BC20">
            <v>18</v>
          </cell>
          <cell r="BD20">
            <v>42</v>
          </cell>
          <cell r="BE20">
            <v>54</v>
          </cell>
          <cell r="BF20">
            <v>48</v>
          </cell>
          <cell r="BG20">
            <v>42</v>
          </cell>
          <cell r="BH20">
            <v>42</v>
          </cell>
          <cell r="BI20">
            <v>30</v>
          </cell>
          <cell r="BJ20">
            <v>680</v>
          </cell>
          <cell r="BK20">
            <v>230</v>
          </cell>
          <cell r="BL20">
            <v>230</v>
          </cell>
          <cell r="BM20">
            <v>230</v>
          </cell>
          <cell r="BN20">
            <v>140</v>
          </cell>
          <cell r="BO20">
            <v>140</v>
          </cell>
          <cell r="BP20">
            <v>130</v>
          </cell>
          <cell r="BQ20">
            <v>130</v>
          </cell>
          <cell r="BR20">
            <v>80</v>
          </cell>
          <cell r="BS20">
            <v>70</v>
          </cell>
          <cell r="BT20">
            <v>70</v>
          </cell>
          <cell r="BU20">
            <v>70</v>
          </cell>
          <cell r="BV20">
            <v>0</v>
          </cell>
          <cell r="BW20">
            <v>160</v>
          </cell>
          <cell r="BX20">
            <v>150</v>
          </cell>
          <cell r="BY20">
            <v>150</v>
          </cell>
          <cell r="BZ20">
            <v>150</v>
          </cell>
          <cell r="CA20">
            <v>120</v>
          </cell>
          <cell r="CB20">
            <v>120</v>
          </cell>
          <cell r="CC20">
            <v>130</v>
          </cell>
          <cell r="CD20">
            <v>130</v>
          </cell>
          <cell r="CE20">
            <v>200</v>
          </cell>
          <cell r="CF20">
            <v>200</v>
          </cell>
          <cell r="CG20">
            <v>0</v>
          </cell>
          <cell r="CH20">
            <v>200</v>
          </cell>
          <cell r="CI20">
            <v>200</v>
          </cell>
          <cell r="CJ20">
            <v>220</v>
          </cell>
          <cell r="CK20">
            <v>220</v>
          </cell>
          <cell r="CL20">
            <v>210</v>
          </cell>
          <cell r="CM20">
            <v>210</v>
          </cell>
          <cell r="CN20">
            <v>200</v>
          </cell>
          <cell r="CO20">
            <v>200</v>
          </cell>
          <cell r="CP20">
            <v>190</v>
          </cell>
          <cell r="CQ20">
            <v>190</v>
          </cell>
          <cell r="CR20">
            <v>300</v>
          </cell>
          <cell r="CS20">
            <v>290</v>
          </cell>
          <cell r="CT20">
            <v>290</v>
          </cell>
          <cell r="CU20">
            <v>290</v>
          </cell>
          <cell r="CV20">
            <v>290</v>
          </cell>
          <cell r="CW20">
            <v>150</v>
          </cell>
          <cell r="CX20">
            <v>150</v>
          </cell>
          <cell r="CY20">
            <v>160</v>
          </cell>
          <cell r="CZ20">
            <v>160</v>
          </cell>
          <cell r="DA20">
            <v>120</v>
          </cell>
          <cell r="DB20">
            <v>120</v>
          </cell>
          <cell r="DC20">
            <v>130</v>
          </cell>
          <cell r="DD20">
            <v>0</v>
          </cell>
          <cell r="DE20">
            <v>130</v>
          </cell>
          <cell r="DF20">
            <v>0</v>
          </cell>
          <cell r="DG20">
            <v>190</v>
          </cell>
          <cell r="DH20">
            <v>190</v>
          </cell>
          <cell r="DI20">
            <v>180</v>
          </cell>
          <cell r="DJ20">
            <v>120</v>
          </cell>
          <cell r="DK20">
            <v>120</v>
          </cell>
          <cell r="DL20">
            <v>120</v>
          </cell>
          <cell r="DM20">
            <v>120</v>
          </cell>
          <cell r="DN20">
            <v>230</v>
          </cell>
          <cell r="DO20">
            <v>240</v>
          </cell>
          <cell r="DP20">
            <v>230</v>
          </cell>
          <cell r="DQ20">
            <v>240</v>
          </cell>
          <cell r="DR20">
            <v>150</v>
          </cell>
          <cell r="DS20">
            <v>150</v>
          </cell>
          <cell r="DT20">
            <v>160</v>
          </cell>
          <cell r="DU20">
            <v>0</v>
          </cell>
          <cell r="DV20">
            <v>160</v>
          </cell>
          <cell r="DW20">
            <v>150</v>
          </cell>
          <cell r="DX20">
            <v>160</v>
          </cell>
          <cell r="DY20">
            <v>160</v>
          </cell>
          <cell r="DZ20">
            <v>160</v>
          </cell>
          <cell r="EA20">
            <v>100</v>
          </cell>
          <cell r="EB20">
            <v>100</v>
          </cell>
          <cell r="EC20">
            <v>100</v>
          </cell>
          <cell r="ED20">
            <v>110</v>
          </cell>
          <cell r="EE20">
            <v>210</v>
          </cell>
          <cell r="EF20">
            <v>210</v>
          </cell>
          <cell r="EG20">
            <v>0</v>
          </cell>
          <cell r="EH20">
            <v>210</v>
          </cell>
          <cell r="EI20">
            <v>220</v>
          </cell>
          <cell r="EJ20">
            <v>100</v>
          </cell>
          <cell r="EK20">
            <v>100</v>
          </cell>
          <cell r="EL20">
            <v>100</v>
          </cell>
          <cell r="EM20">
            <v>110</v>
          </cell>
          <cell r="EN20">
            <v>100</v>
          </cell>
          <cell r="EO20">
            <v>100</v>
          </cell>
          <cell r="EP20">
            <v>90</v>
          </cell>
          <cell r="EQ20">
            <v>90</v>
          </cell>
          <cell r="ER20">
            <v>90</v>
          </cell>
          <cell r="ES20">
            <v>140</v>
          </cell>
          <cell r="ET20">
            <v>140</v>
          </cell>
          <cell r="EU20">
            <v>130</v>
          </cell>
          <cell r="EV20">
            <v>130</v>
          </cell>
          <cell r="EW20">
            <v>110</v>
          </cell>
          <cell r="EX20">
            <v>110</v>
          </cell>
          <cell r="EY20">
            <v>110</v>
          </cell>
          <cell r="EZ20">
            <v>100</v>
          </cell>
          <cell r="FA20">
            <v>100</v>
          </cell>
          <cell r="FB20">
            <v>100</v>
          </cell>
          <cell r="FC20">
            <v>100</v>
          </cell>
          <cell r="FD20">
            <v>80</v>
          </cell>
          <cell r="FE20">
            <v>0</v>
          </cell>
          <cell r="FF20">
            <v>160</v>
          </cell>
          <cell r="FG20">
            <v>150</v>
          </cell>
          <cell r="FH20">
            <v>150</v>
          </cell>
          <cell r="FI20">
            <v>0</v>
          </cell>
          <cell r="FJ20">
            <v>100</v>
          </cell>
          <cell r="FK20">
            <v>100</v>
          </cell>
          <cell r="FL20">
            <v>90</v>
          </cell>
          <cell r="FM20">
            <v>100</v>
          </cell>
          <cell r="FN20">
            <v>80</v>
          </cell>
          <cell r="FO20">
            <v>110</v>
          </cell>
          <cell r="FP20">
            <v>80</v>
          </cell>
          <cell r="FQ20">
            <v>80</v>
          </cell>
          <cell r="FR20">
            <v>120</v>
          </cell>
          <cell r="FS20">
            <v>0</v>
          </cell>
          <cell r="FT20">
            <v>130</v>
          </cell>
          <cell r="FU20">
            <v>130</v>
          </cell>
          <cell r="FV20">
            <v>120</v>
          </cell>
          <cell r="FW20">
            <v>100</v>
          </cell>
          <cell r="FX20">
            <v>100</v>
          </cell>
          <cell r="FY20">
            <v>100</v>
          </cell>
          <cell r="FZ20">
            <v>140</v>
          </cell>
          <cell r="GA20">
            <v>100</v>
          </cell>
          <cell r="GB20">
            <v>120</v>
          </cell>
          <cell r="GC20">
            <v>120</v>
          </cell>
          <cell r="GD20">
            <v>130</v>
          </cell>
          <cell r="GE20">
            <v>210</v>
          </cell>
          <cell r="GF20">
            <v>210</v>
          </cell>
          <cell r="GG20">
            <v>206</v>
          </cell>
          <cell r="GH20">
            <v>0</v>
          </cell>
          <cell r="GI20">
            <v>204</v>
          </cell>
          <cell r="GJ20">
            <v>96</v>
          </cell>
          <cell r="GK20">
            <v>96</v>
          </cell>
          <cell r="GL20">
            <v>96</v>
          </cell>
          <cell r="GM20">
            <v>72</v>
          </cell>
          <cell r="GN20">
            <v>6</v>
          </cell>
          <cell r="GO20">
            <v>0</v>
          </cell>
          <cell r="GP20">
            <v>0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0</v>
          </cell>
          <cell r="GV20">
            <v>0</v>
          </cell>
          <cell r="IK20">
            <v>0</v>
          </cell>
          <cell r="IL20">
            <v>0</v>
          </cell>
          <cell r="IM20">
            <v>0</v>
          </cell>
          <cell r="IN20">
            <v>42</v>
          </cell>
          <cell r="IO20">
            <v>42</v>
          </cell>
          <cell r="IP20">
            <v>30</v>
          </cell>
          <cell r="IQ20">
            <v>30</v>
          </cell>
          <cell r="IR20">
            <v>18</v>
          </cell>
          <cell r="IS20">
            <v>18</v>
          </cell>
          <cell r="IT20">
            <v>36</v>
          </cell>
          <cell r="IU20">
            <v>18</v>
          </cell>
          <cell r="IV20">
            <v>12</v>
          </cell>
          <cell r="IW20">
            <v>12</v>
          </cell>
          <cell r="IX20">
            <v>12</v>
          </cell>
          <cell r="IY20">
            <v>12</v>
          </cell>
          <cell r="IZ20">
            <v>18</v>
          </cell>
          <cell r="JA20">
            <v>6</v>
          </cell>
          <cell r="JB20">
            <v>0</v>
          </cell>
          <cell r="JC20">
            <v>0</v>
          </cell>
          <cell r="JD20">
            <v>0</v>
          </cell>
          <cell r="JE20">
            <v>18</v>
          </cell>
          <cell r="JF20">
            <v>0</v>
          </cell>
          <cell r="JG20">
            <v>0</v>
          </cell>
          <cell r="JH20">
            <v>0</v>
          </cell>
          <cell r="JI20">
            <v>0</v>
          </cell>
          <cell r="JJ20">
            <v>24</v>
          </cell>
          <cell r="JK20">
            <v>18</v>
          </cell>
          <cell r="JL20">
            <v>0</v>
          </cell>
          <cell r="JM20">
            <v>18</v>
          </cell>
          <cell r="JN20">
            <v>18</v>
          </cell>
          <cell r="JO20">
            <v>18</v>
          </cell>
          <cell r="JP20">
            <v>0</v>
          </cell>
          <cell r="JQ20">
            <v>0</v>
          </cell>
          <cell r="JR20">
            <v>18</v>
          </cell>
          <cell r="JS20">
            <v>18</v>
          </cell>
          <cell r="JT20">
            <v>12</v>
          </cell>
          <cell r="JU20">
            <v>0</v>
          </cell>
          <cell r="JV20">
            <v>24</v>
          </cell>
          <cell r="JW20">
            <v>18</v>
          </cell>
          <cell r="JX20">
            <v>0</v>
          </cell>
          <cell r="JY20">
            <v>0</v>
          </cell>
          <cell r="JZ20">
            <v>24</v>
          </cell>
          <cell r="KA20">
            <v>18</v>
          </cell>
          <cell r="KB20">
            <v>0</v>
          </cell>
          <cell r="KC20">
            <v>0</v>
          </cell>
          <cell r="KD20">
            <v>0</v>
          </cell>
          <cell r="KE20">
            <v>18</v>
          </cell>
          <cell r="KF20">
            <v>12</v>
          </cell>
          <cell r="KG20">
            <v>0</v>
          </cell>
          <cell r="KH20">
            <v>0</v>
          </cell>
        </row>
        <row r="21">
          <cell r="D21" t="str">
            <v>2025.09.30 L/O</v>
          </cell>
          <cell r="G21" t="str">
            <v>CUM</v>
          </cell>
          <cell r="H21">
            <v>11864</v>
          </cell>
          <cell r="I21">
            <v>12404</v>
          </cell>
          <cell r="J21">
            <v>12694</v>
          </cell>
          <cell r="K21">
            <v>13304</v>
          </cell>
          <cell r="L21">
            <v>13804</v>
          </cell>
          <cell r="M21">
            <v>14604</v>
          </cell>
          <cell r="N21">
            <v>15464</v>
          </cell>
          <cell r="O21">
            <v>16244</v>
          </cell>
          <cell r="P21">
            <v>17704</v>
          </cell>
          <cell r="Q21">
            <v>18324</v>
          </cell>
          <cell r="R21">
            <v>18824</v>
          </cell>
          <cell r="S21">
            <v>19384</v>
          </cell>
          <cell r="T21">
            <v>19864</v>
          </cell>
          <cell r="U21">
            <v>20804</v>
          </cell>
          <cell r="V21">
            <v>21424</v>
          </cell>
          <cell r="W21">
            <v>22054</v>
          </cell>
          <cell r="X21">
            <v>22464</v>
          </cell>
          <cell r="Y21">
            <v>23314</v>
          </cell>
          <cell r="Z21">
            <v>23724</v>
          </cell>
          <cell r="AA21">
            <v>24194</v>
          </cell>
          <cell r="AB21">
            <v>24734</v>
          </cell>
          <cell r="AC21">
            <v>25164</v>
          </cell>
          <cell r="AD21">
            <v>25544</v>
          </cell>
          <cell r="AE21">
            <v>26004</v>
          </cell>
          <cell r="AF21">
            <v>26394</v>
          </cell>
          <cell r="AG21">
            <v>26744</v>
          </cell>
          <cell r="AH21">
            <v>27244</v>
          </cell>
          <cell r="AI21">
            <v>27684</v>
          </cell>
          <cell r="AJ21">
            <v>28154</v>
          </cell>
          <cell r="AK21">
            <v>28984</v>
          </cell>
          <cell r="AL21">
            <v>29344</v>
          </cell>
          <cell r="AM21">
            <v>29350</v>
          </cell>
          <cell r="AN21">
            <v>29350</v>
          </cell>
          <cell r="AO21">
            <v>29350</v>
          </cell>
          <cell r="AP21">
            <v>29350</v>
          </cell>
          <cell r="AQ21">
            <v>29350</v>
          </cell>
          <cell r="AR21">
            <v>29350</v>
          </cell>
          <cell r="AS21">
            <v>29350</v>
          </cell>
          <cell r="AT21">
            <v>29350</v>
          </cell>
          <cell r="AU21">
            <v>29350</v>
          </cell>
          <cell r="AV21">
            <v>0</v>
          </cell>
          <cell r="AW21">
            <v>0</v>
          </cell>
          <cell r="AX21">
            <v>0</v>
          </cell>
          <cell r="AY21">
            <v>144</v>
          </cell>
          <cell r="AZ21">
            <v>234</v>
          </cell>
          <cell r="BA21">
            <v>300</v>
          </cell>
          <cell r="BB21">
            <v>306</v>
          </cell>
          <cell r="BC21">
            <v>324</v>
          </cell>
          <cell r="BD21">
            <v>366</v>
          </cell>
          <cell r="BE21">
            <v>420</v>
          </cell>
          <cell r="BF21">
            <v>468</v>
          </cell>
          <cell r="BG21">
            <v>510</v>
          </cell>
          <cell r="BH21">
            <v>552</v>
          </cell>
          <cell r="BI21">
            <v>582</v>
          </cell>
          <cell r="BJ21">
            <v>11174</v>
          </cell>
          <cell r="BK21">
            <v>11404</v>
          </cell>
          <cell r="BL21">
            <v>11634</v>
          </cell>
          <cell r="BM21">
            <v>11864</v>
          </cell>
          <cell r="BN21">
            <v>12004</v>
          </cell>
          <cell r="BO21">
            <v>12144</v>
          </cell>
          <cell r="BP21">
            <v>12274</v>
          </cell>
          <cell r="BQ21">
            <v>12404</v>
          </cell>
          <cell r="BR21">
            <v>12484</v>
          </cell>
          <cell r="BS21">
            <v>12554</v>
          </cell>
          <cell r="BT21">
            <v>12624</v>
          </cell>
          <cell r="BU21">
            <v>12694</v>
          </cell>
          <cell r="BV21">
            <v>12694</v>
          </cell>
          <cell r="BW21">
            <v>12854</v>
          </cell>
          <cell r="BX21">
            <v>13004</v>
          </cell>
          <cell r="BY21">
            <v>13154</v>
          </cell>
          <cell r="BZ21">
            <v>13304</v>
          </cell>
          <cell r="CA21">
            <v>13424</v>
          </cell>
          <cell r="CB21">
            <v>13544</v>
          </cell>
          <cell r="CC21">
            <v>13674</v>
          </cell>
          <cell r="CD21">
            <v>13804</v>
          </cell>
          <cell r="CE21">
            <v>14004</v>
          </cell>
          <cell r="CF21">
            <v>14204</v>
          </cell>
          <cell r="CG21">
            <v>14204</v>
          </cell>
          <cell r="CH21">
            <v>14404</v>
          </cell>
          <cell r="CI21">
            <v>14604</v>
          </cell>
          <cell r="CJ21">
            <v>14824</v>
          </cell>
          <cell r="CK21">
            <v>15044</v>
          </cell>
          <cell r="CL21">
            <v>15254</v>
          </cell>
          <cell r="CM21">
            <v>15464</v>
          </cell>
          <cell r="CN21">
            <v>15664</v>
          </cell>
          <cell r="CO21">
            <v>15864</v>
          </cell>
          <cell r="CP21">
            <v>16054</v>
          </cell>
          <cell r="CQ21">
            <v>16244</v>
          </cell>
          <cell r="CR21">
            <v>16544</v>
          </cell>
          <cell r="CS21">
            <v>16834</v>
          </cell>
          <cell r="CT21">
            <v>17124</v>
          </cell>
          <cell r="CU21">
            <v>17414</v>
          </cell>
          <cell r="CV21">
            <v>17704</v>
          </cell>
          <cell r="CW21">
            <v>17854</v>
          </cell>
          <cell r="CX21">
            <v>18004</v>
          </cell>
          <cell r="CY21">
            <v>18164</v>
          </cell>
          <cell r="CZ21">
            <v>18324</v>
          </cell>
          <cell r="DA21">
            <v>18444</v>
          </cell>
          <cell r="DB21">
            <v>18564</v>
          </cell>
          <cell r="DC21">
            <v>18694</v>
          </cell>
          <cell r="DD21">
            <v>18694</v>
          </cell>
          <cell r="DE21">
            <v>18824</v>
          </cell>
          <cell r="DF21">
            <v>18824</v>
          </cell>
          <cell r="DG21">
            <v>19014</v>
          </cell>
          <cell r="DH21">
            <v>19204</v>
          </cell>
          <cell r="DI21">
            <v>19384</v>
          </cell>
          <cell r="DJ21">
            <v>19504</v>
          </cell>
          <cell r="DK21">
            <v>19624</v>
          </cell>
          <cell r="DL21">
            <v>19744</v>
          </cell>
          <cell r="DM21">
            <v>19864</v>
          </cell>
          <cell r="DN21">
            <v>20094</v>
          </cell>
          <cell r="DO21">
            <v>20334</v>
          </cell>
          <cell r="DP21">
            <v>20564</v>
          </cell>
          <cell r="DQ21">
            <v>20804</v>
          </cell>
          <cell r="DR21">
            <v>20954</v>
          </cell>
          <cell r="DS21">
            <v>21104</v>
          </cell>
          <cell r="DT21">
            <v>21264</v>
          </cell>
          <cell r="DU21">
            <v>21264</v>
          </cell>
          <cell r="DV21">
            <v>21424</v>
          </cell>
          <cell r="DW21">
            <v>21574</v>
          </cell>
          <cell r="DX21">
            <v>21734</v>
          </cell>
          <cell r="DY21">
            <v>21894</v>
          </cell>
          <cell r="DZ21">
            <v>22054</v>
          </cell>
          <cell r="EA21">
            <v>22154</v>
          </cell>
          <cell r="EB21">
            <v>22254</v>
          </cell>
          <cell r="EC21">
            <v>22354</v>
          </cell>
          <cell r="ED21">
            <v>22464</v>
          </cell>
          <cell r="EE21">
            <v>22674</v>
          </cell>
          <cell r="EF21">
            <v>22884</v>
          </cell>
          <cell r="EG21">
            <v>22884</v>
          </cell>
          <cell r="EH21">
            <v>23094</v>
          </cell>
          <cell r="EI21">
            <v>23314</v>
          </cell>
          <cell r="EJ21">
            <v>23414</v>
          </cell>
          <cell r="EK21">
            <v>23514</v>
          </cell>
          <cell r="EL21">
            <v>23614</v>
          </cell>
          <cell r="EM21">
            <v>23724</v>
          </cell>
          <cell r="EN21">
            <v>23824</v>
          </cell>
          <cell r="EO21">
            <v>23924</v>
          </cell>
          <cell r="EP21">
            <v>24014</v>
          </cell>
          <cell r="EQ21">
            <v>24104</v>
          </cell>
          <cell r="ER21">
            <v>24194</v>
          </cell>
          <cell r="ES21">
            <v>24334</v>
          </cell>
          <cell r="ET21">
            <v>24474</v>
          </cell>
          <cell r="EU21">
            <v>24604</v>
          </cell>
          <cell r="EV21">
            <v>24734</v>
          </cell>
          <cell r="EW21">
            <v>24844</v>
          </cell>
          <cell r="EX21">
            <v>24954</v>
          </cell>
          <cell r="EY21">
            <v>25064</v>
          </cell>
          <cell r="EZ21">
            <v>25164</v>
          </cell>
          <cell r="FA21">
            <v>25264</v>
          </cell>
          <cell r="FB21">
            <v>25364</v>
          </cell>
          <cell r="FC21">
            <v>25464</v>
          </cell>
          <cell r="FD21">
            <v>25544</v>
          </cell>
          <cell r="FE21">
            <v>25544</v>
          </cell>
          <cell r="FF21">
            <v>25704</v>
          </cell>
          <cell r="FG21">
            <v>25854</v>
          </cell>
          <cell r="FH21">
            <v>26004</v>
          </cell>
          <cell r="FI21">
            <v>26004</v>
          </cell>
          <cell r="FJ21">
            <v>26104</v>
          </cell>
          <cell r="FK21">
            <v>26204</v>
          </cell>
          <cell r="FL21">
            <v>26294</v>
          </cell>
          <cell r="FM21">
            <v>26394</v>
          </cell>
          <cell r="FN21">
            <v>26474</v>
          </cell>
          <cell r="FO21">
            <v>26584</v>
          </cell>
          <cell r="FP21">
            <v>26664</v>
          </cell>
          <cell r="FQ21">
            <v>26744</v>
          </cell>
          <cell r="FR21">
            <v>26864</v>
          </cell>
          <cell r="FS21">
            <v>26864</v>
          </cell>
          <cell r="FT21">
            <v>26994</v>
          </cell>
          <cell r="FU21">
            <v>27124</v>
          </cell>
          <cell r="FV21">
            <v>27244</v>
          </cell>
          <cell r="FW21">
            <v>27344</v>
          </cell>
          <cell r="FX21">
            <v>27444</v>
          </cell>
          <cell r="FY21">
            <v>27544</v>
          </cell>
          <cell r="FZ21">
            <v>27684</v>
          </cell>
          <cell r="GA21">
            <v>27784</v>
          </cell>
          <cell r="GB21">
            <v>27904</v>
          </cell>
          <cell r="GC21">
            <v>28024</v>
          </cell>
          <cell r="GD21">
            <v>28154</v>
          </cell>
          <cell r="GE21">
            <v>28364</v>
          </cell>
          <cell r="GF21">
            <v>28574</v>
          </cell>
          <cell r="GG21">
            <v>28780</v>
          </cell>
          <cell r="GH21">
            <v>28780</v>
          </cell>
          <cell r="GI21">
            <v>28984</v>
          </cell>
          <cell r="GJ21">
            <v>29080</v>
          </cell>
          <cell r="GK21">
            <v>29176</v>
          </cell>
          <cell r="GL21">
            <v>29272</v>
          </cell>
          <cell r="GM21">
            <v>29344</v>
          </cell>
          <cell r="GN21">
            <v>29350</v>
          </cell>
          <cell r="GO21">
            <v>29350</v>
          </cell>
          <cell r="GP21">
            <v>29350</v>
          </cell>
          <cell r="GQ21">
            <v>29350</v>
          </cell>
          <cell r="GR21">
            <v>29350</v>
          </cell>
          <cell r="GS21">
            <v>29350</v>
          </cell>
          <cell r="GT21">
            <v>29350</v>
          </cell>
          <cell r="GU21">
            <v>29350</v>
          </cell>
          <cell r="GV21">
            <v>29350</v>
          </cell>
          <cell r="GW21">
            <v>29350</v>
          </cell>
          <cell r="GX21">
            <v>29350</v>
          </cell>
          <cell r="GY21">
            <v>29350</v>
          </cell>
          <cell r="GZ21">
            <v>29350</v>
          </cell>
          <cell r="HA21">
            <v>29350</v>
          </cell>
          <cell r="HB21">
            <v>29350</v>
          </cell>
          <cell r="HC21">
            <v>29350</v>
          </cell>
          <cell r="HD21">
            <v>29350</v>
          </cell>
          <cell r="HE21">
            <v>29350</v>
          </cell>
          <cell r="HF21">
            <v>29350</v>
          </cell>
          <cell r="HG21">
            <v>29350</v>
          </cell>
          <cell r="HH21">
            <v>29350</v>
          </cell>
          <cell r="HI21">
            <v>29350</v>
          </cell>
          <cell r="HJ21">
            <v>29350</v>
          </cell>
          <cell r="HK21">
            <v>29350</v>
          </cell>
          <cell r="HL21">
            <v>29350</v>
          </cell>
          <cell r="HM21">
            <v>29350</v>
          </cell>
          <cell r="HN21">
            <v>29350</v>
          </cell>
          <cell r="HO21">
            <v>29350</v>
          </cell>
          <cell r="HP21">
            <v>29350</v>
          </cell>
          <cell r="HQ21">
            <v>29350</v>
          </cell>
          <cell r="HR21">
            <v>29350</v>
          </cell>
          <cell r="HS21">
            <v>29350</v>
          </cell>
          <cell r="HT21">
            <v>29350</v>
          </cell>
          <cell r="HU21">
            <v>29350</v>
          </cell>
          <cell r="HV21">
            <v>29350</v>
          </cell>
          <cell r="HW21">
            <v>29350</v>
          </cell>
          <cell r="HX21">
            <v>29350</v>
          </cell>
          <cell r="HY21">
            <v>29350</v>
          </cell>
          <cell r="HZ21">
            <v>29350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  <cell r="IJ21">
            <v>0</v>
          </cell>
          <cell r="IK21">
            <v>0</v>
          </cell>
          <cell r="IL21">
            <v>0</v>
          </cell>
          <cell r="IM21">
            <v>0</v>
          </cell>
          <cell r="IN21">
            <v>42</v>
          </cell>
          <cell r="IO21">
            <v>84</v>
          </cell>
          <cell r="IP21">
            <v>114</v>
          </cell>
          <cell r="IQ21">
            <v>144</v>
          </cell>
          <cell r="IR21">
            <v>162</v>
          </cell>
          <cell r="IS21">
            <v>180</v>
          </cell>
          <cell r="IT21">
            <v>216</v>
          </cell>
          <cell r="IU21">
            <v>234</v>
          </cell>
          <cell r="IV21">
            <v>246</v>
          </cell>
          <cell r="IW21">
            <v>258</v>
          </cell>
          <cell r="IX21">
            <v>270</v>
          </cell>
          <cell r="IY21">
            <v>282</v>
          </cell>
          <cell r="IZ21">
            <v>300</v>
          </cell>
          <cell r="JA21">
            <v>306</v>
          </cell>
          <cell r="JB21">
            <v>306</v>
          </cell>
          <cell r="JC21">
            <v>306</v>
          </cell>
          <cell r="JD21">
            <v>306</v>
          </cell>
          <cell r="JE21">
            <v>324</v>
          </cell>
          <cell r="JF21">
            <v>324</v>
          </cell>
          <cell r="JG21">
            <v>324</v>
          </cell>
          <cell r="JH21">
            <v>324</v>
          </cell>
          <cell r="JI21">
            <v>324</v>
          </cell>
          <cell r="JJ21">
            <v>348</v>
          </cell>
          <cell r="JK21">
            <v>366</v>
          </cell>
          <cell r="JL21">
            <v>366</v>
          </cell>
          <cell r="JM21">
            <v>384</v>
          </cell>
          <cell r="JN21">
            <v>402</v>
          </cell>
          <cell r="JO21">
            <v>420</v>
          </cell>
          <cell r="JP21">
            <v>420</v>
          </cell>
          <cell r="JQ21">
            <v>420</v>
          </cell>
          <cell r="JR21">
            <v>438</v>
          </cell>
          <cell r="JS21">
            <v>456</v>
          </cell>
          <cell r="JT21">
            <v>468</v>
          </cell>
          <cell r="JU21">
            <v>468</v>
          </cell>
          <cell r="JV21">
            <v>492</v>
          </cell>
          <cell r="JW21">
            <v>510</v>
          </cell>
          <cell r="JX21">
            <v>510</v>
          </cell>
          <cell r="JY21">
            <v>510</v>
          </cell>
          <cell r="JZ21">
            <v>534</v>
          </cell>
          <cell r="KA21">
            <v>552</v>
          </cell>
          <cell r="KB21">
            <v>552</v>
          </cell>
          <cell r="KC21">
            <v>552</v>
          </cell>
          <cell r="KD21">
            <v>552</v>
          </cell>
          <cell r="KE21">
            <v>570</v>
          </cell>
          <cell r="KF21">
            <v>582</v>
          </cell>
          <cell r="KG21">
            <v>582</v>
          </cell>
          <cell r="KH21">
            <v>582</v>
          </cell>
        </row>
        <row r="22">
          <cell r="D22" t="str">
            <v>82111-FE200</v>
          </cell>
          <cell r="E22" t="str">
            <v>AT10</v>
          </cell>
          <cell r="F22" t="str">
            <v>000</v>
          </cell>
          <cell r="G22" t="str">
            <v>QTY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70</v>
          </cell>
          <cell r="U22">
            <v>430</v>
          </cell>
          <cell r="V22">
            <v>630</v>
          </cell>
          <cell r="W22">
            <v>420</v>
          </cell>
          <cell r="X22">
            <v>710</v>
          </cell>
          <cell r="Y22">
            <v>440</v>
          </cell>
          <cell r="Z22">
            <v>820</v>
          </cell>
          <cell r="AA22">
            <v>620</v>
          </cell>
          <cell r="AB22">
            <v>610</v>
          </cell>
          <cell r="AC22">
            <v>490</v>
          </cell>
          <cell r="AD22">
            <v>450</v>
          </cell>
          <cell r="AE22">
            <v>490</v>
          </cell>
          <cell r="AF22">
            <v>430</v>
          </cell>
          <cell r="AG22">
            <v>350</v>
          </cell>
          <cell r="AH22">
            <v>360</v>
          </cell>
          <cell r="AI22">
            <v>420</v>
          </cell>
          <cell r="AJ22">
            <v>580</v>
          </cell>
          <cell r="AK22">
            <v>580</v>
          </cell>
          <cell r="AL22">
            <v>402</v>
          </cell>
          <cell r="AM22">
            <v>294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72</v>
          </cell>
          <cell r="AZ22">
            <v>42</v>
          </cell>
          <cell r="BA22">
            <v>84</v>
          </cell>
          <cell r="BB22">
            <v>60</v>
          </cell>
          <cell r="BC22">
            <v>36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30</v>
          </cell>
          <cell r="DL22">
            <v>20</v>
          </cell>
          <cell r="DM22">
            <v>20</v>
          </cell>
          <cell r="DN22">
            <v>110</v>
          </cell>
          <cell r="DO22">
            <v>110</v>
          </cell>
          <cell r="DP22">
            <v>110</v>
          </cell>
          <cell r="DQ22">
            <v>100</v>
          </cell>
          <cell r="DR22">
            <v>160</v>
          </cell>
          <cell r="DS22">
            <v>160</v>
          </cell>
          <cell r="DT22">
            <v>160</v>
          </cell>
          <cell r="DU22">
            <v>0</v>
          </cell>
          <cell r="DV22">
            <v>150</v>
          </cell>
          <cell r="DW22">
            <v>110</v>
          </cell>
          <cell r="DX22">
            <v>110</v>
          </cell>
          <cell r="DY22">
            <v>100</v>
          </cell>
          <cell r="DZ22">
            <v>100</v>
          </cell>
          <cell r="EA22">
            <v>170</v>
          </cell>
          <cell r="EB22">
            <v>180</v>
          </cell>
          <cell r="EC22">
            <v>180</v>
          </cell>
          <cell r="ED22">
            <v>180</v>
          </cell>
          <cell r="EE22">
            <v>110</v>
          </cell>
          <cell r="EF22">
            <v>110</v>
          </cell>
          <cell r="EG22">
            <v>0</v>
          </cell>
          <cell r="EH22">
            <v>110</v>
          </cell>
          <cell r="EI22">
            <v>110</v>
          </cell>
          <cell r="EJ22">
            <v>200</v>
          </cell>
          <cell r="EK22">
            <v>210</v>
          </cell>
          <cell r="EL22">
            <v>200</v>
          </cell>
          <cell r="EM22">
            <v>210</v>
          </cell>
          <cell r="EN22">
            <v>130</v>
          </cell>
          <cell r="EO22">
            <v>130</v>
          </cell>
          <cell r="EP22">
            <v>120</v>
          </cell>
          <cell r="EQ22">
            <v>120</v>
          </cell>
          <cell r="ER22">
            <v>120</v>
          </cell>
          <cell r="ES22">
            <v>160</v>
          </cell>
          <cell r="ET22">
            <v>150</v>
          </cell>
          <cell r="EU22">
            <v>150</v>
          </cell>
          <cell r="EV22">
            <v>150</v>
          </cell>
          <cell r="EW22">
            <v>130</v>
          </cell>
          <cell r="EX22">
            <v>120</v>
          </cell>
          <cell r="EY22">
            <v>120</v>
          </cell>
          <cell r="EZ22">
            <v>120</v>
          </cell>
          <cell r="FA22">
            <v>90</v>
          </cell>
          <cell r="FB22">
            <v>90</v>
          </cell>
          <cell r="FC22">
            <v>90</v>
          </cell>
          <cell r="FD22">
            <v>90</v>
          </cell>
          <cell r="FE22">
            <v>90</v>
          </cell>
          <cell r="FF22">
            <v>160</v>
          </cell>
          <cell r="FG22">
            <v>160</v>
          </cell>
          <cell r="FH22">
            <v>170</v>
          </cell>
          <cell r="FI22">
            <v>0</v>
          </cell>
          <cell r="FJ22">
            <v>100</v>
          </cell>
          <cell r="FK22">
            <v>110</v>
          </cell>
          <cell r="FL22">
            <v>120</v>
          </cell>
          <cell r="FM22">
            <v>100</v>
          </cell>
          <cell r="FN22">
            <v>100</v>
          </cell>
          <cell r="FO22">
            <v>100</v>
          </cell>
          <cell r="FP22">
            <v>100</v>
          </cell>
          <cell r="FQ22">
            <v>50</v>
          </cell>
          <cell r="FR22">
            <v>100</v>
          </cell>
          <cell r="FS22">
            <v>0</v>
          </cell>
          <cell r="FT22">
            <v>100</v>
          </cell>
          <cell r="FU22">
            <v>80</v>
          </cell>
          <cell r="FV22">
            <v>80</v>
          </cell>
          <cell r="FW22">
            <v>140</v>
          </cell>
          <cell r="FX22">
            <v>140</v>
          </cell>
          <cell r="FY22">
            <v>140</v>
          </cell>
          <cell r="FZ22">
            <v>0</v>
          </cell>
          <cell r="GA22">
            <v>140</v>
          </cell>
          <cell r="GB22">
            <v>150</v>
          </cell>
          <cell r="GC22">
            <v>150</v>
          </cell>
          <cell r="GD22">
            <v>140</v>
          </cell>
          <cell r="GE22">
            <v>148</v>
          </cell>
          <cell r="GF22">
            <v>144</v>
          </cell>
          <cell r="GG22">
            <v>144</v>
          </cell>
          <cell r="GH22">
            <v>0</v>
          </cell>
          <cell r="GI22">
            <v>144</v>
          </cell>
          <cell r="GJ22">
            <v>96</v>
          </cell>
          <cell r="GK22">
            <v>78</v>
          </cell>
          <cell r="GL22">
            <v>78</v>
          </cell>
          <cell r="GM22">
            <v>150</v>
          </cell>
          <cell r="GN22">
            <v>150</v>
          </cell>
          <cell r="GO22">
            <v>144</v>
          </cell>
          <cell r="GP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IN22">
            <v>24</v>
          </cell>
          <cell r="IO22">
            <v>24</v>
          </cell>
          <cell r="IP22">
            <v>12</v>
          </cell>
          <cell r="IQ22">
            <v>12</v>
          </cell>
          <cell r="IR22">
            <v>18</v>
          </cell>
          <cell r="IS22">
            <v>12</v>
          </cell>
          <cell r="IT22">
            <v>12</v>
          </cell>
          <cell r="IU22">
            <v>0</v>
          </cell>
          <cell r="IV22">
            <v>0</v>
          </cell>
          <cell r="IW22">
            <v>24</v>
          </cell>
          <cell r="IX22">
            <v>18</v>
          </cell>
          <cell r="IY22">
            <v>18</v>
          </cell>
          <cell r="IZ22">
            <v>24</v>
          </cell>
          <cell r="JA22">
            <v>24</v>
          </cell>
          <cell r="JB22">
            <v>18</v>
          </cell>
          <cell r="JC22">
            <v>18</v>
          </cell>
          <cell r="JD22">
            <v>0</v>
          </cell>
          <cell r="JE22">
            <v>18</v>
          </cell>
          <cell r="JF22">
            <v>18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</row>
        <row r="23">
          <cell r="D23" t="str">
            <v>2025.09.30 L/O
2026.03.09 B/O</v>
          </cell>
          <cell r="G23" t="str">
            <v>CUM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70</v>
          </cell>
          <cell r="U23">
            <v>500</v>
          </cell>
          <cell r="V23">
            <v>1130</v>
          </cell>
          <cell r="W23">
            <v>1550</v>
          </cell>
          <cell r="X23">
            <v>2260</v>
          </cell>
          <cell r="Y23">
            <v>2700</v>
          </cell>
          <cell r="Z23">
            <v>3520</v>
          </cell>
          <cell r="AA23">
            <v>4140</v>
          </cell>
          <cell r="AB23">
            <v>4750</v>
          </cell>
          <cell r="AC23">
            <v>5240</v>
          </cell>
          <cell r="AD23">
            <v>5690</v>
          </cell>
          <cell r="AE23">
            <v>6180</v>
          </cell>
          <cell r="AF23">
            <v>6610</v>
          </cell>
          <cell r="AG23">
            <v>6960</v>
          </cell>
          <cell r="AH23">
            <v>7320</v>
          </cell>
          <cell r="AI23">
            <v>7740</v>
          </cell>
          <cell r="AJ23">
            <v>8320</v>
          </cell>
          <cell r="AK23">
            <v>8900</v>
          </cell>
          <cell r="AL23">
            <v>9302</v>
          </cell>
          <cell r="AM23">
            <v>9596</v>
          </cell>
          <cell r="AN23">
            <v>9596</v>
          </cell>
          <cell r="AO23">
            <v>9596</v>
          </cell>
          <cell r="AP23">
            <v>9596</v>
          </cell>
          <cell r="AQ23">
            <v>9596</v>
          </cell>
          <cell r="AR23">
            <v>9596</v>
          </cell>
          <cell r="AS23">
            <v>9596</v>
          </cell>
          <cell r="AT23">
            <v>9596</v>
          </cell>
          <cell r="AU23">
            <v>9596</v>
          </cell>
          <cell r="AV23">
            <v>0</v>
          </cell>
          <cell r="AW23">
            <v>0</v>
          </cell>
          <cell r="AX23">
            <v>0</v>
          </cell>
          <cell r="AY23">
            <v>72</v>
          </cell>
          <cell r="AZ23">
            <v>114</v>
          </cell>
          <cell r="BA23">
            <v>198</v>
          </cell>
          <cell r="BB23">
            <v>258</v>
          </cell>
          <cell r="BC23">
            <v>294</v>
          </cell>
          <cell r="BD23">
            <v>294</v>
          </cell>
          <cell r="BE23">
            <v>294</v>
          </cell>
          <cell r="BF23">
            <v>294</v>
          </cell>
          <cell r="BG23">
            <v>294</v>
          </cell>
          <cell r="BH23">
            <v>294</v>
          </cell>
          <cell r="BI23">
            <v>294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30</v>
          </cell>
          <cell r="DL23">
            <v>50</v>
          </cell>
          <cell r="DM23">
            <v>70</v>
          </cell>
          <cell r="DN23">
            <v>180</v>
          </cell>
          <cell r="DO23">
            <v>290</v>
          </cell>
          <cell r="DP23">
            <v>400</v>
          </cell>
          <cell r="DQ23">
            <v>500</v>
          </cell>
          <cell r="DR23">
            <v>660</v>
          </cell>
          <cell r="DS23">
            <v>820</v>
          </cell>
          <cell r="DT23">
            <v>980</v>
          </cell>
          <cell r="DU23">
            <v>980</v>
          </cell>
          <cell r="DV23">
            <v>1130</v>
          </cell>
          <cell r="DW23">
            <v>1240</v>
          </cell>
          <cell r="DX23">
            <v>1350</v>
          </cell>
          <cell r="DY23">
            <v>1450</v>
          </cell>
          <cell r="DZ23">
            <v>1550</v>
          </cell>
          <cell r="EA23">
            <v>1720</v>
          </cell>
          <cell r="EB23">
            <v>1900</v>
          </cell>
          <cell r="EC23">
            <v>2080</v>
          </cell>
          <cell r="ED23">
            <v>2260</v>
          </cell>
          <cell r="EE23">
            <v>2370</v>
          </cell>
          <cell r="EF23">
            <v>2480</v>
          </cell>
          <cell r="EG23">
            <v>2480</v>
          </cell>
          <cell r="EH23">
            <v>2590</v>
          </cell>
          <cell r="EI23">
            <v>2700</v>
          </cell>
          <cell r="EJ23">
            <v>2900</v>
          </cell>
          <cell r="EK23">
            <v>3110</v>
          </cell>
          <cell r="EL23">
            <v>3310</v>
          </cell>
          <cell r="EM23">
            <v>3520</v>
          </cell>
          <cell r="EN23">
            <v>3650</v>
          </cell>
          <cell r="EO23">
            <v>3780</v>
          </cell>
          <cell r="EP23">
            <v>3900</v>
          </cell>
          <cell r="EQ23">
            <v>4020</v>
          </cell>
          <cell r="ER23">
            <v>4140</v>
          </cell>
          <cell r="ES23">
            <v>4300</v>
          </cell>
          <cell r="ET23">
            <v>4450</v>
          </cell>
          <cell r="EU23">
            <v>4600</v>
          </cell>
          <cell r="EV23">
            <v>4750</v>
          </cell>
          <cell r="EW23">
            <v>4880</v>
          </cell>
          <cell r="EX23">
            <v>5000</v>
          </cell>
          <cell r="EY23">
            <v>5120</v>
          </cell>
          <cell r="EZ23">
            <v>5240</v>
          </cell>
          <cell r="FA23">
            <v>5330</v>
          </cell>
          <cell r="FB23">
            <v>5420</v>
          </cell>
          <cell r="FC23">
            <v>5510</v>
          </cell>
          <cell r="FD23">
            <v>5600</v>
          </cell>
          <cell r="FE23">
            <v>5690</v>
          </cell>
          <cell r="FF23">
            <v>5850</v>
          </cell>
          <cell r="FG23">
            <v>6010</v>
          </cell>
          <cell r="FH23">
            <v>6180</v>
          </cell>
          <cell r="FI23">
            <v>6180</v>
          </cell>
          <cell r="FJ23">
            <v>6280</v>
          </cell>
          <cell r="FK23">
            <v>6390</v>
          </cell>
          <cell r="FL23">
            <v>6510</v>
          </cell>
          <cell r="FM23">
            <v>6610</v>
          </cell>
          <cell r="FN23">
            <v>6710</v>
          </cell>
          <cell r="FO23">
            <v>6810</v>
          </cell>
          <cell r="FP23">
            <v>6910</v>
          </cell>
          <cell r="FQ23">
            <v>6960</v>
          </cell>
          <cell r="FR23">
            <v>7060</v>
          </cell>
          <cell r="FS23">
            <v>7060</v>
          </cell>
          <cell r="FT23">
            <v>7160</v>
          </cell>
          <cell r="FU23">
            <v>7240</v>
          </cell>
          <cell r="FV23">
            <v>7320</v>
          </cell>
          <cell r="FW23">
            <v>7460</v>
          </cell>
          <cell r="FX23">
            <v>7600</v>
          </cell>
          <cell r="FY23">
            <v>7740</v>
          </cell>
          <cell r="FZ23">
            <v>7740</v>
          </cell>
          <cell r="GA23">
            <v>7880</v>
          </cell>
          <cell r="GB23">
            <v>8030</v>
          </cell>
          <cell r="GC23">
            <v>8180</v>
          </cell>
          <cell r="GD23">
            <v>8320</v>
          </cell>
          <cell r="GE23">
            <v>8468</v>
          </cell>
          <cell r="GF23">
            <v>8612</v>
          </cell>
          <cell r="GG23">
            <v>8756</v>
          </cell>
          <cell r="GH23">
            <v>8756</v>
          </cell>
          <cell r="GI23">
            <v>8900</v>
          </cell>
          <cell r="GJ23">
            <v>8996</v>
          </cell>
          <cell r="GK23">
            <v>9074</v>
          </cell>
          <cell r="GL23">
            <v>9152</v>
          </cell>
          <cell r="GM23">
            <v>9302</v>
          </cell>
          <cell r="GN23">
            <v>9452</v>
          </cell>
          <cell r="GO23">
            <v>9596</v>
          </cell>
          <cell r="GP23">
            <v>9596</v>
          </cell>
          <cell r="GQ23">
            <v>9596</v>
          </cell>
          <cell r="GR23">
            <v>9596</v>
          </cell>
          <cell r="GS23">
            <v>9596</v>
          </cell>
          <cell r="GT23">
            <v>9596</v>
          </cell>
          <cell r="GU23">
            <v>9596</v>
          </cell>
          <cell r="GV23">
            <v>9596</v>
          </cell>
          <cell r="GW23">
            <v>9596</v>
          </cell>
          <cell r="GX23">
            <v>9596</v>
          </cell>
          <cell r="GY23">
            <v>9596</v>
          </cell>
          <cell r="GZ23">
            <v>9596</v>
          </cell>
          <cell r="HA23">
            <v>9596</v>
          </cell>
          <cell r="HB23">
            <v>9596</v>
          </cell>
          <cell r="HC23">
            <v>9596</v>
          </cell>
          <cell r="HD23">
            <v>9596</v>
          </cell>
          <cell r="HE23">
            <v>9596</v>
          </cell>
          <cell r="HF23">
            <v>9596</v>
          </cell>
          <cell r="HG23">
            <v>9596</v>
          </cell>
          <cell r="HH23">
            <v>9596</v>
          </cell>
          <cell r="HI23">
            <v>9596</v>
          </cell>
          <cell r="HJ23">
            <v>9596</v>
          </cell>
          <cell r="HK23">
            <v>9596</v>
          </cell>
          <cell r="HL23">
            <v>9596</v>
          </cell>
          <cell r="HM23">
            <v>9596</v>
          </cell>
          <cell r="HN23">
            <v>9596</v>
          </cell>
          <cell r="HO23">
            <v>9596</v>
          </cell>
          <cell r="HP23">
            <v>9596</v>
          </cell>
          <cell r="HQ23">
            <v>9596</v>
          </cell>
          <cell r="HR23">
            <v>9596</v>
          </cell>
          <cell r="HS23">
            <v>9596</v>
          </cell>
          <cell r="HT23">
            <v>9596</v>
          </cell>
          <cell r="HU23">
            <v>9596</v>
          </cell>
          <cell r="HV23">
            <v>9596</v>
          </cell>
          <cell r="HW23">
            <v>9596</v>
          </cell>
          <cell r="HX23">
            <v>9596</v>
          </cell>
          <cell r="HY23">
            <v>9596</v>
          </cell>
          <cell r="HZ23">
            <v>9596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L23">
            <v>0</v>
          </cell>
          <cell r="IM23">
            <v>0</v>
          </cell>
          <cell r="IN23">
            <v>24</v>
          </cell>
          <cell r="IO23">
            <v>48</v>
          </cell>
          <cell r="IP23">
            <v>60</v>
          </cell>
          <cell r="IQ23">
            <v>72</v>
          </cell>
          <cell r="IR23">
            <v>90</v>
          </cell>
          <cell r="IS23">
            <v>102</v>
          </cell>
          <cell r="IT23">
            <v>114</v>
          </cell>
          <cell r="IU23">
            <v>114</v>
          </cell>
          <cell r="IV23">
            <v>114</v>
          </cell>
          <cell r="IW23">
            <v>138</v>
          </cell>
          <cell r="IX23">
            <v>156</v>
          </cell>
          <cell r="IY23">
            <v>174</v>
          </cell>
          <cell r="IZ23">
            <v>198</v>
          </cell>
          <cell r="JA23">
            <v>222</v>
          </cell>
          <cell r="JB23">
            <v>240</v>
          </cell>
          <cell r="JC23">
            <v>258</v>
          </cell>
          <cell r="JD23">
            <v>258</v>
          </cell>
          <cell r="JE23">
            <v>276</v>
          </cell>
          <cell r="JF23">
            <v>294</v>
          </cell>
          <cell r="JG23">
            <v>294</v>
          </cell>
          <cell r="JH23">
            <v>294</v>
          </cell>
          <cell r="JI23">
            <v>294</v>
          </cell>
          <cell r="JJ23">
            <v>294</v>
          </cell>
          <cell r="JK23">
            <v>294</v>
          </cell>
          <cell r="JL23">
            <v>294</v>
          </cell>
          <cell r="JM23">
            <v>294</v>
          </cell>
          <cell r="JN23">
            <v>294</v>
          </cell>
          <cell r="JO23">
            <v>294</v>
          </cell>
          <cell r="JP23">
            <v>294</v>
          </cell>
          <cell r="JQ23">
            <v>294</v>
          </cell>
          <cell r="JR23">
            <v>294</v>
          </cell>
          <cell r="JS23">
            <v>294</v>
          </cell>
          <cell r="JT23">
            <v>294</v>
          </cell>
          <cell r="JU23">
            <v>294</v>
          </cell>
          <cell r="JV23">
            <v>294</v>
          </cell>
          <cell r="JW23">
            <v>294</v>
          </cell>
          <cell r="JX23">
            <v>294</v>
          </cell>
          <cell r="JY23">
            <v>294</v>
          </cell>
          <cell r="JZ23">
            <v>294</v>
          </cell>
          <cell r="KA23">
            <v>294</v>
          </cell>
          <cell r="KB23">
            <v>294</v>
          </cell>
          <cell r="KC23">
            <v>294</v>
          </cell>
          <cell r="KD23">
            <v>294</v>
          </cell>
          <cell r="KE23">
            <v>294</v>
          </cell>
          <cell r="KF23">
            <v>294</v>
          </cell>
          <cell r="KG23">
            <v>294</v>
          </cell>
          <cell r="KH23">
            <v>294</v>
          </cell>
        </row>
        <row r="24">
          <cell r="D24" t="str">
            <v>82111-FE210</v>
          </cell>
          <cell r="E24" t="str">
            <v>AT10</v>
          </cell>
          <cell r="F24" t="str">
            <v>000</v>
          </cell>
          <cell r="G24" t="str">
            <v>QTY</v>
          </cell>
          <cell r="H24">
            <v>930</v>
          </cell>
          <cell r="I24">
            <v>540</v>
          </cell>
          <cell r="J24">
            <v>290</v>
          </cell>
          <cell r="K24">
            <v>0</v>
          </cell>
          <cell r="L24">
            <v>0</v>
          </cell>
          <cell r="M24">
            <v>560</v>
          </cell>
          <cell r="N24">
            <v>550</v>
          </cell>
          <cell r="O24">
            <v>400</v>
          </cell>
          <cell r="P24">
            <v>650</v>
          </cell>
          <cell r="R24">
            <v>0</v>
          </cell>
          <cell r="S24">
            <v>0</v>
          </cell>
          <cell r="T24">
            <v>30</v>
          </cell>
          <cell r="U24">
            <v>120</v>
          </cell>
          <cell r="V24">
            <v>170</v>
          </cell>
          <cell r="W24">
            <v>170</v>
          </cell>
          <cell r="X24">
            <v>120</v>
          </cell>
          <cell r="Y24">
            <v>70</v>
          </cell>
          <cell r="Z24">
            <v>80</v>
          </cell>
          <cell r="AA24">
            <v>80</v>
          </cell>
          <cell r="AB24">
            <v>120</v>
          </cell>
          <cell r="AC24">
            <v>130</v>
          </cell>
          <cell r="AD24">
            <v>60</v>
          </cell>
          <cell r="AE24">
            <v>70</v>
          </cell>
          <cell r="AF24">
            <v>50</v>
          </cell>
          <cell r="AG24">
            <v>36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576</v>
          </cell>
          <cell r="AZ24">
            <v>426</v>
          </cell>
          <cell r="BA24">
            <v>570</v>
          </cell>
          <cell r="BB24">
            <v>336</v>
          </cell>
          <cell r="BC24">
            <v>192</v>
          </cell>
          <cell r="BD24">
            <v>16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680</v>
          </cell>
          <cell r="BK24">
            <v>230</v>
          </cell>
          <cell r="BL24">
            <v>230</v>
          </cell>
          <cell r="BM24">
            <v>230</v>
          </cell>
          <cell r="BN24">
            <v>140</v>
          </cell>
          <cell r="BO24">
            <v>140</v>
          </cell>
          <cell r="BP24">
            <v>130</v>
          </cell>
          <cell r="BQ24">
            <v>130</v>
          </cell>
          <cell r="BR24">
            <v>80</v>
          </cell>
          <cell r="BS24">
            <v>70</v>
          </cell>
          <cell r="BT24">
            <v>70</v>
          </cell>
          <cell r="BU24">
            <v>70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140</v>
          </cell>
          <cell r="CF24">
            <v>140</v>
          </cell>
          <cell r="CG24">
            <v>0</v>
          </cell>
          <cell r="CH24">
            <v>140</v>
          </cell>
          <cell r="CI24">
            <v>140</v>
          </cell>
          <cell r="CJ24">
            <v>140</v>
          </cell>
          <cell r="CK24">
            <v>140</v>
          </cell>
          <cell r="CL24">
            <v>140</v>
          </cell>
          <cell r="CM24">
            <v>130</v>
          </cell>
          <cell r="CN24">
            <v>100</v>
          </cell>
          <cell r="CO24">
            <v>100</v>
          </cell>
          <cell r="CP24">
            <v>100</v>
          </cell>
          <cell r="CQ24">
            <v>100</v>
          </cell>
          <cell r="CR24">
            <v>130</v>
          </cell>
          <cell r="CS24">
            <v>130</v>
          </cell>
          <cell r="CT24">
            <v>130</v>
          </cell>
          <cell r="CU24">
            <v>130</v>
          </cell>
          <cell r="CV24">
            <v>130</v>
          </cell>
          <cell r="CW24">
            <v>130</v>
          </cell>
          <cell r="CX24">
            <v>130</v>
          </cell>
          <cell r="CY24">
            <v>140</v>
          </cell>
          <cell r="CZ24">
            <v>140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10</v>
          </cell>
          <cell r="DL24">
            <v>10</v>
          </cell>
          <cell r="DM24">
            <v>10</v>
          </cell>
          <cell r="DN24">
            <v>30</v>
          </cell>
          <cell r="DO24">
            <v>30</v>
          </cell>
          <cell r="DP24">
            <v>30</v>
          </cell>
          <cell r="DQ24">
            <v>30</v>
          </cell>
          <cell r="DR24">
            <v>40</v>
          </cell>
          <cell r="DS24">
            <v>40</v>
          </cell>
          <cell r="DT24">
            <v>40</v>
          </cell>
          <cell r="DU24">
            <v>0</v>
          </cell>
          <cell r="DV24">
            <v>50</v>
          </cell>
          <cell r="DW24">
            <v>40</v>
          </cell>
          <cell r="DX24">
            <v>50</v>
          </cell>
          <cell r="DY24">
            <v>40</v>
          </cell>
          <cell r="DZ24">
            <v>40</v>
          </cell>
          <cell r="EA24">
            <v>30</v>
          </cell>
          <cell r="EB24">
            <v>30</v>
          </cell>
          <cell r="EC24">
            <v>30</v>
          </cell>
          <cell r="ED24">
            <v>30</v>
          </cell>
          <cell r="EE24">
            <v>10</v>
          </cell>
          <cell r="EF24">
            <v>20</v>
          </cell>
          <cell r="EG24">
            <v>2</v>
          </cell>
          <cell r="EH24">
            <v>20</v>
          </cell>
          <cell r="EI24">
            <v>20</v>
          </cell>
          <cell r="EJ24">
            <v>20</v>
          </cell>
          <cell r="EK24">
            <v>20</v>
          </cell>
          <cell r="EL24">
            <v>20</v>
          </cell>
          <cell r="EM24">
            <v>20</v>
          </cell>
          <cell r="EN24">
            <v>20</v>
          </cell>
          <cell r="EO24">
            <v>20</v>
          </cell>
          <cell r="EP24">
            <v>20</v>
          </cell>
          <cell r="EQ24">
            <v>10</v>
          </cell>
          <cell r="ER24">
            <v>10</v>
          </cell>
          <cell r="ES24">
            <v>30</v>
          </cell>
          <cell r="ET24">
            <v>30</v>
          </cell>
          <cell r="EU24">
            <v>30</v>
          </cell>
          <cell r="EV24">
            <v>30</v>
          </cell>
          <cell r="EW24">
            <v>40</v>
          </cell>
          <cell r="EX24">
            <v>30</v>
          </cell>
          <cell r="EY24">
            <v>30</v>
          </cell>
          <cell r="EZ24">
            <v>30</v>
          </cell>
          <cell r="FA24">
            <v>0</v>
          </cell>
          <cell r="FB24">
            <v>20</v>
          </cell>
          <cell r="FC24">
            <v>20</v>
          </cell>
          <cell r="FD24">
            <v>10</v>
          </cell>
          <cell r="FE24">
            <v>10</v>
          </cell>
          <cell r="FF24">
            <v>20</v>
          </cell>
          <cell r="FG24">
            <v>30</v>
          </cell>
          <cell r="FH24">
            <v>20</v>
          </cell>
          <cell r="FI24">
            <v>0</v>
          </cell>
          <cell r="FJ24">
            <v>20</v>
          </cell>
          <cell r="FK24">
            <v>10</v>
          </cell>
          <cell r="FL24">
            <v>20</v>
          </cell>
          <cell r="FM24">
            <v>0</v>
          </cell>
          <cell r="FN24">
            <v>10</v>
          </cell>
          <cell r="FO24">
            <v>0</v>
          </cell>
          <cell r="FP24">
            <v>0</v>
          </cell>
          <cell r="FQ24">
            <v>26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IN24">
            <v>186</v>
          </cell>
          <cell r="IO24">
            <v>186</v>
          </cell>
          <cell r="IP24">
            <v>102</v>
          </cell>
          <cell r="IQ24">
            <v>102</v>
          </cell>
          <cell r="IR24">
            <v>108</v>
          </cell>
          <cell r="IS24">
            <v>108</v>
          </cell>
          <cell r="IT24">
            <v>108</v>
          </cell>
          <cell r="IU24">
            <v>102</v>
          </cell>
          <cell r="IV24">
            <v>102</v>
          </cell>
          <cell r="IW24">
            <v>114</v>
          </cell>
          <cell r="IX24">
            <v>114</v>
          </cell>
          <cell r="IY24">
            <v>114</v>
          </cell>
          <cell r="IZ24">
            <v>126</v>
          </cell>
          <cell r="JA24">
            <v>84</v>
          </cell>
          <cell r="JB24">
            <v>84</v>
          </cell>
          <cell r="JC24">
            <v>84</v>
          </cell>
          <cell r="JD24">
            <v>84</v>
          </cell>
          <cell r="JE24">
            <v>48</v>
          </cell>
          <cell r="JF24">
            <v>48</v>
          </cell>
          <cell r="JG24">
            <v>48</v>
          </cell>
          <cell r="JH24">
            <v>48</v>
          </cell>
          <cell r="JI24">
            <v>0</v>
          </cell>
          <cell r="JJ24">
            <v>16</v>
          </cell>
          <cell r="JK24">
            <v>0</v>
          </cell>
          <cell r="JL24">
            <v>0</v>
          </cell>
          <cell r="JM24">
            <v>0</v>
          </cell>
          <cell r="JN24">
            <v>0</v>
          </cell>
          <cell r="JO24">
            <v>0</v>
          </cell>
          <cell r="JP24">
            <v>0</v>
          </cell>
          <cell r="JQ24">
            <v>0</v>
          </cell>
        </row>
        <row r="25">
          <cell r="D25" t="str">
            <v>2025.09.30 L/O
2026.03.09 B/O</v>
          </cell>
          <cell r="G25" t="str">
            <v>CUM</v>
          </cell>
          <cell r="H25">
            <v>11864</v>
          </cell>
          <cell r="I25">
            <v>12404</v>
          </cell>
          <cell r="J25">
            <v>12694</v>
          </cell>
          <cell r="K25">
            <v>0</v>
          </cell>
          <cell r="L25">
            <v>0</v>
          </cell>
          <cell r="M25">
            <v>560</v>
          </cell>
          <cell r="N25">
            <v>1110</v>
          </cell>
          <cell r="O25">
            <v>1510</v>
          </cell>
          <cell r="P25">
            <v>2160</v>
          </cell>
          <cell r="Q25">
            <v>0</v>
          </cell>
          <cell r="R25">
            <v>0</v>
          </cell>
          <cell r="S25">
            <v>0</v>
          </cell>
          <cell r="T25">
            <v>30</v>
          </cell>
          <cell r="U25">
            <v>150</v>
          </cell>
          <cell r="V25">
            <v>320</v>
          </cell>
          <cell r="W25">
            <v>490</v>
          </cell>
          <cell r="X25">
            <v>610</v>
          </cell>
          <cell r="Y25">
            <v>680</v>
          </cell>
          <cell r="Z25">
            <v>760</v>
          </cell>
          <cell r="AA25">
            <v>840</v>
          </cell>
          <cell r="AB25">
            <v>960</v>
          </cell>
          <cell r="AC25">
            <v>1090</v>
          </cell>
          <cell r="AD25">
            <v>1150</v>
          </cell>
          <cell r="AE25">
            <v>1220</v>
          </cell>
          <cell r="AF25">
            <v>1270</v>
          </cell>
          <cell r="AG25">
            <v>1306</v>
          </cell>
          <cell r="AH25">
            <v>1306</v>
          </cell>
          <cell r="AI25">
            <v>1308</v>
          </cell>
          <cell r="AJ25">
            <v>1308</v>
          </cell>
          <cell r="AK25">
            <v>1308</v>
          </cell>
          <cell r="AL25">
            <v>1308</v>
          </cell>
          <cell r="AM25">
            <v>1308</v>
          </cell>
          <cell r="AN25">
            <v>1308</v>
          </cell>
          <cell r="AO25">
            <v>1308</v>
          </cell>
          <cell r="AP25">
            <v>1308</v>
          </cell>
          <cell r="AQ25">
            <v>1308</v>
          </cell>
          <cell r="AR25">
            <v>1308</v>
          </cell>
          <cell r="AS25">
            <v>1308</v>
          </cell>
          <cell r="AT25">
            <v>1308</v>
          </cell>
          <cell r="AU25">
            <v>1308</v>
          </cell>
          <cell r="AV25">
            <v>0</v>
          </cell>
          <cell r="AW25">
            <v>0</v>
          </cell>
          <cell r="AX25">
            <v>0</v>
          </cell>
          <cell r="AY25">
            <v>576</v>
          </cell>
          <cell r="AZ25">
            <v>1002</v>
          </cell>
          <cell r="BA25">
            <v>1572</v>
          </cell>
          <cell r="BB25">
            <v>1908</v>
          </cell>
          <cell r="BC25">
            <v>2100</v>
          </cell>
          <cell r="BD25">
            <v>2116</v>
          </cell>
          <cell r="BE25">
            <v>2116</v>
          </cell>
          <cell r="BF25">
            <v>2116</v>
          </cell>
          <cell r="BG25">
            <v>2116</v>
          </cell>
          <cell r="BH25">
            <v>2116</v>
          </cell>
          <cell r="BI25">
            <v>2116</v>
          </cell>
          <cell r="BJ25">
            <v>11174</v>
          </cell>
          <cell r="BK25">
            <v>11404</v>
          </cell>
          <cell r="BL25">
            <v>11634</v>
          </cell>
          <cell r="BM25">
            <v>11864</v>
          </cell>
          <cell r="BN25">
            <v>12004</v>
          </cell>
          <cell r="BO25">
            <v>12144</v>
          </cell>
          <cell r="BP25">
            <v>12274</v>
          </cell>
          <cell r="BQ25">
            <v>12404</v>
          </cell>
          <cell r="BR25">
            <v>12484</v>
          </cell>
          <cell r="BS25">
            <v>12554</v>
          </cell>
          <cell r="BT25">
            <v>12624</v>
          </cell>
          <cell r="BU25">
            <v>12694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140</v>
          </cell>
          <cell r="CF25">
            <v>280</v>
          </cell>
          <cell r="CG25">
            <v>280</v>
          </cell>
          <cell r="CH25">
            <v>420</v>
          </cell>
          <cell r="CI25">
            <v>560</v>
          </cell>
          <cell r="CJ25">
            <v>700</v>
          </cell>
          <cell r="CK25">
            <v>840</v>
          </cell>
          <cell r="CL25">
            <v>980</v>
          </cell>
          <cell r="CM25">
            <v>1110</v>
          </cell>
          <cell r="CN25">
            <v>1210</v>
          </cell>
          <cell r="CO25">
            <v>1310</v>
          </cell>
          <cell r="CP25">
            <v>1410</v>
          </cell>
          <cell r="CQ25">
            <v>1510</v>
          </cell>
          <cell r="CR25">
            <v>1640</v>
          </cell>
          <cell r="CS25">
            <v>1770</v>
          </cell>
          <cell r="CT25">
            <v>1900</v>
          </cell>
          <cell r="CU25">
            <v>2030</v>
          </cell>
          <cell r="CV25">
            <v>2160</v>
          </cell>
          <cell r="CW25">
            <v>2290</v>
          </cell>
          <cell r="CX25">
            <v>2420</v>
          </cell>
          <cell r="CY25">
            <v>2560</v>
          </cell>
          <cell r="CZ25">
            <v>2700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10</v>
          </cell>
          <cell r="DL25">
            <v>20</v>
          </cell>
          <cell r="DM25">
            <v>30</v>
          </cell>
          <cell r="DN25">
            <v>60</v>
          </cell>
          <cell r="DO25">
            <v>90</v>
          </cell>
          <cell r="DP25">
            <v>120</v>
          </cell>
          <cell r="DQ25">
            <v>150</v>
          </cell>
          <cell r="DR25">
            <v>190</v>
          </cell>
          <cell r="DS25">
            <v>230</v>
          </cell>
          <cell r="DT25">
            <v>270</v>
          </cell>
          <cell r="DU25">
            <v>270</v>
          </cell>
          <cell r="DV25">
            <v>320</v>
          </cell>
          <cell r="DW25">
            <v>360</v>
          </cell>
          <cell r="DX25">
            <v>410</v>
          </cell>
          <cell r="DY25">
            <v>450</v>
          </cell>
          <cell r="DZ25">
            <v>490</v>
          </cell>
          <cell r="EA25">
            <v>520</v>
          </cell>
          <cell r="EB25">
            <v>550</v>
          </cell>
          <cell r="EC25">
            <v>580</v>
          </cell>
          <cell r="ED25">
            <v>610</v>
          </cell>
          <cell r="EE25">
            <v>620</v>
          </cell>
          <cell r="EF25">
            <v>640</v>
          </cell>
          <cell r="EG25">
            <v>642</v>
          </cell>
          <cell r="EH25">
            <v>662</v>
          </cell>
          <cell r="EI25">
            <v>682</v>
          </cell>
          <cell r="EJ25">
            <v>702</v>
          </cell>
          <cell r="EK25">
            <v>722</v>
          </cell>
          <cell r="EL25">
            <v>742</v>
          </cell>
          <cell r="EM25">
            <v>762</v>
          </cell>
          <cell r="EN25">
            <v>782</v>
          </cell>
          <cell r="EO25">
            <v>802</v>
          </cell>
          <cell r="EP25">
            <v>822</v>
          </cell>
          <cell r="EQ25">
            <v>832</v>
          </cell>
          <cell r="ER25">
            <v>842</v>
          </cell>
          <cell r="ES25">
            <v>872</v>
          </cell>
          <cell r="ET25">
            <v>902</v>
          </cell>
          <cell r="EU25">
            <v>932</v>
          </cell>
          <cell r="EV25">
            <v>962</v>
          </cell>
          <cell r="EW25">
            <v>1002</v>
          </cell>
          <cell r="EX25">
            <v>1032</v>
          </cell>
          <cell r="EY25">
            <v>1062</v>
          </cell>
          <cell r="EZ25">
            <v>1092</v>
          </cell>
          <cell r="FA25">
            <v>1092</v>
          </cell>
          <cell r="FB25">
            <v>1112</v>
          </cell>
          <cell r="FC25">
            <v>1132</v>
          </cell>
          <cell r="FD25">
            <v>1142</v>
          </cell>
          <cell r="FE25">
            <v>1152</v>
          </cell>
          <cell r="FF25">
            <v>1172</v>
          </cell>
          <cell r="FG25">
            <v>1202</v>
          </cell>
          <cell r="FH25">
            <v>1222</v>
          </cell>
          <cell r="FI25">
            <v>1222</v>
          </cell>
          <cell r="FJ25">
            <v>1242</v>
          </cell>
          <cell r="FK25">
            <v>1252</v>
          </cell>
          <cell r="FL25">
            <v>1272</v>
          </cell>
          <cell r="FM25">
            <v>1272</v>
          </cell>
          <cell r="FN25">
            <v>1282</v>
          </cell>
          <cell r="FO25">
            <v>1282</v>
          </cell>
          <cell r="FP25">
            <v>1282</v>
          </cell>
          <cell r="FQ25">
            <v>1308</v>
          </cell>
          <cell r="FR25">
            <v>1308</v>
          </cell>
          <cell r="FS25">
            <v>1308</v>
          </cell>
          <cell r="FT25">
            <v>1308</v>
          </cell>
          <cell r="FU25">
            <v>1308</v>
          </cell>
          <cell r="FV25">
            <v>1308</v>
          </cell>
          <cell r="FW25">
            <v>1308</v>
          </cell>
          <cell r="FX25">
            <v>1308</v>
          </cell>
          <cell r="FY25">
            <v>1308</v>
          </cell>
          <cell r="FZ25">
            <v>1308</v>
          </cell>
          <cell r="GA25">
            <v>1308</v>
          </cell>
          <cell r="GB25">
            <v>1308</v>
          </cell>
          <cell r="GC25">
            <v>1308</v>
          </cell>
          <cell r="GD25">
            <v>1308</v>
          </cell>
          <cell r="GE25">
            <v>1308</v>
          </cell>
          <cell r="GF25">
            <v>1308</v>
          </cell>
          <cell r="GG25">
            <v>1308</v>
          </cell>
          <cell r="GH25">
            <v>1308</v>
          </cell>
          <cell r="GI25">
            <v>1308</v>
          </cell>
          <cell r="GJ25">
            <v>1308</v>
          </cell>
          <cell r="GK25">
            <v>1308</v>
          </cell>
          <cell r="GL25">
            <v>1308</v>
          </cell>
          <cell r="GM25">
            <v>1308</v>
          </cell>
          <cell r="GN25">
            <v>1308</v>
          </cell>
          <cell r="GO25">
            <v>1308</v>
          </cell>
          <cell r="GP25">
            <v>1308</v>
          </cell>
          <cell r="GQ25">
            <v>1308</v>
          </cell>
          <cell r="GR25">
            <v>1308</v>
          </cell>
          <cell r="GS25">
            <v>1308</v>
          </cell>
          <cell r="GT25">
            <v>1308</v>
          </cell>
          <cell r="GU25">
            <v>1308</v>
          </cell>
          <cell r="GV25">
            <v>1308</v>
          </cell>
          <cell r="GW25">
            <v>1308</v>
          </cell>
          <cell r="GX25">
            <v>1308</v>
          </cell>
          <cell r="GY25">
            <v>1308</v>
          </cell>
          <cell r="GZ25">
            <v>1308</v>
          </cell>
          <cell r="HA25">
            <v>1308</v>
          </cell>
          <cell r="HB25">
            <v>1308</v>
          </cell>
          <cell r="HC25">
            <v>1308</v>
          </cell>
          <cell r="HD25">
            <v>1308</v>
          </cell>
          <cell r="HE25">
            <v>1308</v>
          </cell>
          <cell r="HF25">
            <v>1308</v>
          </cell>
          <cell r="HG25">
            <v>1308</v>
          </cell>
          <cell r="HH25">
            <v>1308</v>
          </cell>
          <cell r="HI25">
            <v>1308</v>
          </cell>
          <cell r="HJ25">
            <v>1308</v>
          </cell>
          <cell r="HK25">
            <v>1308</v>
          </cell>
          <cell r="HL25">
            <v>1308</v>
          </cell>
          <cell r="HM25">
            <v>1308</v>
          </cell>
          <cell r="HN25">
            <v>1308</v>
          </cell>
          <cell r="HO25">
            <v>1308</v>
          </cell>
          <cell r="HP25">
            <v>1308</v>
          </cell>
          <cell r="HQ25">
            <v>1308</v>
          </cell>
          <cell r="HR25">
            <v>1308</v>
          </cell>
          <cell r="HS25">
            <v>1308</v>
          </cell>
          <cell r="HT25">
            <v>1308</v>
          </cell>
          <cell r="HU25">
            <v>1308</v>
          </cell>
          <cell r="HV25">
            <v>1308</v>
          </cell>
          <cell r="HW25">
            <v>1308</v>
          </cell>
          <cell r="HX25">
            <v>1308</v>
          </cell>
          <cell r="HY25">
            <v>1308</v>
          </cell>
          <cell r="HZ25">
            <v>1308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186</v>
          </cell>
          <cell r="IO25">
            <v>372</v>
          </cell>
          <cell r="IP25">
            <v>474</v>
          </cell>
          <cell r="IQ25">
            <v>576</v>
          </cell>
          <cell r="IR25">
            <v>684</v>
          </cell>
          <cell r="IS25">
            <v>792</v>
          </cell>
          <cell r="IT25">
            <v>900</v>
          </cell>
          <cell r="IU25">
            <v>1002</v>
          </cell>
          <cell r="IV25">
            <v>1104</v>
          </cell>
          <cell r="IW25">
            <v>1218</v>
          </cell>
          <cell r="IX25">
            <v>1332</v>
          </cell>
          <cell r="IY25">
            <v>1446</v>
          </cell>
          <cell r="IZ25">
            <v>1572</v>
          </cell>
          <cell r="JA25">
            <v>1656</v>
          </cell>
          <cell r="JB25">
            <v>1740</v>
          </cell>
          <cell r="JC25">
            <v>1824</v>
          </cell>
          <cell r="JD25">
            <v>1908</v>
          </cell>
          <cell r="JE25">
            <v>1956</v>
          </cell>
          <cell r="JF25">
            <v>2004</v>
          </cell>
          <cell r="JG25">
            <v>2052</v>
          </cell>
          <cell r="JH25">
            <v>2100</v>
          </cell>
          <cell r="JI25">
            <v>2100</v>
          </cell>
          <cell r="JJ25">
            <v>2116</v>
          </cell>
          <cell r="JK25">
            <v>2116</v>
          </cell>
          <cell r="JL25">
            <v>2116</v>
          </cell>
          <cell r="JM25">
            <v>2116</v>
          </cell>
          <cell r="JN25">
            <v>2116</v>
          </cell>
          <cell r="JO25">
            <v>2116</v>
          </cell>
          <cell r="JP25">
            <v>2116</v>
          </cell>
          <cell r="JQ25">
            <v>2116</v>
          </cell>
          <cell r="JR25">
            <v>2116</v>
          </cell>
          <cell r="JS25">
            <v>2116</v>
          </cell>
          <cell r="JT25">
            <v>2116</v>
          </cell>
          <cell r="JU25">
            <v>2116</v>
          </cell>
          <cell r="JV25">
            <v>2116</v>
          </cell>
          <cell r="JW25">
            <v>2116</v>
          </cell>
          <cell r="JX25">
            <v>2116</v>
          </cell>
          <cell r="JY25">
            <v>2116</v>
          </cell>
          <cell r="JZ25">
            <v>2116</v>
          </cell>
          <cell r="KA25">
            <v>2116</v>
          </cell>
          <cell r="KB25">
            <v>2116</v>
          </cell>
          <cell r="KC25">
            <v>2116</v>
          </cell>
          <cell r="KD25">
            <v>2116</v>
          </cell>
          <cell r="KE25">
            <v>2116</v>
          </cell>
          <cell r="KF25">
            <v>2116</v>
          </cell>
          <cell r="KG25">
            <v>2116</v>
          </cell>
          <cell r="KH25">
            <v>2116</v>
          </cell>
        </row>
        <row r="26">
          <cell r="D26" t="str">
            <v>82111-FE460</v>
          </cell>
          <cell r="E26" t="str">
            <v>AT10</v>
          </cell>
          <cell r="F26" t="str">
            <v>000</v>
          </cell>
          <cell r="G26" t="str">
            <v>QTY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18</v>
          </cell>
          <cell r="BD26">
            <v>48</v>
          </cell>
          <cell r="BE26">
            <v>42</v>
          </cell>
          <cell r="BF26">
            <v>30</v>
          </cell>
          <cell r="BG26">
            <v>36</v>
          </cell>
          <cell r="BH26">
            <v>36</v>
          </cell>
          <cell r="BI26">
            <v>30</v>
          </cell>
          <cell r="JE26">
            <v>18</v>
          </cell>
          <cell r="JF26">
            <v>0</v>
          </cell>
          <cell r="JG26">
            <v>0</v>
          </cell>
          <cell r="JH26">
            <v>0</v>
          </cell>
          <cell r="JI26">
            <v>0</v>
          </cell>
          <cell r="JJ26">
            <v>24</v>
          </cell>
          <cell r="JK26">
            <v>24</v>
          </cell>
          <cell r="JL26">
            <v>0</v>
          </cell>
          <cell r="JM26">
            <v>24</v>
          </cell>
          <cell r="JN26">
            <v>18</v>
          </cell>
          <cell r="JO26">
            <v>0</v>
          </cell>
          <cell r="JP26">
            <v>0</v>
          </cell>
          <cell r="JQ26">
            <v>0</v>
          </cell>
          <cell r="JR26">
            <v>18</v>
          </cell>
          <cell r="JS26">
            <v>12</v>
          </cell>
          <cell r="JT26">
            <v>0</v>
          </cell>
          <cell r="JU26">
            <v>0</v>
          </cell>
          <cell r="JV26">
            <v>18</v>
          </cell>
          <cell r="JW26">
            <v>18</v>
          </cell>
          <cell r="JX26">
            <v>0</v>
          </cell>
          <cell r="JY26">
            <v>0</v>
          </cell>
          <cell r="JZ26">
            <v>18</v>
          </cell>
          <cell r="KA26">
            <v>18</v>
          </cell>
          <cell r="KB26">
            <v>0</v>
          </cell>
          <cell r="KC26">
            <v>0</v>
          </cell>
          <cell r="KD26">
            <v>0</v>
          </cell>
          <cell r="KE26">
            <v>18</v>
          </cell>
          <cell r="KF26">
            <v>12</v>
          </cell>
          <cell r="KG26">
            <v>0</v>
          </cell>
          <cell r="KH26">
            <v>0</v>
          </cell>
        </row>
        <row r="27">
          <cell r="D27" t="str">
            <v>2026.03.10 L/O</v>
          </cell>
          <cell r="G27" t="str">
            <v>CUM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18</v>
          </cell>
          <cell r="BD27">
            <v>66</v>
          </cell>
          <cell r="BE27">
            <v>108</v>
          </cell>
          <cell r="BF27">
            <v>138</v>
          </cell>
          <cell r="BG27">
            <v>174</v>
          </cell>
          <cell r="BH27">
            <v>210</v>
          </cell>
          <cell r="BI27">
            <v>240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</v>
          </cell>
          <cell r="IL27">
            <v>0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Q27">
            <v>0</v>
          </cell>
          <cell r="IR27">
            <v>0</v>
          </cell>
          <cell r="IS27">
            <v>0</v>
          </cell>
          <cell r="IT27">
            <v>0</v>
          </cell>
          <cell r="IU27">
            <v>0</v>
          </cell>
          <cell r="IV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A27">
            <v>0</v>
          </cell>
          <cell r="JB27">
            <v>0</v>
          </cell>
          <cell r="JC27">
            <v>0</v>
          </cell>
          <cell r="JD27">
            <v>0</v>
          </cell>
          <cell r="JE27">
            <v>18</v>
          </cell>
          <cell r="JF27">
            <v>18</v>
          </cell>
          <cell r="JG27">
            <v>18</v>
          </cell>
          <cell r="JH27">
            <v>18</v>
          </cell>
          <cell r="JI27">
            <v>18</v>
          </cell>
          <cell r="JJ27">
            <v>42</v>
          </cell>
          <cell r="JK27">
            <v>66</v>
          </cell>
          <cell r="JL27">
            <v>66</v>
          </cell>
          <cell r="JM27">
            <v>90</v>
          </cell>
          <cell r="JN27">
            <v>108</v>
          </cell>
          <cell r="JO27">
            <v>108</v>
          </cell>
          <cell r="JP27">
            <v>108</v>
          </cell>
          <cell r="JQ27">
            <v>108</v>
          </cell>
          <cell r="JR27">
            <v>126</v>
          </cell>
          <cell r="JS27">
            <v>138</v>
          </cell>
          <cell r="JT27">
            <v>138</v>
          </cell>
          <cell r="JU27">
            <v>138</v>
          </cell>
          <cell r="JV27">
            <v>156</v>
          </cell>
          <cell r="JW27">
            <v>174</v>
          </cell>
          <cell r="JX27">
            <v>174</v>
          </cell>
          <cell r="JY27">
            <v>174</v>
          </cell>
          <cell r="JZ27">
            <v>192</v>
          </cell>
          <cell r="KA27">
            <v>210</v>
          </cell>
          <cell r="KB27">
            <v>210</v>
          </cell>
          <cell r="KC27">
            <v>210</v>
          </cell>
          <cell r="KD27">
            <v>210</v>
          </cell>
          <cell r="KE27">
            <v>228</v>
          </cell>
          <cell r="KF27">
            <v>240</v>
          </cell>
          <cell r="KG27">
            <v>240</v>
          </cell>
          <cell r="KH27">
            <v>240</v>
          </cell>
        </row>
        <row r="28">
          <cell r="D28" t="str">
            <v>82111-FE470</v>
          </cell>
          <cell r="E28" t="str">
            <v>AT10</v>
          </cell>
          <cell r="F28" t="str">
            <v>000</v>
          </cell>
          <cell r="G28" t="str">
            <v>QTY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240</v>
          </cell>
          <cell r="BD28">
            <v>372</v>
          </cell>
          <cell r="BE28">
            <v>12</v>
          </cell>
          <cell r="BF28">
            <v>180</v>
          </cell>
          <cell r="BG28">
            <v>228</v>
          </cell>
          <cell r="BH28">
            <v>210</v>
          </cell>
          <cell r="BI28">
            <v>186</v>
          </cell>
          <cell r="JE28">
            <v>60</v>
          </cell>
          <cell r="JF28">
            <v>60</v>
          </cell>
          <cell r="JG28">
            <v>60</v>
          </cell>
          <cell r="JH28">
            <v>60</v>
          </cell>
          <cell r="JI28">
            <v>0</v>
          </cell>
          <cell r="JJ28">
            <v>126</v>
          </cell>
          <cell r="JK28">
            <v>126</v>
          </cell>
          <cell r="JL28">
            <v>120</v>
          </cell>
          <cell r="JM28">
            <v>12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48</v>
          </cell>
          <cell r="JS28">
            <v>48</v>
          </cell>
          <cell r="JT28">
            <v>42</v>
          </cell>
          <cell r="JU28">
            <v>42</v>
          </cell>
          <cell r="JV28">
            <v>60</v>
          </cell>
          <cell r="JW28">
            <v>60</v>
          </cell>
          <cell r="JX28">
            <v>54</v>
          </cell>
          <cell r="JY28">
            <v>54</v>
          </cell>
          <cell r="JZ28">
            <v>42</v>
          </cell>
          <cell r="KA28">
            <v>42</v>
          </cell>
          <cell r="KB28">
            <v>42</v>
          </cell>
          <cell r="KC28">
            <v>42</v>
          </cell>
          <cell r="KD28">
            <v>42</v>
          </cell>
          <cell r="KE28">
            <v>48</v>
          </cell>
          <cell r="KF28">
            <v>48</v>
          </cell>
          <cell r="KG28">
            <v>48</v>
          </cell>
          <cell r="KH28">
            <v>42</v>
          </cell>
        </row>
        <row r="29">
          <cell r="D29" t="str">
            <v>2026.03.10 L/O</v>
          </cell>
          <cell r="G29" t="str">
            <v>CUM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240</v>
          </cell>
          <cell r="BD29">
            <v>612</v>
          </cell>
          <cell r="BE29">
            <v>624</v>
          </cell>
          <cell r="BF29">
            <v>804</v>
          </cell>
          <cell r="BG29">
            <v>1032</v>
          </cell>
          <cell r="BH29">
            <v>1242</v>
          </cell>
          <cell r="BI29">
            <v>1428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Q29">
            <v>0</v>
          </cell>
          <cell r="IR29">
            <v>0</v>
          </cell>
          <cell r="IS29">
            <v>0</v>
          </cell>
          <cell r="IT29">
            <v>0</v>
          </cell>
          <cell r="IU29">
            <v>0</v>
          </cell>
          <cell r="IV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A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60</v>
          </cell>
          <cell r="JF29">
            <v>120</v>
          </cell>
          <cell r="JG29">
            <v>180</v>
          </cell>
          <cell r="JH29">
            <v>240</v>
          </cell>
          <cell r="JI29">
            <v>240</v>
          </cell>
          <cell r="JJ29">
            <v>366</v>
          </cell>
          <cell r="JK29">
            <v>492</v>
          </cell>
          <cell r="JL29">
            <v>612</v>
          </cell>
          <cell r="JM29">
            <v>624</v>
          </cell>
          <cell r="JN29">
            <v>624</v>
          </cell>
          <cell r="JO29">
            <v>624</v>
          </cell>
          <cell r="JP29">
            <v>624</v>
          </cell>
          <cell r="JQ29">
            <v>624</v>
          </cell>
          <cell r="JR29">
            <v>672</v>
          </cell>
          <cell r="JS29">
            <v>720</v>
          </cell>
          <cell r="JT29">
            <v>762</v>
          </cell>
          <cell r="JU29">
            <v>804</v>
          </cell>
          <cell r="JV29">
            <v>864</v>
          </cell>
          <cell r="JW29">
            <v>924</v>
          </cell>
          <cell r="JX29">
            <v>978</v>
          </cell>
          <cell r="JY29">
            <v>1032</v>
          </cell>
          <cell r="JZ29">
            <v>1074</v>
          </cell>
          <cell r="KA29">
            <v>1116</v>
          </cell>
          <cell r="KB29">
            <v>1158</v>
          </cell>
          <cell r="KC29">
            <v>1200</v>
          </cell>
          <cell r="KD29">
            <v>1242</v>
          </cell>
          <cell r="KE29">
            <v>1290</v>
          </cell>
          <cell r="KF29">
            <v>1338</v>
          </cell>
          <cell r="KG29">
            <v>1386</v>
          </cell>
          <cell r="KH29">
            <v>1428</v>
          </cell>
        </row>
        <row r="30">
          <cell r="D30" t="str">
            <v>82111-FET30</v>
          </cell>
          <cell r="E30" t="str">
            <v>AT10</v>
          </cell>
          <cell r="F30" t="str">
            <v>A01</v>
          </cell>
          <cell r="G30" t="str">
            <v>QTY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336</v>
          </cell>
          <cell r="AN30">
            <v>612</v>
          </cell>
          <cell r="AO30">
            <v>618</v>
          </cell>
          <cell r="AP30">
            <v>540</v>
          </cell>
          <cell r="AQ30">
            <v>960</v>
          </cell>
          <cell r="AR30">
            <v>636</v>
          </cell>
          <cell r="AS30">
            <v>540</v>
          </cell>
          <cell r="AT30">
            <v>0</v>
          </cell>
          <cell r="AU30">
            <v>186</v>
          </cell>
          <cell r="AV30">
            <v>240</v>
          </cell>
          <cell r="AW30">
            <v>204</v>
          </cell>
          <cell r="AX30">
            <v>300</v>
          </cell>
          <cell r="AY30">
            <v>348</v>
          </cell>
          <cell r="AZ30">
            <v>486</v>
          </cell>
          <cell r="BA30">
            <v>510</v>
          </cell>
          <cell r="BB30">
            <v>444</v>
          </cell>
          <cell r="BC30">
            <v>390</v>
          </cell>
          <cell r="BD30">
            <v>378</v>
          </cell>
          <cell r="BE30">
            <v>348</v>
          </cell>
          <cell r="BF30">
            <v>354</v>
          </cell>
          <cell r="BG30">
            <v>372</v>
          </cell>
          <cell r="BH30">
            <v>402</v>
          </cell>
          <cell r="BI30">
            <v>324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68</v>
          </cell>
          <cell r="GO30">
            <v>67</v>
          </cell>
          <cell r="GP30">
            <v>67</v>
          </cell>
          <cell r="GQ30">
            <v>67</v>
          </cell>
          <cell r="GR30">
            <v>67</v>
          </cell>
          <cell r="GS30">
            <v>156</v>
          </cell>
          <cell r="GT30">
            <v>156</v>
          </cell>
          <cell r="GU30">
            <v>150</v>
          </cell>
          <cell r="GV30">
            <v>150</v>
          </cell>
          <cell r="GW30">
            <v>156</v>
          </cell>
          <cell r="GX30">
            <v>156</v>
          </cell>
          <cell r="GY30">
            <v>156</v>
          </cell>
          <cell r="GZ30">
            <v>150</v>
          </cell>
          <cell r="HA30">
            <v>108</v>
          </cell>
          <cell r="HB30">
            <v>108</v>
          </cell>
          <cell r="HC30">
            <v>108</v>
          </cell>
          <cell r="HD30">
            <v>108</v>
          </cell>
          <cell r="HE30">
            <v>108</v>
          </cell>
          <cell r="HF30">
            <v>324</v>
          </cell>
          <cell r="HH30">
            <v>318</v>
          </cell>
          <cell r="HI30">
            <v>318</v>
          </cell>
          <cell r="HJ30">
            <v>162</v>
          </cell>
          <cell r="HK30">
            <v>162</v>
          </cell>
          <cell r="HL30">
            <v>156</v>
          </cell>
          <cell r="HM30">
            <v>156</v>
          </cell>
          <cell r="HN30">
            <v>138</v>
          </cell>
          <cell r="HO30">
            <v>138</v>
          </cell>
          <cell r="HP30">
            <v>132</v>
          </cell>
          <cell r="HQ30">
            <v>132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W30">
            <v>48</v>
          </cell>
          <cell r="HX30">
            <v>48</v>
          </cell>
          <cell r="HY30">
            <v>48</v>
          </cell>
          <cell r="HZ30">
            <v>42</v>
          </cell>
          <cell r="IA30">
            <v>60</v>
          </cell>
          <cell r="IB30">
            <v>60</v>
          </cell>
          <cell r="IC30">
            <v>60</v>
          </cell>
          <cell r="ID30">
            <v>60</v>
          </cell>
          <cell r="IE30">
            <v>42</v>
          </cell>
          <cell r="IF30">
            <v>42</v>
          </cell>
          <cell r="IG30">
            <v>42</v>
          </cell>
          <cell r="IH30">
            <v>42</v>
          </cell>
          <cell r="II30">
            <v>36</v>
          </cell>
          <cell r="IK30">
            <v>102</v>
          </cell>
          <cell r="IL30">
            <v>102</v>
          </cell>
          <cell r="IM30">
            <v>96</v>
          </cell>
          <cell r="IN30">
            <v>90</v>
          </cell>
          <cell r="IO30">
            <v>90</v>
          </cell>
          <cell r="IP30">
            <v>84</v>
          </cell>
          <cell r="IQ30">
            <v>84</v>
          </cell>
          <cell r="IR30">
            <v>108</v>
          </cell>
          <cell r="IS30">
            <v>108</v>
          </cell>
          <cell r="IT30">
            <v>108</v>
          </cell>
          <cell r="IU30">
            <v>162</v>
          </cell>
          <cell r="IV30">
            <v>48</v>
          </cell>
          <cell r="IW30">
            <v>120</v>
          </cell>
          <cell r="IX30">
            <v>120</v>
          </cell>
          <cell r="IY30">
            <v>126</v>
          </cell>
          <cell r="IZ30">
            <v>96</v>
          </cell>
          <cell r="JA30">
            <v>114</v>
          </cell>
          <cell r="JB30">
            <v>114</v>
          </cell>
          <cell r="JC30">
            <v>108</v>
          </cell>
          <cell r="JD30">
            <v>108</v>
          </cell>
          <cell r="JE30">
            <v>102</v>
          </cell>
          <cell r="JF30">
            <v>96</v>
          </cell>
          <cell r="JG30">
            <v>96</v>
          </cell>
          <cell r="JH30">
            <v>96</v>
          </cell>
          <cell r="JI30">
            <v>0</v>
          </cell>
          <cell r="JJ30">
            <v>126</v>
          </cell>
          <cell r="JK30">
            <v>126</v>
          </cell>
          <cell r="JL30">
            <v>126</v>
          </cell>
          <cell r="JM30">
            <v>90</v>
          </cell>
          <cell r="JN30">
            <v>90</v>
          </cell>
          <cell r="JO30">
            <v>84</v>
          </cell>
          <cell r="JP30">
            <v>0</v>
          </cell>
          <cell r="JQ30">
            <v>84</v>
          </cell>
          <cell r="JR30">
            <v>90</v>
          </cell>
          <cell r="JS30">
            <v>90</v>
          </cell>
          <cell r="JT30">
            <v>90</v>
          </cell>
          <cell r="JU30">
            <v>84</v>
          </cell>
          <cell r="JV30">
            <v>96</v>
          </cell>
          <cell r="JW30">
            <v>96</v>
          </cell>
          <cell r="JX30">
            <v>90</v>
          </cell>
          <cell r="JY30">
            <v>90</v>
          </cell>
          <cell r="JZ30">
            <v>84</v>
          </cell>
          <cell r="KA30">
            <v>84</v>
          </cell>
          <cell r="KB30">
            <v>78</v>
          </cell>
          <cell r="KC30">
            <v>78</v>
          </cell>
          <cell r="KD30">
            <v>78</v>
          </cell>
          <cell r="KE30">
            <v>84</v>
          </cell>
          <cell r="KF30">
            <v>84</v>
          </cell>
          <cell r="KG30">
            <v>78</v>
          </cell>
          <cell r="KH30">
            <v>78</v>
          </cell>
        </row>
        <row r="31">
          <cell r="G31" t="str">
            <v>CUM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336</v>
          </cell>
          <cell r="AN31">
            <v>948</v>
          </cell>
          <cell r="AO31">
            <v>1566</v>
          </cell>
          <cell r="AP31">
            <v>2106</v>
          </cell>
          <cell r="AQ31">
            <v>3066</v>
          </cell>
          <cell r="AR31">
            <v>3702</v>
          </cell>
          <cell r="AS31">
            <v>4242</v>
          </cell>
          <cell r="AT31">
            <v>4242</v>
          </cell>
          <cell r="AU31">
            <v>4428</v>
          </cell>
          <cell r="AV31">
            <v>4668</v>
          </cell>
          <cell r="AW31">
            <v>4872</v>
          </cell>
          <cell r="AX31">
            <v>5172</v>
          </cell>
          <cell r="AY31">
            <v>5520</v>
          </cell>
          <cell r="AZ31">
            <v>6006</v>
          </cell>
          <cell r="BA31">
            <v>6516</v>
          </cell>
          <cell r="BB31">
            <v>6960</v>
          </cell>
          <cell r="BC31">
            <v>7350</v>
          </cell>
          <cell r="BD31">
            <v>7728</v>
          </cell>
          <cell r="BE31">
            <v>8076</v>
          </cell>
          <cell r="BF31">
            <v>8430</v>
          </cell>
          <cell r="BG31">
            <v>8802</v>
          </cell>
          <cell r="BH31">
            <v>9204</v>
          </cell>
          <cell r="BI31">
            <v>9528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68</v>
          </cell>
          <cell r="GO31">
            <v>135</v>
          </cell>
          <cell r="GP31">
            <v>202</v>
          </cell>
          <cell r="GQ31">
            <v>269</v>
          </cell>
          <cell r="GR31">
            <v>336</v>
          </cell>
          <cell r="GS31">
            <v>492</v>
          </cell>
          <cell r="GT31">
            <v>648</v>
          </cell>
          <cell r="GU31">
            <v>798</v>
          </cell>
          <cell r="GV31">
            <v>948</v>
          </cell>
          <cell r="GW31">
            <v>1104</v>
          </cell>
          <cell r="GX31">
            <v>1260</v>
          </cell>
          <cell r="GY31">
            <v>1416</v>
          </cell>
          <cell r="GZ31">
            <v>1566</v>
          </cell>
          <cell r="HA31">
            <v>1674</v>
          </cell>
          <cell r="HB31">
            <v>1782</v>
          </cell>
          <cell r="HC31">
            <v>1890</v>
          </cell>
          <cell r="HD31">
            <v>1998</v>
          </cell>
          <cell r="HE31">
            <v>2106</v>
          </cell>
          <cell r="HF31">
            <v>2430</v>
          </cell>
          <cell r="HG31">
            <v>2430</v>
          </cell>
          <cell r="HH31">
            <v>2748</v>
          </cell>
          <cell r="HI31">
            <v>3066</v>
          </cell>
          <cell r="HJ31">
            <v>3228</v>
          </cell>
          <cell r="HK31">
            <v>3390</v>
          </cell>
          <cell r="HL31">
            <v>3546</v>
          </cell>
          <cell r="HM31">
            <v>3702</v>
          </cell>
          <cell r="HN31">
            <v>3840</v>
          </cell>
          <cell r="HO31">
            <v>3978</v>
          </cell>
          <cell r="HP31">
            <v>4110</v>
          </cell>
          <cell r="HQ31">
            <v>4242</v>
          </cell>
          <cell r="HR31">
            <v>4242</v>
          </cell>
          <cell r="HS31">
            <v>4242</v>
          </cell>
          <cell r="HT31">
            <v>4242</v>
          </cell>
          <cell r="HU31">
            <v>4242</v>
          </cell>
          <cell r="HV31">
            <v>4242</v>
          </cell>
          <cell r="HW31">
            <v>4290</v>
          </cell>
          <cell r="HX31">
            <v>4338</v>
          </cell>
          <cell r="HY31">
            <v>4386</v>
          </cell>
          <cell r="HZ31">
            <v>4428</v>
          </cell>
          <cell r="IA31">
            <v>4488</v>
          </cell>
          <cell r="IB31">
            <v>4548</v>
          </cell>
          <cell r="IC31">
            <v>4608</v>
          </cell>
          <cell r="ID31">
            <v>4668</v>
          </cell>
          <cell r="IE31">
            <v>4710</v>
          </cell>
          <cell r="IF31">
            <v>4752</v>
          </cell>
          <cell r="IG31">
            <v>4794</v>
          </cell>
          <cell r="IH31">
            <v>4836</v>
          </cell>
          <cell r="II31">
            <v>4872</v>
          </cell>
          <cell r="IJ31">
            <v>4872</v>
          </cell>
          <cell r="IK31">
            <v>4974</v>
          </cell>
          <cell r="IL31">
            <v>5076</v>
          </cell>
          <cell r="IM31">
            <v>5172</v>
          </cell>
          <cell r="IN31">
            <v>5262</v>
          </cell>
          <cell r="IO31">
            <v>5352</v>
          </cell>
          <cell r="IP31">
            <v>5436</v>
          </cell>
          <cell r="IQ31">
            <v>5520</v>
          </cell>
          <cell r="IR31">
            <v>5628</v>
          </cell>
          <cell r="IS31">
            <v>5736</v>
          </cell>
          <cell r="IT31">
            <v>5844</v>
          </cell>
          <cell r="IU31">
            <v>6006</v>
          </cell>
          <cell r="IV31">
            <v>6054</v>
          </cell>
          <cell r="IW31">
            <v>6174</v>
          </cell>
          <cell r="IX31">
            <v>6294</v>
          </cell>
          <cell r="IY31">
            <v>6420</v>
          </cell>
          <cell r="IZ31">
            <v>6516</v>
          </cell>
          <cell r="JA31">
            <v>6630</v>
          </cell>
          <cell r="JB31">
            <v>6744</v>
          </cell>
          <cell r="JC31">
            <v>6852</v>
          </cell>
          <cell r="JD31">
            <v>6960</v>
          </cell>
          <cell r="JE31">
            <v>7062</v>
          </cell>
          <cell r="JF31">
            <v>7158</v>
          </cell>
          <cell r="JG31">
            <v>7254</v>
          </cell>
          <cell r="JH31">
            <v>7350</v>
          </cell>
          <cell r="JI31">
            <v>7350</v>
          </cell>
          <cell r="JJ31">
            <v>7476</v>
          </cell>
          <cell r="JK31">
            <v>7602</v>
          </cell>
          <cell r="JL31">
            <v>7728</v>
          </cell>
          <cell r="JM31">
            <v>7818</v>
          </cell>
          <cell r="JN31">
            <v>7908</v>
          </cell>
          <cell r="JO31">
            <v>7992</v>
          </cell>
          <cell r="JP31">
            <v>7992</v>
          </cell>
          <cell r="JQ31">
            <v>8076</v>
          </cell>
          <cell r="JR31">
            <v>8166</v>
          </cell>
          <cell r="JS31">
            <v>8256</v>
          </cell>
          <cell r="JT31">
            <v>8346</v>
          </cell>
          <cell r="JU31">
            <v>8430</v>
          </cell>
          <cell r="JV31">
            <v>8526</v>
          </cell>
          <cell r="JW31">
            <v>8622</v>
          </cell>
          <cell r="JX31">
            <v>8712</v>
          </cell>
          <cell r="JY31">
            <v>8802</v>
          </cell>
          <cell r="JZ31">
            <v>8886</v>
          </cell>
          <cell r="KA31">
            <v>8970</v>
          </cell>
          <cell r="KB31">
            <v>9048</v>
          </cell>
          <cell r="KC31">
            <v>9126</v>
          </cell>
          <cell r="KD31">
            <v>9204</v>
          </cell>
          <cell r="KE31">
            <v>9288</v>
          </cell>
          <cell r="KF31">
            <v>9372</v>
          </cell>
          <cell r="KG31">
            <v>9450</v>
          </cell>
          <cell r="KH31">
            <v>9528</v>
          </cell>
        </row>
        <row r="32">
          <cell r="D32" t="str">
            <v>82111-FET40</v>
          </cell>
          <cell r="F32" t="str">
            <v>A01</v>
          </cell>
          <cell r="G32" t="str">
            <v>QTY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282</v>
          </cell>
          <cell r="AN32">
            <v>498</v>
          </cell>
          <cell r="AO32">
            <v>552</v>
          </cell>
          <cell r="AP32">
            <v>552</v>
          </cell>
          <cell r="AQ32">
            <v>576</v>
          </cell>
          <cell r="AR32">
            <v>828</v>
          </cell>
          <cell r="AS32">
            <v>798</v>
          </cell>
          <cell r="AT32">
            <v>420</v>
          </cell>
          <cell r="AU32">
            <v>564</v>
          </cell>
          <cell r="AV32">
            <v>564</v>
          </cell>
          <cell r="AW32">
            <v>498</v>
          </cell>
          <cell r="AX32">
            <v>756</v>
          </cell>
          <cell r="AY32">
            <v>792</v>
          </cell>
          <cell r="AZ32">
            <v>726</v>
          </cell>
          <cell r="BA32">
            <v>870</v>
          </cell>
          <cell r="BB32">
            <v>660</v>
          </cell>
          <cell r="BC32">
            <v>612</v>
          </cell>
          <cell r="BD32">
            <v>786</v>
          </cell>
          <cell r="BE32">
            <v>582</v>
          </cell>
          <cell r="BF32">
            <v>546</v>
          </cell>
          <cell r="BG32">
            <v>636</v>
          </cell>
          <cell r="BH32">
            <v>696</v>
          </cell>
          <cell r="BI32">
            <v>546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58</v>
          </cell>
          <cell r="GO32">
            <v>56</v>
          </cell>
          <cell r="GP32">
            <v>56</v>
          </cell>
          <cell r="GQ32">
            <v>56</v>
          </cell>
          <cell r="GR32">
            <v>56</v>
          </cell>
          <cell r="GS32">
            <v>126</v>
          </cell>
          <cell r="GT32">
            <v>126</v>
          </cell>
          <cell r="GU32">
            <v>126</v>
          </cell>
          <cell r="GV32">
            <v>120</v>
          </cell>
          <cell r="GW32">
            <v>138</v>
          </cell>
          <cell r="GX32">
            <v>138</v>
          </cell>
          <cell r="GY32">
            <v>138</v>
          </cell>
          <cell r="GZ32">
            <v>138</v>
          </cell>
          <cell r="HA32">
            <v>114</v>
          </cell>
          <cell r="HB32">
            <v>114</v>
          </cell>
          <cell r="HC32">
            <v>108</v>
          </cell>
          <cell r="HD32">
            <v>108</v>
          </cell>
          <cell r="HE32">
            <v>108</v>
          </cell>
          <cell r="HF32">
            <v>192</v>
          </cell>
          <cell r="HH32">
            <v>192</v>
          </cell>
          <cell r="HI32">
            <v>192</v>
          </cell>
          <cell r="HJ32">
            <v>210</v>
          </cell>
          <cell r="HK32">
            <v>210</v>
          </cell>
          <cell r="HL32">
            <v>204</v>
          </cell>
          <cell r="HM32">
            <v>204</v>
          </cell>
          <cell r="HN32">
            <v>204</v>
          </cell>
          <cell r="HO32">
            <v>198</v>
          </cell>
          <cell r="HP32">
            <v>198</v>
          </cell>
          <cell r="HQ32">
            <v>198</v>
          </cell>
          <cell r="HR32">
            <v>108</v>
          </cell>
          <cell r="HS32">
            <v>108</v>
          </cell>
          <cell r="HT32">
            <v>102</v>
          </cell>
          <cell r="HU32">
            <v>102</v>
          </cell>
          <cell r="HW32">
            <v>144</v>
          </cell>
          <cell r="HX32">
            <v>144</v>
          </cell>
          <cell r="HY32">
            <v>138</v>
          </cell>
          <cell r="HZ32">
            <v>138</v>
          </cell>
          <cell r="IA32">
            <v>144</v>
          </cell>
          <cell r="IB32">
            <v>144</v>
          </cell>
          <cell r="IC32">
            <v>138</v>
          </cell>
          <cell r="ID32">
            <v>138</v>
          </cell>
          <cell r="IE32">
            <v>102</v>
          </cell>
          <cell r="IF32">
            <v>102</v>
          </cell>
          <cell r="IG32">
            <v>102</v>
          </cell>
          <cell r="IH32">
            <v>96</v>
          </cell>
          <cell r="II32">
            <v>96</v>
          </cell>
          <cell r="IK32">
            <v>252</v>
          </cell>
          <cell r="IL32">
            <v>252</v>
          </cell>
          <cell r="IM32">
            <v>252</v>
          </cell>
          <cell r="IN32">
            <v>228</v>
          </cell>
          <cell r="IO32">
            <v>228</v>
          </cell>
          <cell r="IP32">
            <v>168</v>
          </cell>
          <cell r="IQ32">
            <v>168</v>
          </cell>
          <cell r="IR32">
            <v>186</v>
          </cell>
          <cell r="IS32">
            <v>192</v>
          </cell>
          <cell r="IT32">
            <v>168</v>
          </cell>
          <cell r="IU32">
            <v>180</v>
          </cell>
          <cell r="IV32">
            <v>300</v>
          </cell>
          <cell r="IW32">
            <v>102</v>
          </cell>
          <cell r="IX32">
            <v>204</v>
          </cell>
          <cell r="IY32">
            <v>120</v>
          </cell>
          <cell r="IZ32">
            <v>144</v>
          </cell>
          <cell r="JA32">
            <v>168</v>
          </cell>
          <cell r="JB32">
            <v>168</v>
          </cell>
          <cell r="JC32">
            <v>162</v>
          </cell>
          <cell r="JD32">
            <v>162</v>
          </cell>
          <cell r="JE32">
            <v>156</v>
          </cell>
          <cell r="JF32">
            <v>156</v>
          </cell>
          <cell r="JG32">
            <v>150</v>
          </cell>
          <cell r="JH32">
            <v>150</v>
          </cell>
          <cell r="JI32">
            <v>0</v>
          </cell>
          <cell r="JJ32">
            <v>264</v>
          </cell>
          <cell r="JK32">
            <v>264</v>
          </cell>
          <cell r="JL32">
            <v>258</v>
          </cell>
          <cell r="JM32">
            <v>150</v>
          </cell>
          <cell r="JN32">
            <v>144</v>
          </cell>
          <cell r="JO32">
            <v>144</v>
          </cell>
          <cell r="JP32">
            <v>0</v>
          </cell>
          <cell r="JQ32">
            <v>144</v>
          </cell>
          <cell r="JR32">
            <v>138</v>
          </cell>
          <cell r="JS32">
            <v>138</v>
          </cell>
          <cell r="JT32">
            <v>138</v>
          </cell>
          <cell r="JU32">
            <v>132</v>
          </cell>
          <cell r="JV32">
            <v>162</v>
          </cell>
          <cell r="JW32">
            <v>162</v>
          </cell>
          <cell r="JX32">
            <v>156</v>
          </cell>
          <cell r="JY32">
            <v>156</v>
          </cell>
          <cell r="JZ32">
            <v>144</v>
          </cell>
          <cell r="KA32">
            <v>138</v>
          </cell>
          <cell r="KB32">
            <v>138</v>
          </cell>
          <cell r="KC32">
            <v>138</v>
          </cell>
          <cell r="KD32">
            <v>138</v>
          </cell>
          <cell r="KE32">
            <v>138</v>
          </cell>
          <cell r="KF32">
            <v>138</v>
          </cell>
          <cell r="KG32">
            <v>138</v>
          </cell>
          <cell r="KH32">
            <v>132</v>
          </cell>
        </row>
        <row r="33">
          <cell r="G33" t="str">
            <v>CUM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282</v>
          </cell>
          <cell r="AN33">
            <v>780</v>
          </cell>
          <cell r="AO33">
            <v>1332</v>
          </cell>
          <cell r="AP33">
            <v>1884</v>
          </cell>
          <cell r="AQ33">
            <v>2460</v>
          </cell>
          <cell r="AR33">
            <v>3288</v>
          </cell>
          <cell r="AS33">
            <v>4086</v>
          </cell>
          <cell r="AT33">
            <v>4506</v>
          </cell>
          <cell r="AU33">
            <v>5070</v>
          </cell>
          <cell r="AV33">
            <v>5634</v>
          </cell>
          <cell r="AW33">
            <v>6132</v>
          </cell>
          <cell r="AX33">
            <v>6888</v>
          </cell>
          <cell r="AY33">
            <v>7680</v>
          </cell>
          <cell r="AZ33">
            <v>8406</v>
          </cell>
          <cell r="BA33">
            <v>9276</v>
          </cell>
          <cell r="BB33">
            <v>9936</v>
          </cell>
          <cell r="BC33">
            <v>10548</v>
          </cell>
          <cell r="BD33">
            <v>11334</v>
          </cell>
          <cell r="BE33">
            <v>11916</v>
          </cell>
          <cell r="BF33">
            <v>12462</v>
          </cell>
          <cell r="BG33">
            <v>13098</v>
          </cell>
          <cell r="BH33">
            <v>13794</v>
          </cell>
          <cell r="BI33">
            <v>14340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  <cell r="GK33">
            <v>0</v>
          </cell>
          <cell r="GL33">
            <v>0</v>
          </cell>
          <cell r="GM33">
            <v>0</v>
          </cell>
          <cell r="GN33">
            <v>58</v>
          </cell>
          <cell r="GO33">
            <v>114</v>
          </cell>
          <cell r="GP33">
            <v>170</v>
          </cell>
          <cell r="GQ33">
            <v>226</v>
          </cell>
          <cell r="GR33">
            <v>282</v>
          </cell>
          <cell r="GS33">
            <v>408</v>
          </cell>
          <cell r="GT33">
            <v>534</v>
          </cell>
          <cell r="GU33">
            <v>660</v>
          </cell>
          <cell r="GV33">
            <v>780</v>
          </cell>
          <cell r="GW33">
            <v>918</v>
          </cell>
          <cell r="GX33">
            <v>1056</v>
          </cell>
          <cell r="GY33">
            <v>1194</v>
          </cell>
          <cell r="GZ33">
            <v>1332</v>
          </cell>
          <cell r="HA33">
            <v>1446</v>
          </cell>
          <cell r="HB33">
            <v>1560</v>
          </cell>
          <cell r="HC33">
            <v>1668</v>
          </cell>
          <cell r="HD33">
            <v>1776</v>
          </cell>
          <cell r="HE33">
            <v>1884</v>
          </cell>
          <cell r="HF33">
            <v>2076</v>
          </cell>
          <cell r="HG33">
            <v>2076</v>
          </cell>
          <cell r="HH33">
            <v>2268</v>
          </cell>
          <cell r="HI33">
            <v>2460</v>
          </cell>
          <cell r="HJ33">
            <v>2670</v>
          </cell>
          <cell r="HK33">
            <v>2880</v>
          </cell>
          <cell r="HL33">
            <v>3084</v>
          </cell>
          <cell r="HM33">
            <v>3288</v>
          </cell>
          <cell r="HN33">
            <v>3492</v>
          </cell>
          <cell r="HO33">
            <v>3690</v>
          </cell>
          <cell r="HP33">
            <v>3888</v>
          </cell>
          <cell r="HQ33">
            <v>4086</v>
          </cell>
          <cell r="HR33">
            <v>4194</v>
          </cell>
          <cell r="HS33">
            <v>4302</v>
          </cell>
          <cell r="HT33">
            <v>4404</v>
          </cell>
          <cell r="HU33">
            <v>4506</v>
          </cell>
          <cell r="HV33">
            <v>4506</v>
          </cell>
          <cell r="HW33">
            <v>4650</v>
          </cell>
          <cell r="HX33">
            <v>4794</v>
          </cell>
          <cell r="HY33">
            <v>4932</v>
          </cell>
          <cell r="HZ33">
            <v>5070</v>
          </cell>
          <cell r="IA33">
            <v>5214</v>
          </cell>
          <cell r="IB33">
            <v>5358</v>
          </cell>
          <cell r="IC33">
            <v>5496</v>
          </cell>
          <cell r="ID33">
            <v>5634</v>
          </cell>
          <cell r="IE33">
            <v>5736</v>
          </cell>
          <cell r="IF33">
            <v>5838</v>
          </cell>
          <cell r="IG33">
            <v>5940</v>
          </cell>
          <cell r="IH33">
            <v>6036</v>
          </cell>
          <cell r="II33">
            <v>6132</v>
          </cell>
          <cell r="IJ33">
            <v>6132</v>
          </cell>
          <cell r="IK33">
            <v>6384</v>
          </cell>
          <cell r="IL33">
            <v>6636</v>
          </cell>
          <cell r="IM33">
            <v>6888</v>
          </cell>
          <cell r="IN33">
            <v>7116</v>
          </cell>
          <cell r="IO33">
            <v>7344</v>
          </cell>
          <cell r="IP33">
            <v>7512</v>
          </cell>
          <cell r="IQ33">
            <v>7680</v>
          </cell>
          <cell r="IR33">
            <v>7866</v>
          </cell>
          <cell r="IS33">
            <v>8058</v>
          </cell>
          <cell r="IT33">
            <v>8226</v>
          </cell>
          <cell r="IU33">
            <v>8406</v>
          </cell>
          <cell r="IV33">
            <v>8706</v>
          </cell>
          <cell r="IW33">
            <v>8808</v>
          </cell>
          <cell r="IX33">
            <v>9012</v>
          </cell>
          <cell r="IY33">
            <v>9132</v>
          </cell>
          <cell r="IZ33">
            <v>9276</v>
          </cell>
          <cell r="JA33">
            <v>9444</v>
          </cell>
          <cell r="JB33">
            <v>9612</v>
          </cell>
          <cell r="JC33">
            <v>9774</v>
          </cell>
          <cell r="JD33">
            <v>9936</v>
          </cell>
          <cell r="JE33">
            <v>10092</v>
          </cell>
          <cell r="JF33">
            <v>10248</v>
          </cell>
          <cell r="JG33">
            <v>10398</v>
          </cell>
          <cell r="JH33">
            <v>10548</v>
          </cell>
          <cell r="JI33">
            <v>10548</v>
          </cell>
          <cell r="JJ33">
            <v>10812</v>
          </cell>
          <cell r="JK33">
            <v>11076</v>
          </cell>
          <cell r="JL33">
            <v>11334</v>
          </cell>
          <cell r="JM33">
            <v>11484</v>
          </cell>
          <cell r="JN33">
            <v>11628</v>
          </cell>
          <cell r="JO33">
            <v>11772</v>
          </cell>
          <cell r="JP33">
            <v>11772</v>
          </cell>
          <cell r="JQ33">
            <v>11916</v>
          </cell>
          <cell r="JR33">
            <v>12054</v>
          </cell>
          <cell r="JS33">
            <v>12192</v>
          </cell>
          <cell r="JT33">
            <v>12330</v>
          </cell>
          <cell r="JU33">
            <v>12462</v>
          </cell>
          <cell r="JV33">
            <v>12624</v>
          </cell>
          <cell r="JW33">
            <v>12786</v>
          </cell>
          <cell r="JX33">
            <v>12942</v>
          </cell>
          <cell r="JY33">
            <v>13098</v>
          </cell>
          <cell r="JZ33">
            <v>13242</v>
          </cell>
          <cell r="KA33">
            <v>13380</v>
          </cell>
          <cell r="KB33">
            <v>13518</v>
          </cell>
          <cell r="KC33">
            <v>13656</v>
          </cell>
          <cell r="KD33">
            <v>13794</v>
          </cell>
          <cell r="KE33">
            <v>13932</v>
          </cell>
          <cell r="KF33">
            <v>14070</v>
          </cell>
          <cell r="KG33">
            <v>14208</v>
          </cell>
          <cell r="KH33">
            <v>14340</v>
          </cell>
        </row>
        <row r="34">
          <cell r="D34" t="str">
            <v>82115-F2390</v>
          </cell>
          <cell r="E34" t="str">
            <v>A00</v>
          </cell>
          <cell r="F34" t="str">
            <v>B01</v>
          </cell>
          <cell r="G34" t="str">
            <v>QTY</v>
          </cell>
          <cell r="AC34">
            <v>50</v>
          </cell>
          <cell r="AD34">
            <v>40</v>
          </cell>
          <cell r="AE34">
            <v>0</v>
          </cell>
          <cell r="AF34">
            <v>4</v>
          </cell>
          <cell r="AG34">
            <v>0</v>
          </cell>
          <cell r="AH34">
            <v>240</v>
          </cell>
          <cell r="AI34">
            <v>140</v>
          </cell>
          <cell r="AJ34">
            <v>100</v>
          </cell>
          <cell r="AK34">
            <v>24</v>
          </cell>
          <cell r="AL34">
            <v>66</v>
          </cell>
          <cell r="AM34">
            <v>30</v>
          </cell>
          <cell r="AN34">
            <v>36</v>
          </cell>
          <cell r="AO34">
            <v>6</v>
          </cell>
          <cell r="AP34">
            <v>0</v>
          </cell>
          <cell r="AQ34">
            <v>0</v>
          </cell>
          <cell r="AR34">
            <v>12</v>
          </cell>
          <cell r="AS34">
            <v>24</v>
          </cell>
          <cell r="AT34">
            <v>54</v>
          </cell>
          <cell r="AU34">
            <v>42</v>
          </cell>
          <cell r="AV34">
            <v>18</v>
          </cell>
          <cell r="AW34">
            <v>12</v>
          </cell>
          <cell r="AX34">
            <v>30</v>
          </cell>
          <cell r="AY34">
            <v>30</v>
          </cell>
          <cell r="AZ34">
            <v>60</v>
          </cell>
          <cell r="BA34">
            <v>42</v>
          </cell>
          <cell r="BB34">
            <v>6</v>
          </cell>
          <cell r="BC34">
            <v>30</v>
          </cell>
          <cell r="BD34">
            <v>36</v>
          </cell>
          <cell r="BE34">
            <v>12</v>
          </cell>
          <cell r="BF34">
            <v>12</v>
          </cell>
          <cell r="BG34">
            <v>12</v>
          </cell>
          <cell r="BH34">
            <v>24</v>
          </cell>
          <cell r="BI34">
            <v>6</v>
          </cell>
          <cell r="BJ34">
            <v>40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4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90</v>
          </cell>
          <cell r="FS34">
            <v>0</v>
          </cell>
          <cell r="FT34">
            <v>60</v>
          </cell>
          <cell r="FU34">
            <v>0</v>
          </cell>
          <cell r="FV34">
            <v>90</v>
          </cell>
          <cell r="FW34">
            <v>60</v>
          </cell>
          <cell r="FX34">
            <v>60</v>
          </cell>
          <cell r="FY34">
            <v>20</v>
          </cell>
          <cell r="FZ34">
            <v>0</v>
          </cell>
          <cell r="GA34">
            <v>50</v>
          </cell>
          <cell r="GB34">
            <v>0</v>
          </cell>
          <cell r="GC34">
            <v>50</v>
          </cell>
          <cell r="GD34">
            <v>0</v>
          </cell>
          <cell r="GE34">
            <v>24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36</v>
          </cell>
          <cell r="GK34">
            <v>30</v>
          </cell>
          <cell r="GL34">
            <v>0</v>
          </cell>
          <cell r="GM34">
            <v>0</v>
          </cell>
          <cell r="GN34">
            <v>6</v>
          </cell>
          <cell r="GO34">
            <v>6</v>
          </cell>
          <cell r="GP34">
            <v>6</v>
          </cell>
          <cell r="GQ34">
            <v>6</v>
          </cell>
          <cell r="GR34">
            <v>6</v>
          </cell>
          <cell r="GS34">
            <v>12</v>
          </cell>
          <cell r="GT34">
            <v>12</v>
          </cell>
          <cell r="GU34">
            <v>6</v>
          </cell>
          <cell r="GV34">
            <v>6</v>
          </cell>
          <cell r="GW34">
            <v>6</v>
          </cell>
          <cell r="GX34">
            <v>0</v>
          </cell>
          <cell r="GY34">
            <v>0</v>
          </cell>
          <cell r="GZ34">
            <v>0</v>
          </cell>
          <cell r="HA34">
            <v>0</v>
          </cell>
          <cell r="HB34">
            <v>0</v>
          </cell>
          <cell r="HC34">
            <v>0</v>
          </cell>
          <cell r="HD34">
            <v>0</v>
          </cell>
          <cell r="HE34">
            <v>0</v>
          </cell>
          <cell r="HF34">
            <v>0</v>
          </cell>
          <cell r="HH34">
            <v>0</v>
          </cell>
          <cell r="HI34">
            <v>0</v>
          </cell>
          <cell r="HJ34">
            <v>12</v>
          </cell>
          <cell r="HK34">
            <v>0</v>
          </cell>
          <cell r="HL34">
            <v>0</v>
          </cell>
          <cell r="HM34">
            <v>0</v>
          </cell>
          <cell r="HN34">
            <v>12</v>
          </cell>
          <cell r="HO34">
            <v>12</v>
          </cell>
          <cell r="HP34">
            <v>0</v>
          </cell>
          <cell r="HQ34">
            <v>0</v>
          </cell>
          <cell r="HR34">
            <v>18</v>
          </cell>
          <cell r="HS34">
            <v>12</v>
          </cell>
          <cell r="HT34">
            <v>12</v>
          </cell>
          <cell r="HU34">
            <v>12</v>
          </cell>
          <cell r="HW34">
            <v>18</v>
          </cell>
          <cell r="HX34">
            <v>12</v>
          </cell>
          <cell r="HY34">
            <v>12</v>
          </cell>
          <cell r="HZ34">
            <v>0</v>
          </cell>
          <cell r="IA34">
            <v>18</v>
          </cell>
          <cell r="IB34">
            <v>0</v>
          </cell>
          <cell r="IC34">
            <v>0</v>
          </cell>
          <cell r="ID34">
            <v>0</v>
          </cell>
          <cell r="IE34">
            <v>12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  <cell r="IK34">
            <v>18</v>
          </cell>
          <cell r="IL34">
            <v>12</v>
          </cell>
          <cell r="IM34">
            <v>0</v>
          </cell>
          <cell r="IN34">
            <v>18</v>
          </cell>
          <cell r="IO34">
            <v>12</v>
          </cell>
          <cell r="IP34">
            <v>0</v>
          </cell>
          <cell r="IQ34">
            <v>0</v>
          </cell>
          <cell r="IR34">
            <v>24</v>
          </cell>
          <cell r="IS34">
            <v>18</v>
          </cell>
          <cell r="IT34">
            <v>18</v>
          </cell>
          <cell r="IU34">
            <v>0</v>
          </cell>
          <cell r="IV34">
            <v>0</v>
          </cell>
          <cell r="IW34">
            <v>18</v>
          </cell>
          <cell r="IX34">
            <v>0</v>
          </cell>
          <cell r="IY34">
            <v>0</v>
          </cell>
          <cell r="IZ34">
            <v>24</v>
          </cell>
          <cell r="JA34">
            <v>6</v>
          </cell>
          <cell r="JB34">
            <v>0</v>
          </cell>
          <cell r="JC34">
            <v>0</v>
          </cell>
          <cell r="JD34">
            <v>0</v>
          </cell>
          <cell r="JE34">
            <v>18</v>
          </cell>
          <cell r="JF34">
            <v>12</v>
          </cell>
          <cell r="JG34">
            <v>0</v>
          </cell>
          <cell r="JH34">
            <v>0</v>
          </cell>
          <cell r="JI34">
            <v>0</v>
          </cell>
          <cell r="JJ34">
            <v>18</v>
          </cell>
          <cell r="JK34">
            <v>18</v>
          </cell>
          <cell r="JL34">
            <v>0</v>
          </cell>
          <cell r="JM34">
            <v>12</v>
          </cell>
          <cell r="JN34">
            <v>0</v>
          </cell>
          <cell r="JO34">
            <v>0</v>
          </cell>
          <cell r="JP34">
            <v>0</v>
          </cell>
          <cell r="JQ34">
            <v>0</v>
          </cell>
          <cell r="JR34">
            <v>12</v>
          </cell>
          <cell r="JS34">
            <v>0</v>
          </cell>
          <cell r="JT34">
            <v>0</v>
          </cell>
          <cell r="JU34">
            <v>0</v>
          </cell>
          <cell r="JV34">
            <v>12</v>
          </cell>
          <cell r="JW34">
            <v>0</v>
          </cell>
          <cell r="JX34">
            <v>0</v>
          </cell>
          <cell r="JY34">
            <v>0</v>
          </cell>
          <cell r="JZ34">
            <v>12</v>
          </cell>
          <cell r="KA34">
            <v>12</v>
          </cell>
          <cell r="KB34">
            <v>0</v>
          </cell>
          <cell r="KC34">
            <v>0</v>
          </cell>
          <cell r="KD34">
            <v>0</v>
          </cell>
          <cell r="KE34">
            <v>6</v>
          </cell>
          <cell r="KF34">
            <v>0</v>
          </cell>
          <cell r="KG34">
            <v>0</v>
          </cell>
          <cell r="KH34">
            <v>0</v>
          </cell>
        </row>
        <row r="35">
          <cell r="G35" t="str">
            <v>CUM</v>
          </cell>
          <cell r="AC35">
            <v>50</v>
          </cell>
          <cell r="AD35">
            <v>90</v>
          </cell>
          <cell r="AE35">
            <v>90</v>
          </cell>
          <cell r="AF35">
            <v>94</v>
          </cell>
          <cell r="AG35">
            <v>94</v>
          </cell>
          <cell r="AH35">
            <v>334</v>
          </cell>
          <cell r="AI35">
            <v>384</v>
          </cell>
          <cell r="AJ35">
            <v>484</v>
          </cell>
          <cell r="AK35">
            <v>508</v>
          </cell>
          <cell r="AL35">
            <v>574</v>
          </cell>
          <cell r="AM35">
            <v>604</v>
          </cell>
          <cell r="AN35">
            <v>640</v>
          </cell>
          <cell r="AO35">
            <v>646</v>
          </cell>
          <cell r="AP35">
            <v>646</v>
          </cell>
          <cell r="AQ35">
            <v>646</v>
          </cell>
          <cell r="AR35">
            <v>658</v>
          </cell>
          <cell r="AS35">
            <v>682</v>
          </cell>
          <cell r="AT35">
            <v>736</v>
          </cell>
          <cell r="AU35">
            <v>778</v>
          </cell>
          <cell r="AV35">
            <v>796</v>
          </cell>
          <cell r="AW35">
            <v>808</v>
          </cell>
          <cell r="AX35">
            <v>838</v>
          </cell>
          <cell r="AY35">
            <v>868</v>
          </cell>
          <cell r="AZ35">
            <v>928</v>
          </cell>
          <cell r="BA35">
            <v>970</v>
          </cell>
          <cell r="BB35">
            <v>976</v>
          </cell>
          <cell r="BC35">
            <v>1006</v>
          </cell>
          <cell r="BD35">
            <v>1042</v>
          </cell>
          <cell r="BE35">
            <v>1054</v>
          </cell>
          <cell r="BF35">
            <v>1066</v>
          </cell>
          <cell r="BG35">
            <v>1078</v>
          </cell>
          <cell r="BH35">
            <v>1102</v>
          </cell>
          <cell r="BI35">
            <v>1108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4</v>
          </cell>
          <cell r="FL35">
            <v>4</v>
          </cell>
          <cell r="FM35">
            <v>4</v>
          </cell>
          <cell r="FN35">
            <v>4</v>
          </cell>
          <cell r="FO35">
            <v>4</v>
          </cell>
          <cell r="FP35">
            <v>4</v>
          </cell>
          <cell r="FQ35">
            <v>4</v>
          </cell>
          <cell r="FR35">
            <v>94</v>
          </cell>
          <cell r="FS35">
            <v>94</v>
          </cell>
          <cell r="FT35">
            <v>154</v>
          </cell>
          <cell r="FU35">
            <v>154</v>
          </cell>
          <cell r="FV35">
            <v>244</v>
          </cell>
          <cell r="FW35">
            <v>304</v>
          </cell>
          <cell r="FX35">
            <v>364</v>
          </cell>
          <cell r="FY35">
            <v>384</v>
          </cell>
          <cell r="FZ35">
            <v>384</v>
          </cell>
          <cell r="GA35">
            <v>434</v>
          </cell>
          <cell r="GB35">
            <v>434</v>
          </cell>
          <cell r="GC35">
            <v>484</v>
          </cell>
          <cell r="GD35">
            <v>484</v>
          </cell>
          <cell r="GE35">
            <v>508</v>
          </cell>
          <cell r="GF35">
            <v>508</v>
          </cell>
          <cell r="GG35">
            <v>508</v>
          </cell>
          <cell r="GH35">
            <v>508</v>
          </cell>
          <cell r="GI35">
            <v>508</v>
          </cell>
          <cell r="GJ35">
            <v>544</v>
          </cell>
          <cell r="GK35">
            <v>574</v>
          </cell>
          <cell r="GL35">
            <v>574</v>
          </cell>
          <cell r="GM35">
            <v>574</v>
          </cell>
          <cell r="GN35">
            <v>580</v>
          </cell>
          <cell r="GO35">
            <v>586</v>
          </cell>
          <cell r="GP35">
            <v>592</v>
          </cell>
          <cell r="GQ35">
            <v>598</v>
          </cell>
          <cell r="GR35">
            <v>604</v>
          </cell>
          <cell r="GS35">
            <v>616</v>
          </cell>
          <cell r="GT35">
            <v>628</v>
          </cell>
          <cell r="GU35">
            <v>634</v>
          </cell>
          <cell r="GV35">
            <v>640</v>
          </cell>
          <cell r="GW35">
            <v>646</v>
          </cell>
          <cell r="GX35">
            <v>646</v>
          </cell>
          <cell r="GY35">
            <v>646</v>
          </cell>
          <cell r="GZ35">
            <v>646</v>
          </cell>
          <cell r="HA35">
            <v>646</v>
          </cell>
          <cell r="HB35">
            <v>646</v>
          </cell>
          <cell r="HC35">
            <v>646</v>
          </cell>
          <cell r="HD35">
            <v>646</v>
          </cell>
          <cell r="HE35">
            <v>646</v>
          </cell>
          <cell r="HF35">
            <v>646</v>
          </cell>
          <cell r="HG35">
            <v>646</v>
          </cell>
          <cell r="HH35">
            <v>646</v>
          </cell>
          <cell r="HI35">
            <v>646</v>
          </cell>
          <cell r="HJ35">
            <v>658</v>
          </cell>
          <cell r="HK35">
            <v>658</v>
          </cell>
          <cell r="HL35">
            <v>658</v>
          </cell>
          <cell r="HM35">
            <v>658</v>
          </cell>
          <cell r="HN35">
            <v>670</v>
          </cell>
          <cell r="HO35">
            <v>682</v>
          </cell>
          <cell r="HP35">
            <v>682</v>
          </cell>
          <cell r="HQ35">
            <v>682</v>
          </cell>
          <cell r="HR35">
            <v>700</v>
          </cell>
          <cell r="HS35">
            <v>712</v>
          </cell>
          <cell r="HT35">
            <v>724</v>
          </cell>
          <cell r="HU35">
            <v>736</v>
          </cell>
          <cell r="HV35">
            <v>736</v>
          </cell>
          <cell r="HW35">
            <v>754</v>
          </cell>
          <cell r="HX35">
            <v>766</v>
          </cell>
          <cell r="HY35">
            <v>778</v>
          </cell>
          <cell r="HZ35">
            <v>778</v>
          </cell>
          <cell r="IA35">
            <v>796</v>
          </cell>
          <cell r="IB35">
            <v>796</v>
          </cell>
          <cell r="IC35">
            <v>796</v>
          </cell>
          <cell r="ID35">
            <v>796</v>
          </cell>
          <cell r="IE35">
            <v>808</v>
          </cell>
          <cell r="IF35">
            <v>808</v>
          </cell>
          <cell r="IG35">
            <v>808</v>
          </cell>
          <cell r="IH35">
            <v>808</v>
          </cell>
          <cell r="II35">
            <v>808</v>
          </cell>
          <cell r="IJ35">
            <v>808</v>
          </cell>
          <cell r="IK35">
            <v>826</v>
          </cell>
          <cell r="IL35">
            <v>838</v>
          </cell>
          <cell r="IM35">
            <v>838</v>
          </cell>
          <cell r="IN35">
            <v>856</v>
          </cell>
          <cell r="IO35">
            <v>868</v>
          </cell>
          <cell r="IP35">
            <v>868</v>
          </cell>
          <cell r="IQ35">
            <v>868</v>
          </cell>
          <cell r="IR35">
            <v>892</v>
          </cell>
          <cell r="IS35">
            <v>910</v>
          </cell>
          <cell r="IT35">
            <v>928</v>
          </cell>
          <cell r="IU35">
            <v>928</v>
          </cell>
          <cell r="IV35">
            <v>928</v>
          </cell>
          <cell r="IW35">
            <v>946</v>
          </cell>
          <cell r="IX35">
            <v>946</v>
          </cell>
          <cell r="IY35">
            <v>946</v>
          </cell>
          <cell r="IZ35">
            <v>970</v>
          </cell>
          <cell r="JA35">
            <v>976</v>
          </cell>
          <cell r="JB35">
            <v>976</v>
          </cell>
          <cell r="JC35">
            <v>976</v>
          </cell>
          <cell r="JD35">
            <v>976</v>
          </cell>
          <cell r="JE35">
            <v>994</v>
          </cell>
          <cell r="JF35">
            <v>1006</v>
          </cell>
          <cell r="JG35">
            <v>1006</v>
          </cell>
          <cell r="JH35">
            <v>1006</v>
          </cell>
          <cell r="JI35">
            <v>1006</v>
          </cell>
          <cell r="JJ35">
            <v>1024</v>
          </cell>
          <cell r="JK35">
            <v>1042</v>
          </cell>
          <cell r="JL35">
            <v>1042</v>
          </cell>
          <cell r="JM35">
            <v>1054</v>
          </cell>
          <cell r="JN35">
            <v>1054</v>
          </cell>
          <cell r="JO35">
            <v>1054</v>
          </cell>
          <cell r="JP35">
            <v>1054</v>
          </cell>
          <cell r="JQ35">
            <v>1054</v>
          </cell>
          <cell r="JR35">
            <v>1066</v>
          </cell>
          <cell r="JS35">
            <v>1066</v>
          </cell>
          <cell r="JT35">
            <v>1066</v>
          </cell>
          <cell r="JU35">
            <v>1066</v>
          </cell>
          <cell r="JV35">
            <v>1078</v>
          </cell>
          <cell r="JW35">
            <v>1078</v>
          </cell>
          <cell r="JX35">
            <v>1078</v>
          </cell>
          <cell r="JY35">
            <v>1078</v>
          </cell>
          <cell r="JZ35">
            <v>1090</v>
          </cell>
          <cell r="KA35">
            <v>1102</v>
          </cell>
          <cell r="KB35">
            <v>1102</v>
          </cell>
          <cell r="KC35">
            <v>1102</v>
          </cell>
          <cell r="KD35">
            <v>1102</v>
          </cell>
          <cell r="KE35">
            <v>1108</v>
          </cell>
          <cell r="KF35">
            <v>1108</v>
          </cell>
          <cell r="KG35">
            <v>1108</v>
          </cell>
          <cell r="KH35">
            <v>1108</v>
          </cell>
        </row>
        <row r="36">
          <cell r="D36" t="str">
            <v>82116-0ZW70</v>
          </cell>
          <cell r="E36" t="str">
            <v>A00</v>
          </cell>
          <cell r="F36" t="str">
            <v>A01</v>
          </cell>
          <cell r="G36" t="str">
            <v>QTY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180</v>
          </cell>
          <cell r="AY36">
            <v>612</v>
          </cell>
          <cell r="AZ36">
            <v>150</v>
          </cell>
          <cell r="BA36">
            <v>576</v>
          </cell>
          <cell r="BB36">
            <v>264</v>
          </cell>
          <cell r="BC36">
            <v>120</v>
          </cell>
          <cell r="BD36">
            <v>132</v>
          </cell>
          <cell r="BE36">
            <v>192</v>
          </cell>
          <cell r="BF36">
            <v>210</v>
          </cell>
          <cell r="BG36">
            <v>210</v>
          </cell>
          <cell r="BH36">
            <v>228</v>
          </cell>
          <cell r="BI36">
            <v>180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M36">
            <v>180</v>
          </cell>
          <cell r="IN36">
            <v>198</v>
          </cell>
          <cell r="IO36">
            <v>198</v>
          </cell>
          <cell r="IP36">
            <v>108</v>
          </cell>
          <cell r="IQ36">
            <v>108</v>
          </cell>
          <cell r="IR36">
            <v>60</v>
          </cell>
          <cell r="IS36">
            <v>72</v>
          </cell>
          <cell r="IT36">
            <v>6</v>
          </cell>
          <cell r="IU36">
            <v>12</v>
          </cell>
          <cell r="IV36">
            <v>102</v>
          </cell>
          <cell r="IW36">
            <v>102</v>
          </cell>
          <cell r="IX36">
            <v>156</v>
          </cell>
          <cell r="IY36">
            <v>156</v>
          </cell>
          <cell r="IZ36">
            <v>60</v>
          </cell>
          <cell r="JA36">
            <v>66</v>
          </cell>
          <cell r="JB36">
            <v>66</v>
          </cell>
          <cell r="JC36">
            <v>66</v>
          </cell>
          <cell r="JD36">
            <v>66</v>
          </cell>
          <cell r="JE36">
            <v>30</v>
          </cell>
          <cell r="JF36">
            <v>30</v>
          </cell>
          <cell r="JG36">
            <v>30</v>
          </cell>
          <cell r="JH36">
            <v>30</v>
          </cell>
          <cell r="JI36">
            <v>0</v>
          </cell>
          <cell r="JJ36">
            <v>48</v>
          </cell>
          <cell r="JK36">
            <v>42</v>
          </cell>
          <cell r="JL36">
            <v>42</v>
          </cell>
          <cell r="JM36">
            <v>48</v>
          </cell>
          <cell r="JN36">
            <v>48</v>
          </cell>
          <cell r="JO36">
            <v>48</v>
          </cell>
          <cell r="JP36">
            <v>0</v>
          </cell>
          <cell r="JQ36">
            <v>48</v>
          </cell>
          <cell r="JR36">
            <v>54</v>
          </cell>
          <cell r="JS36">
            <v>54</v>
          </cell>
          <cell r="JT36">
            <v>54</v>
          </cell>
          <cell r="JU36">
            <v>48</v>
          </cell>
          <cell r="JV36">
            <v>54</v>
          </cell>
          <cell r="JW36">
            <v>54</v>
          </cell>
          <cell r="JX36">
            <v>54</v>
          </cell>
          <cell r="JY36">
            <v>48</v>
          </cell>
          <cell r="JZ36">
            <v>48</v>
          </cell>
          <cell r="KA36">
            <v>48</v>
          </cell>
          <cell r="KB36">
            <v>48</v>
          </cell>
          <cell r="KC36">
            <v>42</v>
          </cell>
          <cell r="KD36">
            <v>42</v>
          </cell>
          <cell r="KE36">
            <v>48</v>
          </cell>
          <cell r="KF36">
            <v>48</v>
          </cell>
          <cell r="KG36">
            <v>42</v>
          </cell>
          <cell r="KH36">
            <v>42</v>
          </cell>
        </row>
        <row r="37">
          <cell r="D37" t="str">
            <v>2025.09.30 L/O</v>
          </cell>
          <cell r="G37" t="str">
            <v>CUM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180</v>
          </cell>
          <cell r="AY37">
            <v>792</v>
          </cell>
          <cell r="AZ37">
            <v>942</v>
          </cell>
          <cell r="BA37">
            <v>1518</v>
          </cell>
          <cell r="BB37">
            <v>1782</v>
          </cell>
          <cell r="BC37">
            <v>1902</v>
          </cell>
          <cell r="BD37">
            <v>2034</v>
          </cell>
          <cell r="BE37">
            <v>2226</v>
          </cell>
          <cell r="BF37">
            <v>2436</v>
          </cell>
          <cell r="BG37">
            <v>2646</v>
          </cell>
          <cell r="BH37">
            <v>2874</v>
          </cell>
          <cell r="BI37">
            <v>3054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180</v>
          </cell>
          <cell r="IN37">
            <v>378</v>
          </cell>
          <cell r="IO37">
            <v>576</v>
          </cell>
          <cell r="IP37">
            <v>684</v>
          </cell>
          <cell r="IQ37">
            <v>792</v>
          </cell>
          <cell r="IR37">
            <v>852</v>
          </cell>
          <cell r="IS37">
            <v>924</v>
          </cell>
          <cell r="IT37">
            <v>930</v>
          </cell>
          <cell r="IU37">
            <v>942</v>
          </cell>
          <cell r="IV37">
            <v>1044</v>
          </cell>
          <cell r="IW37">
            <v>1146</v>
          </cell>
          <cell r="IX37">
            <v>1302</v>
          </cell>
          <cell r="IY37">
            <v>1458</v>
          </cell>
          <cell r="IZ37">
            <v>1518</v>
          </cell>
          <cell r="JA37">
            <v>1584</v>
          </cell>
          <cell r="JB37">
            <v>1650</v>
          </cell>
          <cell r="JC37">
            <v>1716</v>
          </cell>
          <cell r="JD37">
            <v>1782</v>
          </cell>
          <cell r="JE37">
            <v>1812</v>
          </cell>
          <cell r="JF37">
            <v>1842</v>
          </cell>
          <cell r="JG37">
            <v>1872</v>
          </cell>
          <cell r="JH37">
            <v>1902</v>
          </cell>
          <cell r="JI37">
            <v>1902</v>
          </cell>
          <cell r="JJ37">
            <v>1950</v>
          </cell>
          <cell r="JK37">
            <v>1992</v>
          </cell>
          <cell r="JL37">
            <v>2034</v>
          </cell>
          <cell r="JM37">
            <v>2082</v>
          </cell>
          <cell r="JN37">
            <v>2130</v>
          </cell>
          <cell r="JO37">
            <v>2178</v>
          </cell>
          <cell r="JP37">
            <v>2178</v>
          </cell>
          <cell r="JQ37">
            <v>2226</v>
          </cell>
          <cell r="JR37">
            <v>2280</v>
          </cell>
          <cell r="JS37">
            <v>2334</v>
          </cell>
          <cell r="JT37">
            <v>2388</v>
          </cell>
          <cell r="JU37">
            <v>2436</v>
          </cell>
          <cell r="JV37">
            <v>2490</v>
          </cell>
          <cell r="JW37">
            <v>2544</v>
          </cell>
          <cell r="JX37">
            <v>2598</v>
          </cell>
          <cell r="JY37">
            <v>2646</v>
          </cell>
          <cell r="JZ37">
            <v>2694</v>
          </cell>
          <cell r="KA37">
            <v>2742</v>
          </cell>
          <cell r="KB37">
            <v>2790</v>
          </cell>
          <cell r="KC37">
            <v>2832</v>
          </cell>
          <cell r="KD37">
            <v>2874</v>
          </cell>
          <cell r="KE37">
            <v>2922</v>
          </cell>
          <cell r="KF37">
            <v>2970</v>
          </cell>
          <cell r="KG37">
            <v>3012</v>
          </cell>
          <cell r="KH37">
            <v>3054</v>
          </cell>
        </row>
        <row r="38">
          <cell r="D38" t="str">
            <v>82116-0ZW90</v>
          </cell>
          <cell r="F38" t="str">
            <v>A01</v>
          </cell>
          <cell r="G38" t="str">
            <v>QTY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450</v>
          </cell>
          <cell r="AN38">
            <v>978</v>
          </cell>
          <cell r="AO38">
            <v>630</v>
          </cell>
          <cell r="AP38">
            <v>750</v>
          </cell>
          <cell r="AQ38">
            <v>480</v>
          </cell>
          <cell r="AR38">
            <v>378</v>
          </cell>
          <cell r="AS38">
            <v>384</v>
          </cell>
          <cell r="AT38">
            <v>312</v>
          </cell>
          <cell r="AU38">
            <v>258</v>
          </cell>
          <cell r="AV38">
            <v>300</v>
          </cell>
          <cell r="AW38">
            <v>264</v>
          </cell>
          <cell r="AX38">
            <v>264</v>
          </cell>
          <cell r="AY38">
            <v>144</v>
          </cell>
          <cell r="AZ38">
            <v>312</v>
          </cell>
          <cell r="BA38">
            <v>444</v>
          </cell>
          <cell r="BB38">
            <v>336</v>
          </cell>
          <cell r="BC38">
            <v>318</v>
          </cell>
          <cell r="BD38">
            <v>270</v>
          </cell>
          <cell r="BE38">
            <v>384</v>
          </cell>
          <cell r="BF38">
            <v>360</v>
          </cell>
          <cell r="BG38">
            <v>450</v>
          </cell>
          <cell r="BH38">
            <v>498</v>
          </cell>
          <cell r="BI38">
            <v>390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90</v>
          </cell>
          <cell r="GO38">
            <v>90</v>
          </cell>
          <cell r="GP38">
            <v>90</v>
          </cell>
          <cell r="GQ38">
            <v>90</v>
          </cell>
          <cell r="GR38">
            <v>90</v>
          </cell>
          <cell r="GS38">
            <v>246</v>
          </cell>
          <cell r="GT38">
            <v>246</v>
          </cell>
          <cell r="GU38">
            <v>246</v>
          </cell>
          <cell r="GV38">
            <v>240</v>
          </cell>
          <cell r="GW38">
            <v>162</v>
          </cell>
          <cell r="GX38">
            <v>156</v>
          </cell>
          <cell r="GY38">
            <v>156</v>
          </cell>
          <cell r="GZ38">
            <v>156</v>
          </cell>
          <cell r="HA38">
            <v>150</v>
          </cell>
          <cell r="HB38">
            <v>150</v>
          </cell>
          <cell r="HC38">
            <v>150</v>
          </cell>
          <cell r="HD38">
            <v>150</v>
          </cell>
          <cell r="HE38">
            <v>150</v>
          </cell>
          <cell r="HF38">
            <v>162</v>
          </cell>
          <cell r="HH38">
            <v>162</v>
          </cell>
          <cell r="HI38">
            <v>156</v>
          </cell>
          <cell r="HJ38">
            <v>96</v>
          </cell>
          <cell r="HK38">
            <v>96</v>
          </cell>
          <cell r="HL38">
            <v>96</v>
          </cell>
          <cell r="HM38">
            <v>90</v>
          </cell>
          <cell r="HN38">
            <v>96</v>
          </cell>
          <cell r="HO38">
            <v>96</v>
          </cell>
          <cell r="HP38">
            <v>96</v>
          </cell>
          <cell r="HQ38">
            <v>96</v>
          </cell>
          <cell r="HR38">
            <v>78</v>
          </cell>
          <cell r="HS38">
            <v>78</v>
          </cell>
          <cell r="HT38">
            <v>78</v>
          </cell>
          <cell r="HU38">
            <v>78</v>
          </cell>
          <cell r="HW38">
            <v>66</v>
          </cell>
          <cell r="HX38">
            <v>66</v>
          </cell>
          <cell r="HY38">
            <v>66</v>
          </cell>
          <cell r="HZ38">
            <v>60</v>
          </cell>
          <cell r="IA38">
            <v>78</v>
          </cell>
          <cell r="IB38">
            <v>78</v>
          </cell>
          <cell r="IC38">
            <v>72</v>
          </cell>
          <cell r="ID38">
            <v>72</v>
          </cell>
          <cell r="IE38">
            <v>54</v>
          </cell>
          <cell r="IF38">
            <v>54</v>
          </cell>
          <cell r="IG38">
            <v>54</v>
          </cell>
          <cell r="IH38">
            <v>54</v>
          </cell>
          <cell r="II38">
            <v>48</v>
          </cell>
          <cell r="IK38">
            <v>90</v>
          </cell>
          <cell r="IL38">
            <v>90</v>
          </cell>
          <cell r="IM38">
            <v>84</v>
          </cell>
          <cell r="IN38">
            <v>42</v>
          </cell>
          <cell r="IO38">
            <v>42</v>
          </cell>
          <cell r="IP38">
            <v>30</v>
          </cell>
          <cell r="IQ38">
            <v>30</v>
          </cell>
          <cell r="IR38">
            <v>78</v>
          </cell>
          <cell r="IS38">
            <v>78</v>
          </cell>
          <cell r="IT38">
            <v>78</v>
          </cell>
          <cell r="IU38">
            <v>78</v>
          </cell>
          <cell r="IV38">
            <v>72</v>
          </cell>
          <cell r="IW38">
            <v>96</v>
          </cell>
          <cell r="IX38">
            <v>96</v>
          </cell>
          <cell r="IY38">
            <v>96</v>
          </cell>
          <cell r="IZ38">
            <v>84</v>
          </cell>
          <cell r="JA38">
            <v>84</v>
          </cell>
          <cell r="JB38">
            <v>84</v>
          </cell>
          <cell r="JC38">
            <v>84</v>
          </cell>
          <cell r="JD38">
            <v>84</v>
          </cell>
          <cell r="JE38">
            <v>84</v>
          </cell>
          <cell r="JF38">
            <v>78</v>
          </cell>
          <cell r="JG38">
            <v>78</v>
          </cell>
          <cell r="JH38">
            <v>78</v>
          </cell>
          <cell r="JI38">
            <v>0</v>
          </cell>
          <cell r="JJ38">
            <v>90</v>
          </cell>
          <cell r="JK38">
            <v>90</v>
          </cell>
          <cell r="JL38">
            <v>90</v>
          </cell>
          <cell r="JM38">
            <v>96</v>
          </cell>
          <cell r="JN38">
            <v>96</v>
          </cell>
          <cell r="JO38">
            <v>96</v>
          </cell>
          <cell r="JP38">
            <v>0</v>
          </cell>
          <cell r="JQ38">
            <v>96</v>
          </cell>
          <cell r="JR38">
            <v>90</v>
          </cell>
          <cell r="JS38">
            <v>90</v>
          </cell>
          <cell r="JT38">
            <v>90</v>
          </cell>
          <cell r="JU38">
            <v>90</v>
          </cell>
          <cell r="JV38">
            <v>114</v>
          </cell>
          <cell r="JW38">
            <v>114</v>
          </cell>
          <cell r="JX38">
            <v>114</v>
          </cell>
          <cell r="JY38">
            <v>108</v>
          </cell>
          <cell r="JZ38">
            <v>102</v>
          </cell>
          <cell r="KA38">
            <v>102</v>
          </cell>
          <cell r="KB38">
            <v>102</v>
          </cell>
          <cell r="KC38">
            <v>96</v>
          </cell>
          <cell r="KD38">
            <v>96</v>
          </cell>
          <cell r="KE38">
            <v>102</v>
          </cell>
          <cell r="KF38">
            <v>96</v>
          </cell>
          <cell r="KG38">
            <v>96</v>
          </cell>
          <cell r="KH38">
            <v>96</v>
          </cell>
        </row>
        <row r="39">
          <cell r="G39" t="str">
            <v>CUM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450</v>
          </cell>
          <cell r="AN39">
            <v>1428</v>
          </cell>
          <cell r="AO39">
            <v>2058</v>
          </cell>
          <cell r="AP39">
            <v>2808</v>
          </cell>
          <cell r="AQ39">
            <v>3288</v>
          </cell>
          <cell r="AR39">
            <v>3666</v>
          </cell>
          <cell r="AS39">
            <v>4050</v>
          </cell>
          <cell r="AT39">
            <v>4362</v>
          </cell>
          <cell r="AU39">
            <v>4620</v>
          </cell>
          <cell r="AV39">
            <v>4920</v>
          </cell>
          <cell r="AW39">
            <v>5184</v>
          </cell>
          <cell r="AX39">
            <v>5448</v>
          </cell>
          <cell r="AY39">
            <v>5592</v>
          </cell>
          <cell r="AZ39">
            <v>5904</v>
          </cell>
          <cell r="BA39">
            <v>6348</v>
          </cell>
          <cell r="BB39">
            <v>6684</v>
          </cell>
          <cell r="BC39">
            <v>7002</v>
          </cell>
          <cell r="BD39">
            <v>7272</v>
          </cell>
          <cell r="BE39">
            <v>7656</v>
          </cell>
          <cell r="BF39">
            <v>8016</v>
          </cell>
          <cell r="BG39">
            <v>8466</v>
          </cell>
          <cell r="BH39">
            <v>8964</v>
          </cell>
          <cell r="BI39">
            <v>9354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90</v>
          </cell>
          <cell r="GO39">
            <v>180</v>
          </cell>
          <cell r="GP39">
            <v>270</v>
          </cell>
          <cell r="GQ39">
            <v>360</v>
          </cell>
          <cell r="GR39">
            <v>450</v>
          </cell>
          <cell r="GS39">
            <v>696</v>
          </cell>
          <cell r="GT39">
            <v>942</v>
          </cell>
          <cell r="GU39">
            <v>1188</v>
          </cell>
          <cell r="GV39">
            <v>1428</v>
          </cell>
          <cell r="GW39">
            <v>1590</v>
          </cell>
          <cell r="GX39">
            <v>1746</v>
          </cell>
          <cell r="GY39">
            <v>1902</v>
          </cell>
          <cell r="GZ39">
            <v>2058</v>
          </cell>
          <cell r="HA39">
            <v>2208</v>
          </cell>
          <cell r="HB39">
            <v>2358</v>
          </cell>
          <cell r="HC39">
            <v>2508</v>
          </cell>
          <cell r="HD39">
            <v>2658</v>
          </cell>
          <cell r="HE39">
            <v>2808</v>
          </cell>
          <cell r="HF39">
            <v>2970</v>
          </cell>
          <cell r="HG39">
            <v>2970</v>
          </cell>
          <cell r="HH39">
            <v>3132</v>
          </cell>
          <cell r="HI39">
            <v>3288</v>
          </cell>
          <cell r="HJ39">
            <v>3384</v>
          </cell>
          <cell r="HK39">
            <v>3480</v>
          </cell>
          <cell r="HL39">
            <v>3576</v>
          </cell>
          <cell r="HM39">
            <v>3666</v>
          </cell>
          <cell r="HN39">
            <v>3762</v>
          </cell>
          <cell r="HO39">
            <v>3858</v>
          </cell>
          <cell r="HP39">
            <v>3954</v>
          </cell>
          <cell r="HQ39">
            <v>4050</v>
          </cell>
          <cell r="HR39">
            <v>4128</v>
          </cell>
          <cell r="HS39">
            <v>4206</v>
          </cell>
          <cell r="HT39">
            <v>4284</v>
          </cell>
          <cell r="HU39">
            <v>4362</v>
          </cell>
          <cell r="HV39">
            <v>4362</v>
          </cell>
          <cell r="HW39">
            <v>4428</v>
          </cell>
          <cell r="HX39">
            <v>4494</v>
          </cell>
          <cell r="HY39">
            <v>4560</v>
          </cell>
          <cell r="HZ39">
            <v>4620</v>
          </cell>
          <cell r="IA39">
            <v>4698</v>
          </cell>
          <cell r="IB39">
            <v>4776</v>
          </cell>
          <cell r="IC39">
            <v>4848</v>
          </cell>
          <cell r="ID39">
            <v>4920</v>
          </cell>
          <cell r="IE39">
            <v>4974</v>
          </cell>
          <cell r="IF39">
            <v>5028</v>
          </cell>
          <cell r="IG39">
            <v>5082</v>
          </cell>
          <cell r="IH39">
            <v>5136</v>
          </cell>
          <cell r="II39">
            <v>5184</v>
          </cell>
          <cell r="IJ39">
            <v>5184</v>
          </cell>
          <cell r="IK39">
            <v>5274</v>
          </cell>
          <cell r="IL39">
            <v>5364</v>
          </cell>
          <cell r="IM39">
            <v>5448</v>
          </cell>
          <cell r="IN39">
            <v>5490</v>
          </cell>
          <cell r="IO39">
            <v>5532</v>
          </cell>
          <cell r="IP39">
            <v>5562</v>
          </cell>
          <cell r="IQ39">
            <v>5592</v>
          </cell>
          <cell r="IR39">
            <v>5670</v>
          </cell>
          <cell r="IS39">
            <v>5748</v>
          </cell>
          <cell r="IT39">
            <v>5826</v>
          </cell>
          <cell r="IU39">
            <v>5904</v>
          </cell>
          <cell r="IV39">
            <v>5976</v>
          </cell>
          <cell r="IW39">
            <v>6072</v>
          </cell>
          <cell r="IX39">
            <v>6168</v>
          </cell>
          <cell r="IY39">
            <v>6264</v>
          </cell>
          <cell r="IZ39">
            <v>6348</v>
          </cell>
          <cell r="JA39">
            <v>6432</v>
          </cell>
          <cell r="JB39">
            <v>6516</v>
          </cell>
          <cell r="JC39">
            <v>6600</v>
          </cell>
          <cell r="JD39">
            <v>6684</v>
          </cell>
          <cell r="JE39">
            <v>6768</v>
          </cell>
          <cell r="JF39">
            <v>6846</v>
          </cell>
          <cell r="JG39">
            <v>6924</v>
          </cell>
          <cell r="JH39">
            <v>7002</v>
          </cell>
          <cell r="JI39">
            <v>7002</v>
          </cell>
          <cell r="JJ39">
            <v>7092</v>
          </cell>
          <cell r="JK39">
            <v>7182</v>
          </cell>
          <cell r="JL39">
            <v>7272</v>
          </cell>
          <cell r="JM39">
            <v>7368</v>
          </cell>
          <cell r="JN39">
            <v>7464</v>
          </cell>
          <cell r="JO39">
            <v>7560</v>
          </cell>
          <cell r="JP39">
            <v>7560</v>
          </cell>
          <cell r="JQ39">
            <v>7656</v>
          </cell>
          <cell r="JR39">
            <v>7746</v>
          </cell>
          <cell r="JS39">
            <v>7836</v>
          </cell>
          <cell r="JT39">
            <v>7926</v>
          </cell>
          <cell r="JU39">
            <v>8016</v>
          </cell>
          <cell r="JV39">
            <v>8130</v>
          </cell>
          <cell r="JW39">
            <v>8244</v>
          </cell>
          <cell r="JX39">
            <v>8358</v>
          </cell>
          <cell r="JY39">
            <v>8466</v>
          </cell>
          <cell r="JZ39">
            <v>8568</v>
          </cell>
          <cell r="KA39">
            <v>8670</v>
          </cell>
          <cell r="KB39">
            <v>8772</v>
          </cell>
          <cell r="KC39">
            <v>8868</v>
          </cell>
          <cell r="KD39">
            <v>8964</v>
          </cell>
          <cell r="KE39">
            <v>9066</v>
          </cell>
          <cell r="KF39">
            <v>9162</v>
          </cell>
          <cell r="KG39">
            <v>9258</v>
          </cell>
          <cell r="KH39">
            <v>9354</v>
          </cell>
        </row>
        <row r="40">
          <cell r="D40" t="str">
            <v>82116-0ZX70</v>
          </cell>
          <cell r="F40" t="str">
            <v>A01</v>
          </cell>
          <cell r="G40" t="str">
            <v>QTY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6</v>
          </cell>
          <cell r="AN40">
            <v>6</v>
          </cell>
          <cell r="AO40">
            <v>18</v>
          </cell>
          <cell r="AP40">
            <v>18</v>
          </cell>
          <cell r="AQ40">
            <v>12</v>
          </cell>
          <cell r="AR40">
            <v>12</v>
          </cell>
          <cell r="AS40">
            <v>0</v>
          </cell>
          <cell r="AT40">
            <v>0</v>
          </cell>
          <cell r="AU40">
            <v>0</v>
          </cell>
          <cell r="AV40">
            <v>12</v>
          </cell>
          <cell r="AW40">
            <v>12</v>
          </cell>
          <cell r="AX40">
            <v>18</v>
          </cell>
          <cell r="AY40">
            <v>6</v>
          </cell>
          <cell r="AZ40">
            <v>6</v>
          </cell>
          <cell r="BA40">
            <v>0</v>
          </cell>
          <cell r="BB40">
            <v>6</v>
          </cell>
          <cell r="BC40">
            <v>6</v>
          </cell>
          <cell r="BD40">
            <v>12</v>
          </cell>
          <cell r="BE40">
            <v>0</v>
          </cell>
          <cell r="BF40">
            <v>6</v>
          </cell>
          <cell r="BG40">
            <v>6</v>
          </cell>
          <cell r="BH40">
            <v>6</v>
          </cell>
          <cell r="BI40">
            <v>6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6</v>
          </cell>
          <cell r="GO40">
            <v>0</v>
          </cell>
          <cell r="GP40">
            <v>0</v>
          </cell>
          <cell r="GQ40">
            <v>0</v>
          </cell>
          <cell r="GS40">
            <v>6</v>
          </cell>
          <cell r="GT40">
            <v>0</v>
          </cell>
          <cell r="GU40">
            <v>0</v>
          </cell>
          <cell r="GV40">
            <v>0</v>
          </cell>
          <cell r="GW40">
            <v>18</v>
          </cell>
          <cell r="GX40">
            <v>0</v>
          </cell>
          <cell r="GY40">
            <v>0</v>
          </cell>
          <cell r="GZ40">
            <v>0</v>
          </cell>
          <cell r="HA40">
            <v>18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12</v>
          </cell>
          <cell r="HH40">
            <v>0</v>
          </cell>
          <cell r="HI40">
            <v>0</v>
          </cell>
          <cell r="HJ40">
            <v>12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12</v>
          </cell>
          <cell r="IB40">
            <v>0</v>
          </cell>
          <cell r="IC40">
            <v>0</v>
          </cell>
          <cell r="ID40">
            <v>0</v>
          </cell>
          <cell r="IE40">
            <v>12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K40">
            <v>18</v>
          </cell>
          <cell r="IL40">
            <v>0</v>
          </cell>
          <cell r="IM40">
            <v>0</v>
          </cell>
          <cell r="IN40">
            <v>6</v>
          </cell>
          <cell r="IO40">
            <v>0</v>
          </cell>
          <cell r="IP40">
            <v>0</v>
          </cell>
          <cell r="IQ40">
            <v>0</v>
          </cell>
          <cell r="IR40">
            <v>6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6</v>
          </cell>
          <cell r="JB40">
            <v>0</v>
          </cell>
          <cell r="JC40">
            <v>0</v>
          </cell>
          <cell r="JD40">
            <v>0</v>
          </cell>
          <cell r="JE40">
            <v>6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12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6</v>
          </cell>
          <cell r="JS40">
            <v>0</v>
          </cell>
          <cell r="JT40">
            <v>0</v>
          </cell>
          <cell r="JU40">
            <v>0</v>
          </cell>
          <cell r="JV40">
            <v>6</v>
          </cell>
          <cell r="JW40">
            <v>0</v>
          </cell>
          <cell r="JX40">
            <v>0</v>
          </cell>
          <cell r="JY40">
            <v>0</v>
          </cell>
          <cell r="JZ40">
            <v>6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E40">
            <v>6</v>
          </cell>
          <cell r="KF40">
            <v>0</v>
          </cell>
          <cell r="KG40">
            <v>0</v>
          </cell>
          <cell r="KH40">
            <v>0</v>
          </cell>
        </row>
        <row r="41">
          <cell r="G41" t="str">
            <v>CUM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6</v>
          </cell>
          <cell r="AN41">
            <v>12</v>
          </cell>
          <cell r="AO41">
            <v>30</v>
          </cell>
          <cell r="AP41">
            <v>48</v>
          </cell>
          <cell r="AQ41">
            <v>60</v>
          </cell>
          <cell r="AR41">
            <v>72</v>
          </cell>
          <cell r="AS41">
            <v>72</v>
          </cell>
          <cell r="AT41">
            <v>72</v>
          </cell>
          <cell r="AU41">
            <v>72</v>
          </cell>
          <cell r="AV41">
            <v>84</v>
          </cell>
          <cell r="AW41">
            <v>96</v>
          </cell>
          <cell r="AX41">
            <v>114</v>
          </cell>
          <cell r="AY41">
            <v>120</v>
          </cell>
          <cell r="AZ41">
            <v>126</v>
          </cell>
          <cell r="BA41">
            <v>126</v>
          </cell>
          <cell r="BB41">
            <v>132</v>
          </cell>
          <cell r="BC41">
            <v>138</v>
          </cell>
          <cell r="BD41">
            <v>150</v>
          </cell>
          <cell r="BE41">
            <v>150</v>
          </cell>
          <cell r="BF41">
            <v>156</v>
          </cell>
          <cell r="BG41">
            <v>162</v>
          </cell>
          <cell r="BH41">
            <v>168</v>
          </cell>
          <cell r="BI41">
            <v>174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6</v>
          </cell>
          <cell r="GO41">
            <v>6</v>
          </cell>
          <cell r="GP41">
            <v>6</v>
          </cell>
          <cell r="GQ41">
            <v>6</v>
          </cell>
          <cell r="GR41">
            <v>6</v>
          </cell>
          <cell r="GS41">
            <v>12</v>
          </cell>
          <cell r="GT41">
            <v>12</v>
          </cell>
          <cell r="GU41">
            <v>12</v>
          </cell>
          <cell r="GV41">
            <v>12</v>
          </cell>
          <cell r="GW41">
            <v>30</v>
          </cell>
          <cell r="GX41">
            <v>30</v>
          </cell>
          <cell r="GY41">
            <v>30</v>
          </cell>
          <cell r="GZ41">
            <v>30</v>
          </cell>
          <cell r="HA41">
            <v>48</v>
          </cell>
          <cell r="HB41">
            <v>48</v>
          </cell>
          <cell r="HC41">
            <v>48</v>
          </cell>
          <cell r="HD41">
            <v>48</v>
          </cell>
          <cell r="HE41">
            <v>48</v>
          </cell>
          <cell r="HF41">
            <v>60</v>
          </cell>
          <cell r="HG41">
            <v>60</v>
          </cell>
          <cell r="HH41">
            <v>60</v>
          </cell>
          <cell r="HI41">
            <v>60</v>
          </cell>
          <cell r="HJ41">
            <v>72</v>
          </cell>
          <cell r="HK41">
            <v>72</v>
          </cell>
          <cell r="HL41">
            <v>72</v>
          </cell>
          <cell r="HM41">
            <v>72</v>
          </cell>
          <cell r="HN41">
            <v>72</v>
          </cell>
          <cell r="HO41">
            <v>72</v>
          </cell>
          <cell r="HP41">
            <v>72</v>
          </cell>
          <cell r="HQ41">
            <v>72</v>
          </cell>
          <cell r="HR41">
            <v>72</v>
          </cell>
          <cell r="HS41">
            <v>72</v>
          </cell>
          <cell r="HT41">
            <v>72</v>
          </cell>
          <cell r="HU41">
            <v>72</v>
          </cell>
          <cell r="HV41">
            <v>72</v>
          </cell>
          <cell r="HW41">
            <v>72</v>
          </cell>
          <cell r="HX41">
            <v>72</v>
          </cell>
          <cell r="HY41">
            <v>72</v>
          </cell>
          <cell r="HZ41">
            <v>72</v>
          </cell>
          <cell r="IA41">
            <v>84</v>
          </cell>
          <cell r="IB41">
            <v>84</v>
          </cell>
          <cell r="IC41">
            <v>84</v>
          </cell>
          <cell r="ID41">
            <v>84</v>
          </cell>
          <cell r="IE41">
            <v>96</v>
          </cell>
          <cell r="IF41">
            <v>96</v>
          </cell>
          <cell r="IG41">
            <v>96</v>
          </cell>
          <cell r="IH41">
            <v>96</v>
          </cell>
          <cell r="II41">
            <v>96</v>
          </cell>
          <cell r="IJ41">
            <v>96</v>
          </cell>
          <cell r="IK41">
            <v>114</v>
          </cell>
          <cell r="IL41">
            <v>114</v>
          </cell>
          <cell r="IM41">
            <v>114</v>
          </cell>
          <cell r="IN41">
            <v>120</v>
          </cell>
          <cell r="IO41">
            <v>120</v>
          </cell>
          <cell r="IP41">
            <v>120</v>
          </cell>
          <cell r="IQ41">
            <v>120</v>
          </cell>
          <cell r="IR41">
            <v>126</v>
          </cell>
          <cell r="IS41">
            <v>126</v>
          </cell>
          <cell r="IT41">
            <v>126</v>
          </cell>
          <cell r="IU41">
            <v>126</v>
          </cell>
          <cell r="IV41">
            <v>126</v>
          </cell>
          <cell r="IW41">
            <v>126</v>
          </cell>
          <cell r="IX41">
            <v>126</v>
          </cell>
          <cell r="IY41">
            <v>126</v>
          </cell>
          <cell r="IZ41">
            <v>126</v>
          </cell>
          <cell r="JA41">
            <v>132</v>
          </cell>
          <cell r="JB41">
            <v>132</v>
          </cell>
          <cell r="JC41">
            <v>132</v>
          </cell>
          <cell r="JD41">
            <v>132</v>
          </cell>
          <cell r="JE41">
            <v>138</v>
          </cell>
          <cell r="JF41">
            <v>138</v>
          </cell>
          <cell r="JG41">
            <v>138</v>
          </cell>
          <cell r="JH41">
            <v>138</v>
          </cell>
          <cell r="JI41">
            <v>138</v>
          </cell>
          <cell r="JJ41">
            <v>150</v>
          </cell>
          <cell r="JK41">
            <v>150</v>
          </cell>
          <cell r="JL41">
            <v>150</v>
          </cell>
          <cell r="JM41">
            <v>150</v>
          </cell>
          <cell r="JN41">
            <v>150</v>
          </cell>
          <cell r="JO41">
            <v>150</v>
          </cell>
          <cell r="JP41">
            <v>150</v>
          </cell>
          <cell r="JQ41">
            <v>150</v>
          </cell>
          <cell r="JR41">
            <v>156</v>
          </cell>
          <cell r="JS41">
            <v>156</v>
          </cell>
          <cell r="JT41">
            <v>156</v>
          </cell>
          <cell r="JU41">
            <v>156</v>
          </cell>
          <cell r="JV41">
            <v>162</v>
          </cell>
          <cell r="JW41">
            <v>162</v>
          </cell>
          <cell r="JX41">
            <v>162</v>
          </cell>
          <cell r="JY41">
            <v>162</v>
          </cell>
          <cell r="JZ41">
            <v>168</v>
          </cell>
          <cell r="KA41">
            <v>168</v>
          </cell>
          <cell r="KB41">
            <v>168</v>
          </cell>
          <cell r="KC41">
            <v>168</v>
          </cell>
          <cell r="KD41">
            <v>168</v>
          </cell>
          <cell r="KE41">
            <v>174</v>
          </cell>
          <cell r="KF41">
            <v>174</v>
          </cell>
          <cell r="KG41">
            <v>174</v>
          </cell>
          <cell r="KH41">
            <v>174</v>
          </cell>
        </row>
        <row r="42">
          <cell r="D42" t="str">
            <v>82116-0ZX90</v>
          </cell>
          <cell r="F42" t="str">
            <v>A01</v>
          </cell>
          <cell r="G42" t="str">
            <v>QTY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66</v>
          </cell>
          <cell r="AN42">
            <v>84</v>
          </cell>
          <cell r="AO42">
            <v>150</v>
          </cell>
          <cell r="AP42">
            <v>84</v>
          </cell>
          <cell r="AQ42">
            <v>66</v>
          </cell>
          <cell r="AR42">
            <v>54</v>
          </cell>
          <cell r="AS42">
            <v>54</v>
          </cell>
          <cell r="AT42">
            <v>36</v>
          </cell>
          <cell r="AU42">
            <v>54</v>
          </cell>
          <cell r="AV42">
            <v>36</v>
          </cell>
          <cell r="AW42">
            <v>72</v>
          </cell>
          <cell r="AX42">
            <v>48</v>
          </cell>
          <cell r="AY42">
            <v>42</v>
          </cell>
          <cell r="AZ42">
            <v>84</v>
          </cell>
          <cell r="BA42">
            <v>126</v>
          </cell>
          <cell r="BB42">
            <v>138</v>
          </cell>
          <cell r="BC42">
            <v>102</v>
          </cell>
          <cell r="BD42">
            <v>84</v>
          </cell>
          <cell r="BE42">
            <v>12</v>
          </cell>
          <cell r="BF42">
            <v>30</v>
          </cell>
          <cell r="BG42">
            <v>30</v>
          </cell>
          <cell r="BH42">
            <v>30</v>
          </cell>
          <cell r="BI42">
            <v>24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18</v>
          </cell>
          <cell r="GO42">
            <v>12</v>
          </cell>
          <cell r="GP42">
            <v>12</v>
          </cell>
          <cell r="GQ42">
            <v>12</v>
          </cell>
          <cell r="GR42">
            <v>12</v>
          </cell>
          <cell r="GS42">
            <v>24</v>
          </cell>
          <cell r="GT42">
            <v>24</v>
          </cell>
          <cell r="GU42">
            <v>18</v>
          </cell>
          <cell r="GV42">
            <v>18</v>
          </cell>
          <cell r="GW42">
            <v>42</v>
          </cell>
          <cell r="GX42">
            <v>36</v>
          </cell>
          <cell r="GY42">
            <v>36</v>
          </cell>
          <cell r="GZ42">
            <v>36</v>
          </cell>
          <cell r="HA42">
            <v>18</v>
          </cell>
          <cell r="HB42">
            <v>18</v>
          </cell>
          <cell r="HC42">
            <v>18</v>
          </cell>
          <cell r="HD42">
            <v>18</v>
          </cell>
          <cell r="HE42">
            <v>12</v>
          </cell>
          <cell r="HF42">
            <v>24</v>
          </cell>
          <cell r="HH42">
            <v>24</v>
          </cell>
          <cell r="HI42">
            <v>18</v>
          </cell>
          <cell r="HJ42">
            <v>18</v>
          </cell>
          <cell r="HK42">
            <v>12</v>
          </cell>
          <cell r="HL42">
            <v>12</v>
          </cell>
          <cell r="HM42">
            <v>12</v>
          </cell>
          <cell r="HN42">
            <v>18</v>
          </cell>
          <cell r="HO42">
            <v>12</v>
          </cell>
          <cell r="HP42">
            <v>12</v>
          </cell>
          <cell r="HQ42">
            <v>12</v>
          </cell>
          <cell r="HR42">
            <v>18</v>
          </cell>
          <cell r="HS42">
            <v>18</v>
          </cell>
          <cell r="HT42">
            <v>0</v>
          </cell>
          <cell r="HU42">
            <v>0</v>
          </cell>
          <cell r="HW42">
            <v>18</v>
          </cell>
          <cell r="HX42">
            <v>12</v>
          </cell>
          <cell r="HY42">
            <v>12</v>
          </cell>
          <cell r="HZ42">
            <v>12</v>
          </cell>
          <cell r="IA42">
            <v>12</v>
          </cell>
          <cell r="IB42">
            <v>12</v>
          </cell>
          <cell r="IC42">
            <v>12</v>
          </cell>
          <cell r="ID42">
            <v>0</v>
          </cell>
          <cell r="IE42">
            <v>18</v>
          </cell>
          <cell r="IF42">
            <v>18</v>
          </cell>
          <cell r="IG42">
            <v>12</v>
          </cell>
          <cell r="IH42">
            <v>12</v>
          </cell>
          <cell r="II42">
            <v>12</v>
          </cell>
          <cell r="IK42">
            <v>18</v>
          </cell>
          <cell r="IL42">
            <v>18</v>
          </cell>
          <cell r="IM42">
            <v>12</v>
          </cell>
          <cell r="IN42">
            <v>18</v>
          </cell>
          <cell r="IO42">
            <v>12</v>
          </cell>
          <cell r="IP42">
            <v>12</v>
          </cell>
          <cell r="IQ42">
            <v>0</v>
          </cell>
          <cell r="IR42">
            <v>24</v>
          </cell>
          <cell r="IS42">
            <v>24</v>
          </cell>
          <cell r="IT42">
            <v>18</v>
          </cell>
          <cell r="IU42">
            <v>18</v>
          </cell>
          <cell r="IV42">
            <v>0</v>
          </cell>
          <cell r="IW42">
            <v>30</v>
          </cell>
          <cell r="IX42">
            <v>30</v>
          </cell>
          <cell r="IY42">
            <v>30</v>
          </cell>
          <cell r="IZ42">
            <v>36</v>
          </cell>
          <cell r="JA42">
            <v>36</v>
          </cell>
          <cell r="JB42">
            <v>36</v>
          </cell>
          <cell r="JC42">
            <v>36</v>
          </cell>
          <cell r="JD42">
            <v>30</v>
          </cell>
          <cell r="JE42">
            <v>30</v>
          </cell>
          <cell r="JF42">
            <v>24</v>
          </cell>
          <cell r="JG42">
            <v>24</v>
          </cell>
          <cell r="JH42">
            <v>24</v>
          </cell>
          <cell r="JI42">
            <v>0</v>
          </cell>
          <cell r="JJ42">
            <v>30</v>
          </cell>
          <cell r="JK42">
            <v>30</v>
          </cell>
          <cell r="JL42">
            <v>24</v>
          </cell>
          <cell r="JM42">
            <v>12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18</v>
          </cell>
          <cell r="JS42">
            <v>12</v>
          </cell>
          <cell r="JT42">
            <v>0</v>
          </cell>
          <cell r="JU42">
            <v>0</v>
          </cell>
          <cell r="JV42">
            <v>18</v>
          </cell>
          <cell r="JW42">
            <v>12</v>
          </cell>
          <cell r="JX42">
            <v>0</v>
          </cell>
          <cell r="JY42">
            <v>0</v>
          </cell>
          <cell r="JZ42">
            <v>18</v>
          </cell>
          <cell r="KA42">
            <v>12</v>
          </cell>
          <cell r="KB42">
            <v>0</v>
          </cell>
          <cell r="KC42">
            <v>0</v>
          </cell>
          <cell r="KD42">
            <v>0</v>
          </cell>
          <cell r="KE42">
            <v>12</v>
          </cell>
          <cell r="KF42">
            <v>12</v>
          </cell>
          <cell r="KG42">
            <v>0</v>
          </cell>
          <cell r="KH42">
            <v>0</v>
          </cell>
        </row>
        <row r="43">
          <cell r="G43" t="str">
            <v>CUM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66</v>
          </cell>
          <cell r="AN43">
            <v>150</v>
          </cell>
          <cell r="AO43">
            <v>300</v>
          </cell>
          <cell r="AP43">
            <v>384</v>
          </cell>
          <cell r="AQ43">
            <v>450</v>
          </cell>
          <cell r="AR43">
            <v>504</v>
          </cell>
          <cell r="AS43">
            <v>558</v>
          </cell>
          <cell r="AT43">
            <v>594</v>
          </cell>
          <cell r="AU43">
            <v>648</v>
          </cell>
          <cell r="AV43">
            <v>684</v>
          </cell>
          <cell r="AW43">
            <v>756</v>
          </cell>
          <cell r="AX43">
            <v>804</v>
          </cell>
          <cell r="AY43">
            <v>846</v>
          </cell>
          <cell r="AZ43">
            <v>930</v>
          </cell>
          <cell r="BA43">
            <v>1056</v>
          </cell>
          <cell r="BB43">
            <v>1194</v>
          </cell>
          <cell r="BC43">
            <v>1296</v>
          </cell>
          <cell r="BD43">
            <v>1380</v>
          </cell>
          <cell r="BE43">
            <v>1392</v>
          </cell>
          <cell r="BF43">
            <v>1422</v>
          </cell>
          <cell r="BG43">
            <v>1452</v>
          </cell>
          <cell r="BH43">
            <v>1482</v>
          </cell>
          <cell r="BI43">
            <v>1506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18</v>
          </cell>
          <cell r="GO43">
            <v>30</v>
          </cell>
          <cell r="GP43">
            <v>42</v>
          </cell>
          <cell r="GQ43">
            <v>54</v>
          </cell>
          <cell r="GR43">
            <v>66</v>
          </cell>
          <cell r="GS43">
            <v>90</v>
          </cell>
          <cell r="GT43">
            <v>114</v>
          </cell>
          <cell r="GU43">
            <v>132</v>
          </cell>
          <cell r="GV43">
            <v>150</v>
          </cell>
          <cell r="GW43">
            <v>192</v>
          </cell>
          <cell r="GX43">
            <v>228</v>
          </cell>
          <cell r="GY43">
            <v>264</v>
          </cell>
          <cell r="GZ43">
            <v>300</v>
          </cell>
          <cell r="HA43">
            <v>318</v>
          </cell>
          <cell r="HB43">
            <v>336</v>
          </cell>
          <cell r="HC43">
            <v>354</v>
          </cell>
          <cell r="HD43">
            <v>372</v>
          </cell>
          <cell r="HE43">
            <v>384</v>
          </cell>
          <cell r="HF43">
            <v>408</v>
          </cell>
          <cell r="HG43">
            <v>408</v>
          </cell>
          <cell r="HH43">
            <v>432</v>
          </cell>
          <cell r="HI43">
            <v>450</v>
          </cell>
          <cell r="HJ43">
            <v>468</v>
          </cell>
          <cell r="HK43">
            <v>480</v>
          </cell>
          <cell r="HL43">
            <v>492</v>
          </cell>
          <cell r="HM43">
            <v>504</v>
          </cell>
          <cell r="HN43">
            <v>522</v>
          </cell>
          <cell r="HO43">
            <v>534</v>
          </cell>
          <cell r="HP43">
            <v>546</v>
          </cell>
          <cell r="HQ43">
            <v>558</v>
          </cell>
          <cell r="HR43">
            <v>576</v>
          </cell>
          <cell r="HS43">
            <v>594</v>
          </cell>
          <cell r="HT43">
            <v>594</v>
          </cell>
          <cell r="HU43">
            <v>594</v>
          </cell>
          <cell r="HV43">
            <v>594</v>
          </cell>
          <cell r="HW43">
            <v>612</v>
          </cell>
          <cell r="HX43">
            <v>624</v>
          </cell>
          <cell r="HY43">
            <v>636</v>
          </cell>
          <cell r="HZ43">
            <v>648</v>
          </cell>
          <cell r="IA43">
            <v>660</v>
          </cell>
          <cell r="IB43">
            <v>672</v>
          </cell>
          <cell r="IC43">
            <v>684</v>
          </cell>
          <cell r="ID43">
            <v>684</v>
          </cell>
          <cell r="IE43">
            <v>702</v>
          </cell>
          <cell r="IF43">
            <v>720</v>
          </cell>
          <cell r="IG43">
            <v>732</v>
          </cell>
          <cell r="IH43">
            <v>744</v>
          </cell>
          <cell r="II43">
            <v>756</v>
          </cell>
          <cell r="IJ43">
            <v>756</v>
          </cell>
          <cell r="IK43">
            <v>774</v>
          </cell>
          <cell r="IL43">
            <v>792</v>
          </cell>
          <cell r="IM43">
            <v>804</v>
          </cell>
          <cell r="IN43">
            <v>822</v>
          </cell>
          <cell r="IO43">
            <v>834</v>
          </cell>
          <cell r="IP43">
            <v>846</v>
          </cell>
          <cell r="IQ43">
            <v>846</v>
          </cell>
          <cell r="IR43">
            <v>870</v>
          </cell>
          <cell r="IS43">
            <v>894</v>
          </cell>
          <cell r="IT43">
            <v>912</v>
          </cell>
          <cell r="IU43">
            <v>930</v>
          </cell>
          <cell r="IV43">
            <v>930</v>
          </cell>
          <cell r="IW43">
            <v>960</v>
          </cell>
          <cell r="IX43">
            <v>990</v>
          </cell>
          <cell r="IY43">
            <v>1020</v>
          </cell>
          <cell r="IZ43">
            <v>1056</v>
          </cell>
          <cell r="JA43">
            <v>1092</v>
          </cell>
          <cell r="JB43">
            <v>1128</v>
          </cell>
          <cell r="JC43">
            <v>1164</v>
          </cell>
          <cell r="JD43">
            <v>1194</v>
          </cell>
          <cell r="JE43">
            <v>1224</v>
          </cell>
          <cell r="JF43">
            <v>1248</v>
          </cell>
          <cell r="JG43">
            <v>1272</v>
          </cell>
          <cell r="JH43">
            <v>1296</v>
          </cell>
          <cell r="JI43">
            <v>1296</v>
          </cell>
          <cell r="JJ43">
            <v>1326</v>
          </cell>
          <cell r="JK43">
            <v>1356</v>
          </cell>
          <cell r="JL43">
            <v>1380</v>
          </cell>
          <cell r="JM43">
            <v>1392</v>
          </cell>
          <cell r="JN43">
            <v>1392</v>
          </cell>
          <cell r="JO43">
            <v>1392</v>
          </cell>
          <cell r="JP43">
            <v>1392</v>
          </cell>
          <cell r="JQ43">
            <v>1392</v>
          </cell>
          <cell r="JR43">
            <v>1410</v>
          </cell>
          <cell r="JS43">
            <v>1422</v>
          </cell>
          <cell r="JT43">
            <v>1422</v>
          </cell>
          <cell r="JU43">
            <v>1422</v>
          </cell>
          <cell r="JV43">
            <v>1440</v>
          </cell>
          <cell r="JW43">
            <v>1452</v>
          </cell>
          <cell r="JX43">
            <v>1452</v>
          </cell>
          <cell r="JY43">
            <v>1452</v>
          </cell>
          <cell r="JZ43">
            <v>1470</v>
          </cell>
          <cell r="KA43">
            <v>1482</v>
          </cell>
          <cell r="KB43">
            <v>1482</v>
          </cell>
          <cell r="KC43">
            <v>1482</v>
          </cell>
          <cell r="KD43">
            <v>1482</v>
          </cell>
          <cell r="KE43">
            <v>1494</v>
          </cell>
          <cell r="KF43">
            <v>1506</v>
          </cell>
          <cell r="KG43">
            <v>1506</v>
          </cell>
          <cell r="KH43">
            <v>1506</v>
          </cell>
        </row>
        <row r="44">
          <cell r="D44" t="str">
            <v>82116-0ZY00</v>
          </cell>
          <cell r="F44" t="str">
            <v>A01</v>
          </cell>
          <cell r="G44" t="str">
            <v>QTY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600</v>
          </cell>
          <cell r="AN44">
            <v>1008</v>
          </cell>
          <cell r="AO44">
            <v>1194</v>
          </cell>
          <cell r="AP44">
            <v>1296</v>
          </cell>
          <cell r="AQ44">
            <v>1524</v>
          </cell>
          <cell r="AR44">
            <v>1494</v>
          </cell>
          <cell r="AS44">
            <v>1296</v>
          </cell>
          <cell r="AT44">
            <v>348</v>
          </cell>
          <cell r="AU44">
            <v>606</v>
          </cell>
          <cell r="AV44">
            <v>510</v>
          </cell>
          <cell r="AW44">
            <v>462</v>
          </cell>
          <cell r="AX44">
            <v>642</v>
          </cell>
          <cell r="AY44">
            <v>864</v>
          </cell>
          <cell r="AZ44">
            <v>744</v>
          </cell>
          <cell r="BA44">
            <v>1032</v>
          </cell>
          <cell r="BB44">
            <v>804</v>
          </cell>
          <cell r="BC44">
            <v>714</v>
          </cell>
          <cell r="BD44">
            <v>912</v>
          </cell>
          <cell r="BE44">
            <v>660</v>
          </cell>
          <cell r="BF44">
            <v>588</v>
          </cell>
          <cell r="BG44">
            <v>684</v>
          </cell>
          <cell r="BH44">
            <v>744</v>
          </cell>
          <cell r="BI44">
            <v>582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120</v>
          </cell>
          <cell r="GO44">
            <v>120</v>
          </cell>
          <cell r="GP44">
            <v>120</v>
          </cell>
          <cell r="GQ44">
            <v>120</v>
          </cell>
          <cell r="GR44">
            <v>120</v>
          </cell>
          <cell r="GS44">
            <v>252</v>
          </cell>
          <cell r="GT44">
            <v>252</v>
          </cell>
          <cell r="GU44">
            <v>252</v>
          </cell>
          <cell r="GV44">
            <v>252</v>
          </cell>
          <cell r="GW44">
            <v>300</v>
          </cell>
          <cell r="GX44">
            <v>300</v>
          </cell>
          <cell r="GY44">
            <v>300</v>
          </cell>
          <cell r="GZ44">
            <v>294</v>
          </cell>
          <cell r="HA44">
            <v>264</v>
          </cell>
          <cell r="HB44">
            <v>258</v>
          </cell>
          <cell r="HC44">
            <v>258</v>
          </cell>
          <cell r="HD44">
            <v>258</v>
          </cell>
          <cell r="HE44">
            <v>258</v>
          </cell>
          <cell r="HF44">
            <v>510</v>
          </cell>
          <cell r="HH44">
            <v>510</v>
          </cell>
          <cell r="HI44">
            <v>504</v>
          </cell>
          <cell r="HJ44">
            <v>378</v>
          </cell>
          <cell r="HK44">
            <v>372</v>
          </cell>
          <cell r="HL44">
            <v>372</v>
          </cell>
          <cell r="HM44">
            <v>372</v>
          </cell>
          <cell r="HN44">
            <v>324</v>
          </cell>
          <cell r="HO44">
            <v>324</v>
          </cell>
          <cell r="HP44">
            <v>324</v>
          </cell>
          <cell r="HQ44">
            <v>324</v>
          </cell>
          <cell r="HR44">
            <v>90</v>
          </cell>
          <cell r="HS44">
            <v>90</v>
          </cell>
          <cell r="HT44">
            <v>84</v>
          </cell>
          <cell r="HU44">
            <v>84</v>
          </cell>
          <cell r="HW44">
            <v>156</v>
          </cell>
          <cell r="HX44">
            <v>150</v>
          </cell>
          <cell r="HY44">
            <v>150</v>
          </cell>
          <cell r="HZ44">
            <v>150</v>
          </cell>
          <cell r="IA44">
            <v>132</v>
          </cell>
          <cell r="IB44">
            <v>126</v>
          </cell>
          <cell r="IC44">
            <v>126</v>
          </cell>
          <cell r="ID44">
            <v>126</v>
          </cell>
          <cell r="IE44">
            <v>96</v>
          </cell>
          <cell r="IF44">
            <v>96</v>
          </cell>
          <cell r="IG44">
            <v>90</v>
          </cell>
          <cell r="IH44">
            <v>90</v>
          </cell>
          <cell r="II44">
            <v>90</v>
          </cell>
          <cell r="IK44">
            <v>216</v>
          </cell>
          <cell r="IL44">
            <v>216</v>
          </cell>
          <cell r="IM44">
            <v>210</v>
          </cell>
          <cell r="IN44">
            <v>234</v>
          </cell>
          <cell r="IO44">
            <v>234</v>
          </cell>
          <cell r="IP44">
            <v>198</v>
          </cell>
          <cell r="IQ44">
            <v>198</v>
          </cell>
          <cell r="IR44">
            <v>246</v>
          </cell>
          <cell r="IS44">
            <v>312</v>
          </cell>
          <cell r="IT44">
            <v>96</v>
          </cell>
          <cell r="IU44">
            <v>90</v>
          </cell>
          <cell r="IV44">
            <v>312</v>
          </cell>
          <cell r="IW44">
            <v>324</v>
          </cell>
          <cell r="IX44">
            <v>222</v>
          </cell>
          <cell r="IY44">
            <v>0</v>
          </cell>
          <cell r="IZ44">
            <v>174</v>
          </cell>
          <cell r="JA44">
            <v>204</v>
          </cell>
          <cell r="JB44">
            <v>204</v>
          </cell>
          <cell r="JC44">
            <v>198</v>
          </cell>
          <cell r="JD44">
            <v>198</v>
          </cell>
          <cell r="JE44">
            <v>180</v>
          </cell>
          <cell r="JF44">
            <v>180</v>
          </cell>
          <cell r="JG44">
            <v>180</v>
          </cell>
          <cell r="JH44">
            <v>174</v>
          </cell>
          <cell r="JI44">
            <v>0</v>
          </cell>
          <cell r="JJ44">
            <v>306</v>
          </cell>
          <cell r="JK44">
            <v>306</v>
          </cell>
          <cell r="JL44">
            <v>300</v>
          </cell>
          <cell r="JM44">
            <v>168</v>
          </cell>
          <cell r="JN44">
            <v>168</v>
          </cell>
          <cell r="JO44">
            <v>162</v>
          </cell>
          <cell r="JP44">
            <v>0</v>
          </cell>
          <cell r="JQ44">
            <v>162</v>
          </cell>
          <cell r="JR44">
            <v>150</v>
          </cell>
          <cell r="JS44">
            <v>150</v>
          </cell>
          <cell r="JT44">
            <v>144</v>
          </cell>
          <cell r="JU44">
            <v>144</v>
          </cell>
          <cell r="JV44">
            <v>174</v>
          </cell>
          <cell r="JW44">
            <v>174</v>
          </cell>
          <cell r="JX44">
            <v>168</v>
          </cell>
          <cell r="JY44">
            <v>168</v>
          </cell>
          <cell r="JZ44">
            <v>150</v>
          </cell>
          <cell r="KA44">
            <v>150</v>
          </cell>
          <cell r="KB44">
            <v>150</v>
          </cell>
          <cell r="KC44">
            <v>150</v>
          </cell>
          <cell r="KD44">
            <v>144</v>
          </cell>
          <cell r="KE44">
            <v>150</v>
          </cell>
          <cell r="KF44">
            <v>144</v>
          </cell>
          <cell r="KG44">
            <v>144</v>
          </cell>
          <cell r="KH44">
            <v>144</v>
          </cell>
        </row>
        <row r="45">
          <cell r="G45" t="str">
            <v>CUM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600</v>
          </cell>
          <cell r="AN45">
            <v>1608</v>
          </cell>
          <cell r="AO45">
            <v>2802</v>
          </cell>
          <cell r="AP45">
            <v>4098</v>
          </cell>
          <cell r="AQ45">
            <v>5622</v>
          </cell>
          <cell r="AR45">
            <v>7116</v>
          </cell>
          <cell r="AS45">
            <v>8412</v>
          </cell>
          <cell r="AT45">
            <v>8760</v>
          </cell>
          <cell r="AU45">
            <v>9366</v>
          </cell>
          <cell r="AV45">
            <v>9876</v>
          </cell>
          <cell r="AW45">
            <v>10338</v>
          </cell>
          <cell r="AX45">
            <v>10980</v>
          </cell>
          <cell r="AY45">
            <v>11844</v>
          </cell>
          <cell r="AZ45">
            <v>12588</v>
          </cell>
          <cell r="BA45">
            <v>13620</v>
          </cell>
          <cell r="BB45">
            <v>14424</v>
          </cell>
          <cell r="BC45">
            <v>15138</v>
          </cell>
          <cell r="BD45">
            <v>16050</v>
          </cell>
          <cell r="BE45">
            <v>16710</v>
          </cell>
          <cell r="BF45">
            <v>17298</v>
          </cell>
          <cell r="BG45">
            <v>17982</v>
          </cell>
          <cell r="BH45">
            <v>18726</v>
          </cell>
          <cell r="BI45">
            <v>19308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120</v>
          </cell>
          <cell r="GO45">
            <v>240</v>
          </cell>
          <cell r="GP45">
            <v>360</v>
          </cell>
          <cell r="GQ45">
            <v>480</v>
          </cell>
          <cell r="GR45">
            <v>600</v>
          </cell>
          <cell r="GS45">
            <v>852</v>
          </cell>
          <cell r="GT45">
            <v>1104</v>
          </cell>
          <cell r="GU45">
            <v>1356</v>
          </cell>
          <cell r="GV45">
            <v>1608</v>
          </cell>
          <cell r="GW45">
            <v>1908</v>
          </cell>
          <cell r="GX45">
            <v>2208</v>
          </cell>
          <cell r="GY45">
            <v>2508</v>
          </cell>
          <cell r="GZ45">
            <v>2802</v>
          </cell>
          <cell r="HA45">
            <v>3066</v>
          </cell>
          <cell r="HB45">
            <v>3324</v>
          </cell>
          <cell r="HC45">
            <v>3582</v>
          </cell>
          <cell r="HD45">
            <v>3840</v>
          </cell>
          <cell r="HE45">
            <v>4098</v>
          </cell>
          <cell r="HF45">
            <v>4608</v>
          </cell>
          <cell r="HG45">
            <v>4608</v>
          </cell>
          <cell r="HH45">
            <v>5118</v>
          </cell>
          <cell r="HI45">
            <v>5622</v>
          </cell>
          <cell r="HJ45">
            <v>6000</v>
          </cell>
          <cell r="HK45">
            <v>6372</v>
          </cell>
          <cell r="HL45">
            <v>6744</v>
          </cell>
          <cell r="HM45">
            <v>7116</v>
          </cell>
          <cell r="HN45">
            <v>7440</v>
          </cell>
          <cell r="HO45">
            <v>7764</v>
          </cell>
          <cell r="HP45">
            <v>8088</v>
          </cell>
          <cell r="HQ45">
            <v>8412</v>
          </cell>
          <cell r="HR45">
            <v>8502</v>
          </cell>
          <cell r="HS45">
            <v>8592</v>
          </cell>
          <cell r="HT45">
            <v>8676</v>
          </cell>
          <cell r="HU45">
            <v>8760</v>
          </cell>
          <cell r="HV45">
            <v>8760</v>
          </cell>
          <cell r="HW45">
            <v>8916</v>
          </cell>
          <cell r="HX45">
            <v>9066</v>
          </cell>
          <cell r="HY45">
            <v>9216</v>
          </cell>
          <cell r="HZ45">
            <v>9366</v>
          </cell>
          <cell r="IA45">
            <v>9498</v>
          </cell>
          <cell r="IB45">
            <v>9624</v>
          </cell>
          <cell r="IC45">
            <v>9750</v>
          </cell>
          <cell r="ID45">
            <v>9876</v>
          </cell>
          <cell r="IE45">
            <v>9972</v>
          </cell>
          <cell r="IF45">
            <v>10068</v>
          </cell>
          <cell r="IG45">
            <v>10158</v>
          </cell>
          <cell r="IH45">
            <v>10248</v>
          </cell>
          <cell r="II45">
            <v>10338</v>
          </cell>
          <cell r="IJ45">
            <v>10338</v>
          </cell>
          <cell r="IK45">
            <v>10554</v>
          </cell>
          <cell r="IL45">
            <v>10770</v>
          </cell>
          <cell r="IM45">
            <v>10980</v>
          </cell>
          <cell r="IN45">
            <v>11214</v>
          </cell>
          <cell r="IO45">
            <v>11448</v>
          </cell>
          <cell r="IP45">
            <v>11646</v>
          </cell>
          <cell r="IQ45">
            <v>11844</v>
          </cell>
          <cell r="IR45">
            <v>12090</v>
          </cell>
          <cell r="IS45">
            <v>12402</v>
          </cell>
          <cell r="IT45">
            <v>12498</v>
          </cell>
          <cell r="IU45">
            <v>12588</v>
          </cell>
          <cell r="IV45">
            <v>12900</v>
          </cell>
          <cell r="IW45">
            <v>13224</v>
          </cell>
          <cell r="IX45">
            <v>13446</v>
          </cell>
          <cell r="IY45">
            <v>13446</v>
          </cell>
          <cell r="IZ45">
            <v>13620</v>
          </cell>
          <cell r="JA45">
            <v>13824</v>
          </cell>
          <cell r="JB45">
            <v>14028</v>
          </cell>
          <cell r="JC45">
            <v>14226</v>
          </cell>
          <cell r="JD45">
            <v>14424</v>
          </cell>
          <cell r="JE45">
            <v>14604</v>
          </cell>
          <cell r="JF45">
            <v>14784</v>
          </cell>
          <cell r="JG45">
            <v>14964</v>
          </cell>
          <cell r="JH45">
            <v>15138</v>
          </cell>
          <cell r="JI45">
            <v>15138</v>
          </cell>
          <cell r="JJ45">
            <v>15444</v>
          </cell>
          <cell r="JK45">
            <v>15750</v>
          </cell>
          <cell r="JL45">
            <v>16050</v>
          </cell>
          <cell r="JM45">
            <v>16218</v>
          </cell>
          <cell r="JN45">
            <v>16386</v>
          </cell>
          <cell r="JO45">
            <v>16548</v>
          </cell>
          <cell r="JP45">
            <v>16548</v>
          </cell>
          <cell r="JQ45">
            <v>16710</v>
          </cell>
          <cell r="JR45">
            <v>16860</v>
          </cell>
          <cell r="JS45">
            <v>17010</v>
          </cell>
          <cell r="JT45">
            <v>17154</v>
          </cell>
          <cell r="JU45">
            <v>17298</v>
          </cell>
          <cell r="JV45">
            <v>17472</v>
          </cell>
          <cell r="JW45">
            <v>17646</v>
          </cell>
          <cell r="JX45">
            <v>17814</v>
          </cell>
          <cell r="JY45">
            <v>17982</v>
          </cell>
          <cell r="JZ45">
            <v>18132</v>
          </cell>
          <cell r="KA45">
            <v>18282</v>
          </cell>
          <cell r="KB45">
            <v>18432</v>
          </cell>
          <cell r="KC45">
            <v>18582</v>
          </cell>
          <cell r="KD45">
            <v>18726</v>
          </cell>
          <cell r="KE45">
            <v>18876</v>
          </cell>
          <cell r="KF45">
            <v>19020</v>
          </cell>
          <cell r="KG45">
            <v>19164</v>
          </cell>
          <cell r="KH45">
            <v>19308</v>
          </cell>
        </row>
        <row r="46">
          <cell r="D46" t="str">
            <v>82116-0ZY10</v>
          </cell>
          <cell r="F46" t="str">
            <v>A01</v>
          </cell>
          <cell r="G46" t="str">
            <v>QTY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12</v>
          </cell>
          <cell r="AN46">
            <v>42</v>
          </cell>
          <cell r="AO46">
            <v>48</v>
          </cell>
          <cell r="AP46">
            <v>48</v>
          </cell>
          <cell r="AQ46">
            <v>66</v>
          </cell>
          <cell r="AR46">
            <v>66</v>
          </cell>
          <cell r="AS46">
            <v>126</v>
          </cell>
          <cell r="AT46">
            <v>192</v>
          </cell>
          <cell r="AU46">
            <v>150</v>
          </cell>
          <cell r="AV46">
            <v>60</v>
          </cell>
          <cell r="AW46">
            <v>30</v>
          </cell>
          <cell r="AX46">
            <v>24</v>
          </cell>
          <cell r="AY46">
            <v>48</v>
          </cell>
          <cell r="AZ46">
            <v>48</v>
          </cell>
          <cell r="BA46">
            <v>120</v>
          </cell>
          <cell r="BB46">
            <v>150</v>
          </cell>
          <cell r="BC46">
            <v>180</v>
          </cell>
          <cell r="BD46">
            <v>264</v>
          </cell>
          <cell r="BE46">
            <v>180</v>
          </cell>
          <cell r="BF46">
            <v>96</v>
          </cell>
          <cell r="BG46">
            <v>96</v>
          </cell>
          <cell r="BH46">
            <v>108</v>
          </cell>
          <cell r="BI46">
            <v>84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6</v>
          </cell>
          <cell r="GO46">
            <v>6</v>
          </cell>
          <cell r="GP46">
            <v>0</v>
          </cell>
          <cell r="GQ46">
            <v>0</v>
          </cell>
          <cell r="GS46">
            <v>12</v>
          </cell>
          <cell r="GT46">
            <v>12</v>
          </cell>
          <cell r="GU46">
            <v>12</v>
          </cell>
          <cell r="GV46">
            <v>6</v>
          </cell>
          <cell r="GW46">
            <v>12</v>
          </cell>
          <cell r="GX46">
            <v>12</v>
          </cell>
          <cell r="GY46">
            <v>12</v>
          </cell>
          <cell r="GZ46">
            <v>12</v>
          </cell>
          <cell r="HA46">
            <v>12</v>
          </cell>
          <cell r="HB46">
            <v>12</v>
          </cell>
          <cell r="HC46">
            <v>12</v>
          </cell>
          <cell r="HD46">
            <v>6</v>
          </cell>
          <cell r="HE46">
            <v>6</v>
          </cell>
          <cell r="HF46">
            <v>24</v>
          </cell>
          <cell r="HG46">
            <v>0</v>
          </cell>
          <cell r="HH46">
            <v>24</v>
          </cell>
          <cell r="HI46">
            <v>18</v>
          </cell>
          <cell r="HJ46">
            <v>18</v>
          </cell>
          <cell r="HK46">
            <v>18</v>
          </cell>
          <cell r="HL46">
            <v>18</v>
          </cell>
          <cell r="HM46">
            <v>12</v>
          </cell>
          <cell r="HN46">
            <v>36</v>
          </cell>
          <cell r="HO46">
            <v>30</v>
          </cell>
          <cell r="HP46">
            <v>30</v>
          </cell>
          <cell r="HQ46">
            <v>30</v>
          </cell>
          <cell r="HR46">
            <v>48</v>
          </cell>
          <cell r="HS46">
            <v>48</v>
          </cell>
          <cell r="HT46">
            <v>48</v>
          </cell>
          <cell r="HU46">
            <v>48</v>
          </cell>
          <cell r="HW46">
            <v>42</v>
          </cell>
          <cell r="HX46">
            <v>36</v>
          </cell>
          <cell r="HY46">
            <v>36</v>
          </cell>
          <cell r="HZ46">
            <v>36</v>
          </cell>
          <cell r="IA46">
            <v>18</v>
          </cell>
          <cell r="IB46">
            <v>18</v>
          </cell>
          <cell r="IC46">
            <v>12</v>
          </cell>
          <cell r="ID46">
            <v>12</v>
          </cell>
          <cell r="IE46">
            <v>18</v>
          </cell>
          <cell r="IF46">
            <v>12</v>
          </cell>
          <cell r="IG46">
            <v>0</v>
          </cell>
          <cell r="IH46">
            <v>0</v>
          </cell>
          <cell r="II46">
            <v>0</v>
          </cell>
          <cell r="IK46">
            <v>24</v>
          </cell>
          <cell r="IL46">
            <v>0</v>
          </cell>
          <cell r="IM46">
            <v>0</v>
          </cell>
          <cell r="IN46">
            <v>18</v>
          </cell>
          <cell r="IO46">
            <v>18</v>
          </cell>
          <cell r="IP46">
            <v>12</v>
          </cell>
          <cell r="IQ46">
            <v>0</v>
          </cell>
          <cell r="IR46">
            <v>18</v>
          </cell>
          <cell r="IS46">
            <v>18</v>
          </cell>
          <cell r="IT46">
            <v>12</v>
          </cell>
          <cell r="IU46">
            <v>0</v>
          </cell>
          <cell r="IV46">
            <v>12</v>
          </cell>
          <cell r="IW46">
            <v>18</v>
          </cell>
          <cell r="IX46">
            <v>30</v>
          </cell>
          <cell r="IY46">
            <v>30</v>
          </cell>
          <cell r="IZ46">
            <v>30</v>
          </cell>
          <cell r="JA46">
            <v>42</v>
          </cell>
          <cell r="JB46">
            <v>36</v>
          </cell>
          <cell r="JC46">
            <v>36</v>
          </cell>
          <cell r="JD46">
            <v>36</v>
          </cell>
          <cell r="JE46">
            <v>48</v>
          </cell>
          <cell r="JF46">
            <v>48</v>
          </cell>
          <cell r="JG46">
            <v>42</v>
          </cell>
          <cell r="JH46">
            <v>42</v>
          </cell>
          <cell r="JI46">
            <v>0</v>
          </cell>
          <cell r="JJ46">
            <v>90</v>
          </cell>
          <cell r="JK46">
            <v>90</v>
          </cell>
          <cell r="JL46">
            <v>84</v>
          </cell>
          <cell r="JM46">
            <v>48</v>
          </cell>
          <cell r="JN46">
            <v>48</v>
          </cell>
          <cell r="JO46">
            <v>42</v>
          </cell>
          <cell r="JP46">
            <v>0</v>
          </cell>
          <cell r="JQ46">
            <v>42</v>
          </cell>
          <cell r="JR46">
            <v>24</v>
          </cell>
          <cell r="JS46">
            <v>24</v>
          </cell>
          <cell r="JT46">
            <v>24</v>
          </cell>
          <cell r="JU46">
            <v>24</v>
          </cell>
          <cell r="JV46">
            <v>24</v>
          </cell>
          <cell r="JW46">
            <v>24</v>
          </cell>
          <cell r="JX46">
            <v>24</v>
          </cell>
          <cell r="JY46">
            <v>24</v>
          </cell>
          <cell r="JZ46">
            <v>30</v>
          </cell>
          <cell r="KA46">
            <v>30</v>
          </cell>
          <cell r="KB46">
            <v>24</v>
          </cell>
          <cell r="KC46">
            <v>24</v>
          </cell>
          <cell r="KD46">
            <v>0</v>
          </cell>
          <cell r="KE46">
            <v>24</v>
          </cell>
          <cell r="KF46">
            <v>24</v>
          </cell>
          <cell r="KG46">
            <v>18</v>
          </cell>
          <cell r="KH46">
            <v>18</v>
          </cell>
        </row>
        <row r="47">
          <cell r="G47" t="str">
            <v>CUM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12</v>
          </cell>
          <cell r="AN47">
            <v>54</v>
          </cell>
          <cell r="AO47">
            <v>102</v>
          </cell>
          <cell r="AP47">
            <v>150</v>
          </cell>
          <cell r="AQ47">
            <v>216</v>
          </cell>
          <cell r="AR47">
            <v>282</v>
          </cell>
          <cell r="AS47">
            <v>408</v>
          </cell>
          <cell r="AT47">
            <v>600</v>
          </cell>
          <cell r="AU47">
            <v>750</v>
          </cell>
          <cell r="AV47">
            <v>810</v>
          </cell>
          <cell r="AW47">
            <v>840</v>
          </cell>
          <cell r="AX47">
            <v>864</v>
          </cell>
          <cell r="AY47">
            <v>912</v>
          </cell>
          <cell r="AZ47">
            <v>960</v>
          </cell>
          <cell r="BA47">
            <v>1080</v>
          </cell>
          <cell r="BB47">
            <v>1230</v>
          </cell>
          <cell r="BC47">
            <v>1410</v>
          </cell>
          <cell r="BD47">
            <v>1674</v>
          </cell>
          <cell r="BE47">
            <v>1854</v>
          </cell>
          <cell r="BF47">
            <v>1950</v>
          </cell>
          <cell r="BG47">
            <v>2046</v>
          </cell>
          <cell r="BH47">
            <v>2154</v>
          </cell>
          <cell r="BI47">
            <v>2238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6</v>
          </cell>
          <cell r="GO47">
            <v>12</v>
          </cell>
          <cell r="GP47">
            <v>12</v>
          </cell>
          <cell r="GQ47">
            <v>12</v>
          </cell>
          <cell r="GR47">
            <v>12</v>
          </cell>
          <cell r="GS47">
            <v>24</v>
          </cell>
          <cell r="GT47">
            <v>36</v>
          </cell>
          <cell r="GU47">
            <v>48</v>
          </cell>
          <cell r="GV47">
            <v>54</v>
          </cell>
          <cell r="GW47">
            <v>66</v>
          </cell>
          <cell r="GX47">
            <v>78</v>
          </cell>
          <cell r="GY47">
            <v>90</v>
          </cell>
          <cell r="GZ47">
            <v>102</v>
          </cell>
          <cell r="HA47">
            <v>114</v>
          </cell>
          <cell r="HB47">
            <v>126</v>
          </cell>
          <cell r="HC47">
            <v>138</v>
          </cell>
          <cell r="HD47">
            <v>144</v>
          </cell>
          <cell r="HE47">
            <v>150</v>
          </cell>
          <cell r="HF47">
            <v>174</v>
          </cell>
          <cell r="HG47">
            <v>174</v>
          </cell>
          <cell r="HH47">
            <v>198</v>
          </cell>
          <cell r="HI47">
            <v>216</v>
          </cell>
          <cell r="HJ47">
            <v>234</v>
          </cell>
          <cell r="HK47">
            <v>252</v>
          </cell>
          <cell r="HL47">
            <v>270</v>
          </cell>
          <cell r="HM47">
            <v>282</v>
          </cell>
          <cell r="HN47">
            <v>318</v>
          </cell>
          <cell r="HO47">
            <v>348</v>
          </cell>
          <cell r="HP47">
            <v>378</v>
          </cell>
          <cell r="HQ47">
            <v>408</v>
          </cell>
          <cell r="HR47">
            <v>456</v>
          </cell>
          <cell r="HS47">
            <v>504</v>
          </cell>
          <cell r="HT47">
            <v>552</v>
          </cell>
          <cell r="HU47">
            <v>600</v>
          </cell>
          <cell r="HV47">
            <v>600</v>
          </cell>
          <cell r="HW47">
            <v>642</v>
          </cell>
          <cell r="HX47">
            <v>678</v>
          </cell>
          <cell r="HY47">
            <v>714</v>
          </cell>
          <cell r="HZ47">
            <v>750</v>
          </cell>
          <cell r="IA47">
            <v>768</v>
          </cell>
          <cell r="IB47">
            <v>786</v>
          </cell>
          <cell r="IC47">
            <v>798</v>
          </cell>
          <cell r="ID47">
            <v>810</v>
          </cell>
          <cell r="IE47">
            <v>828</v>
          </cell>
          <cell r="IF47">
            <v>840</v>
          </cell>
          <cell r="IG47">
            <v>840</v>
          </cell>
          <cell r="IH47">
            <v>840</v>
          </cell>
          <cell r="II47">
            <v>840</v>
          </cell>
          <cell r="IJ47">
            <v>840</v>
          </cell>
          <cell r="IK47">
            <v>864</v>
          </cell>
          <cell r="IL47">
            <v>864</v>
          </cell>
          <cell r="IM47">
            <v>864</v>
          </cell>
          <cell r="IN47">
            <v>882</v>
          </cell>
          <cell r="IO47">
            <v>900</v>
          </cell>
          <cell r="IP47">
            <v>912</v>
          </cell>
          <cell r="IQ47">
            <v>912</v>
          </cell>
          <cell r="IR47">
            <v>930</v>
          </cell>
          <cell r="IS47">
            <v>948</v>
          </cell>
          <cell r="IT47">
            <v>960</v>
          </cell>
          <cell r="IU47">
            <v>960</v>
          </cell>
          <cell r="IV47">
            <v>972</v>
          </cell>
          <cell r="IW47">
            <v>990</v>
          </cell>
          <cell r="IX47">
            <v>1020</v>
          </cell>
          <cell r="IY47">
            <v>1050</v>
          </cell>
          <cell r="IZ47">
            <v>1080</v>
          </cell>
          <cell r="JA47">
            <v>1122</v>
          </cell>
          <cell r="JB47">
            <v>1158</v>
          </cell>
          <cell r="JC47">
            <v>1194</v>
          </cell>
          <cell r="JD47">
            <v>1230</v>
          </cell>
          <cell r="JE47">
            <v>1278</v>
          </cell>
          <cell r="JF47">
            <v>1326</v>
          </cell>
          <cell r="JG47">
            <v>1368</v>
          </cell>
          <cell r="JH47">
            <v>1410</v>
          </cell>
          <cell r="JI47">
            <v>1410</v>
          </cell>
          <cell r="JJ47">
            <v>1500</v>
          </cell>
          <cell r="JK47">
            <v>1590</v>
          </cell>
          <cell r="JL47">
            <v>1674</v>
          </cell>
          <cell r="JM47">
            <v>1722</v>
          </cell>
          <cell r="JN47">
            <v>1770</v>
          </cell>
          <cell r="JO47">
            <v>1812</v>
          </cell>
          <cell r="JP47">
            <v>1812</v>
          </cell>
          <cell r="JQ47">
            <v>1854</v>
          </cell>
          <cell r="JR47">
            <v>1878</v>
          </cell>
          <cell r="JS47">
            <v>1902</v>
          </cell>
          <cell r="JT47">
            <v>1926</v>
          </cell>
          <cell r="JU47">
            <v>1950</v>
          </cell>
          <cell r="JV47">
            <v>1974</v>
          </cell>
          <cell r="JW47">
            <v>1998</v>
          </cell>
          <cell r="JX47">
            <v>2022</v>
          </cell>
          <cell r="JY47">
            <v>2046</v>
          </cell>
          <cell r="JZ47">
            <v>2076</v>
          </cell>
          <cell r="KA47">
            <v>2106</v>
          </cell>
          <cell r="KB47">
            <v>2130</v>
          </cell>
          <cell r="KC47">
            <v>2154</v>
          </cell>
          <cell r="KD47">
            <v>2154</v>
          </cell>
          <cell r="KE47">
            <v>2178</v>
          </cell>
          <cell r="KF47">
            <v>2202</v>
          </cell>
          <cell r="KG47">
            <v>2220</v>
          </cell>
          <cell r="KH47">
            <v>2238</v>
          </cell>
        </row>
        <row r="48">
          <cell r="G48" t="str">
            <v>QTY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</row>
        <row r="49">
          <cell r="G49" t="str">
            <v>CUM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  <cell r="KF49">
            <v>0</v>
          </cell>
          <cell r="KG49">
            <v>0</v>
          </cell>
          <cell r="KH4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M309"/>
  <sheetViews>
    <sheetView tabSelected="1" zoomScale="85" zoomScaleNormal="85" zoomScaleSheetLayoutView="85" workbookViewId="0">
      <pane xSplit="3" ySplit="7" topLeftCell="D51" activePane="bottomRight" state="frozen"/>
      <selection pane="topRight" activeCell="D1" sqref="D1"/>
      <selection pane="bottomLeft" activeCell="A5" sqref="A5"/>
      <selection pane="bottomRight" activeCell="AG94" sqref="AG94"/>
    </sheetView>
  </sheetViews>
  <sheetFormatPr defaultRowHeight="15"/>
  <cols>
    <col min="1" max="1" width="15.140625" customWidth="1"/>
    <col min="2" max="2" width="16.28515625" customWidth="1"/>
    <col min="3" max="3" width="36.85546875" customWidth="1"/>
    <col min="4" max="8" width="11.28515625" style="1" customWidth="1"/>
    <col min="9" max="9" width="10.7109375" style="1" customWidth="1"/>
    <col min="10" max="14" width="11.28515625" style="1" customWidth="1"/>
    <col min="15" max="15" width="10.7109375" style="1" customWidth="1"/>
    <col min="16" max="20" width="11.28515625" style="1" customWidth="1"/>
    <col min="21" max="21" width="10.7109375" style="1" customWidth="1"/>
    <col min="22" max="26" width="11.28515625" style="1" customWidth="1"/>
    <col min="27" max="27" width="10.7109375" style="1" customWidth="1"/>
    <col min="28" max="32" width="11.28515625" style="1" customWidth="1"/>
    <col min="33" max="33" width="10.7109375" style="1" customWidth="1"/>
    <col min="34" max="16384" width="9.140625" style="1"/>
  </cols>
  <sheetData>
    <row r="1" spans="1:49">
      <c r="A1" s="1"/>
      <c r="B1" s="1"/>
      <c r="C1" s="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</row>
    <row r="2" spans="1:49">
      <c r="A2" s="28" t="s">
        <v>4</v>
      </c>
      <c r="B2" t="s">
        <v>147</v>
      </c>
      <c r="C2" s="1"/>
    </row>
    <row r="3" spans="1:49">
      <c r="A3" s="1"/>
      <c r="B3" s="1"/>
      <c r="D3" s="210" t="s">
        <v>141</v>
      </c>
      <c r="E3" s="210"/>
      <c r="F3" s="210"/>
      <c r="G3" s="210"/>
      <c r="H3" s="210"/>
      <c r="J3" s="210" t="s">
        <v>12</v>
      </c>
      <c r="K3" s="210"/>
      <c r="L3" s="210"/>
      <c r="M3" s="210"/>
      <c r="N3" s="210"/>
      <c r="P3" s="210" t="s">
        <v>12</v>
      </c>
      <c r="Q3" s="210"/>
      <c r="R3" s="210"/>
      <c r="S3" s="210"/>
      <c r="T3" s="210"/>
      <c r="V3" s="210" t="s">
        <v>12</v>
      </c>
      <c r="W3" s="210"/>
      <c r="X3" s="210"/>
      <c r="Y3" s="210"/>
      <c r="Z3" s="210"/>
      <c r="AB3" s="210" t="s">
        <v>12</v>
      </c>
      <c r="AC3" s="210"/>
      <c r="AD3" s="210"/>
      <c r="AE3" s="210"/>
      <c r="AF3" s="210"/>
    </row>
    <row r="4" spans="1:49">
      <c r="A4" s="25">
        <v>1</v>
      </c>
      <c r="B4" s="26">
        <f t="shared" ref="B4:AA4" si="0">+A4+1</f>
        <v>2</v>
      </c>
      <c r="C4" s="26">
        <f t="shared" si="0"/>
        <v>3</v>
      </c>
      <c r="D4" s="26">
        <f t="shared" si="0"/>
        <v>4</v>
      </c>
      <c r="E4" s="26">
        <f t="shared" si="0"/>
        <v>5</v>
      </c>
      <c r="F4" s="26">
        <f t="shared" si="0"/>
        <v>6</v>
      </c>
      <c r="G4" s="26">
        <f t="shared" si="0"/>
        <v>7</v>
      </c>
      <c r="H4" s="26">
        <f t="shared" si="0"/>
        <v>8</v>
      </c>
      <c r="I4" s="26">
        <f t="shared" si="0"/>
        <v>9</v>
      </c>
      <c r="J4" s="26">
        <f t="shared" si="0"/>
        <v>10</v>
      </c>
      <c r="K4" s="26">
        <f t="shared" si="0"/>
        <v>11</v>
      </c>
      <c r="L4" s="26">
        <f t="shared" si="0"/>
        <v>12</v>
      </c>
      <c r="M4" s="26">
        <f t="shared" si="0"/>
        <v>13</v>
      </c>
      <c r="N4" s="26">
        <f t="shared" si="0"/>
        <v>14</v>
      </c>
      <c r="O4" s="26">
        <f t="shared" si="0"/>
        <v>15</v>
      </c>
      <c r="P4" s="26">
        <f t="shared" si="0"/>
        <v>16</v>
      </c>
      <c r="Q4" s="26">
        <f t="shared" si="0"/>
        <v>17</v>
      </c>
      <c r="R4" s="26">
        <f t="shared" si="0"/>
        <v>18</v>
      </c>
      <c r="S4" s="26">
        <f t="shared" si="0"/>
        <v>19</v>
      </c>
      <c r="T4" s="26">
        <f t="shared" si="0"/>
        <v>20</v>
      </c>
      <c r="U4" s="26">
        <f t="shared" si="0"/>
        <v>21</v>
      </c>
      <c r="V4" s="26">
        <f t="shared" si="0"/>
        <v>22</v>
      </c>
      <c r="W4" s="26">
        <f t="shared" si="0"/>
        <v>23</v>
      </c>
      <c r="X4" s="26">
        <f t="shared" si="0"/>
        <v>24</v>
      </c>
      <c r="Y4" s="26">
        <f t="shared" si="0"/>
        <v>25</v>
      </c>
      <c r="Z4" s="26">
        <f t="shared" si="0"/>
        <v>26</v>
      </c>
      <c r="AA4" s="26">
        <f t="shared" si="0"/>
        <v>27</v>
      </c>
      <c r="AB4" s="26">
        <f t="shared" ref="AB4:AG4" si="1">+AA4+1</f>
        <v>28</v>
      </c>
      <c r="AC4" s="26">
        <f t="shared" si="1"/>
        <v>29</v>
      </c>
      <c r="AD4" s="26">
        <f t="shared" si="1"/>
        <v>30</v>
      </c>
      <c r="AE4" s="26">
        <f t="shared" si="1"/>
        <v>31</v>
      </c>
      <c r="AF4" s="26">
        <f t="shared" si="1"/>
        <v>32</v>
      </c>
      <c r="AG4" s="26">
        <f t="shared" si="1"/>
        <v>33</v>
      </c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</row>
    <row r="5" spans="1:49" ht="15.75" thickBot="1">
      <c r="A5" s="24"/>
      <c r="B5" s="24">
        <v>1</v>
      </c>
      <c r="C5" s="24">
        <f t="shared" ref="C5:AA5" si="2">B5+1</f>
        <v>2</v>
      </c>
      <c r="D5" s="24">
        <f t="shared" si="2"/>
        <v>3</v>
      </c>
      <c r="E5" s="24">
        <f t="shared" si="2"/>
        <v>4</v>
      </c>
      <c r="F5" s="24">
        <f t="shared" si="2"/>
        <v>5</v>
      </c>
      <c r="G5" s="24">
        <f t="shared" si="2"/>
        <v>6</v>
      </c>
      <c r="H5" s="24">
        <f t="shared" si="2"/>
        <v>7</v>
      </c>
      <c r="I5" s="24">
        <f t="shared" si="2"/>
        <v>8</v>
      </c>
      <c r="J5" s="24">
        <f t="shared" si="2"/>
        <v>9</v>
      </c>
      <c r="K5" s="24">
        <f t="shared" si="2"/>
        <v>10</v>
      </c>
      <c r="L5" s="24">
        <f t="shared" si="2"/>
        <v>11</v>
      </c>
      <c r="M5" s="24">
        <f t="shared" si="2"/>
        <v>12</v>
      </c>
      <c r="N5" s="24">
        <f t="shared" si="2"/>
        <v>13</v>
      </c>
      <c r="O5" s="24">
        <f t="shared" si="2"/>
        <v>14</v>
      </c>
      <c r="P5" s="24">
        <f t="shared" si="2"/>
        <v>15</v>
      </c>
      <c r="Q5" s="24">
        <f t="shared" si="2"/>
        <v>16</v>
      </c>
      <c r="R5" s="24">
        <f t="shared" si="2"/>
        <v>17</v>
      </c>
      <c r="S5" s="24">
        <f t="shared" si="2"/>
        <v>18</v>
      </c>
      <c r="T5" s="24">
        <f t="shared" si="2"/>
        <v>19</v>
      </c>
      <c r="U5" s="24">
        <f t="shared" si="2"/>
        <v>20</v>
      </c>
      <c r="V5" s="24">
        <f t="shared" si="2"/>
        <v>21</v>
      </c>
      <c r="W5" s="24">
        <f t="shared" si="2"/>
        <v>22</v>
      </c>
      <c r="X5" s="24">
        <f t="shared" si="2"/>
        <v>23</v>
      </c>
      <c r="Y5" s="24">
        <f t="shared" si="2"/>
        <v>24</v>
      </c>
      <c r="Z5" s="24">
        <f t="shared" si="2"/>
        <v>25</v>
      </c>
      <c r="AA5" s="24">
        <f t="shared" si="2"/>
        <v>26</v>
      </c>
      <c r="AB5" s="24">
        <f t="shared" ref="AB5:AG5" si="3">AA5+1</f>
        <v>27</v>
      </c>
      <c r="AC5" s="24">
        <f t="shared" si="3"/>
        <v>28</v>
      </c>
      <c r="AD5" s="24">
        <f t="shared" si="3"/>
        <v>29</v>
      </c>
      <c r="AE5" s="24">
        <f t="shared" si="3"/>
        <v>30</v>
      </c>
      <c r="AF5" s="24">
        <f t="shared" si="3"/>
        <v>31</v>
      </c>
      <c r="AG5" s="24">
        <f t="shared" si="3"/>
        <v>32</v>
      </c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</row>
    <row r="6" spans="1:49" ht="15" customHeight="1">
      <c r="A6" s="211" t="s">
        <v>0</v>
      </c>
      <c r="B6" s="213" t="s">
        <v>2</v>
      </c>
      <c r="C6" s="215"/>
      <c r="D6" s="217">
        <v>46082</v>
      </c>
      <c r="E6" s="218"/>
      <c r="F6" s="218"/>
      <c r="G6" s="218"/>
      <c r="H6" s="219"/>
      <c r="I6" s="200" t="s">
        <v>1</v>
      </c>
      <c r="J6" s="217">
        <v>46113</v>
      </c>
      <c r="K6" s="218"/>
      <c r="L6" s="218"/>
      <c r="M6" s="218"/>
      <c r="N6" s="219"/>
      <c r="O6" s="200" t="s">
        <v>1</v>
      </c>
      <c r="P6" s="217">
        <v>46143</v>
      </c>
      <c r="Q6" s="218"/>
      <c r="R6" s="218"/>
      <c r="S6" s="218"/>
      <c r="T6" s="219"/>
      <c r="U6" s="200" t="s">
        <v>1</v>
      </c>
      <c r="V6" s="217">
        <v>46174</v>
      </c>
      <c r="W6" s="218"/>
      <c r="X6" s="218"/>
      <c r="Y6" s="218"/>
      <c r="Z6" s="219"/>
      <c r="AA6" s="200" t="s">
        <v>1</v>
      </c>
      <c r="AB6" s="217">
        <v>46204</v>
      </c>
      <c r="AC6" s="218"/>
      <c r="AD6" s="218"/>
      <c r="AE6" s="218"/>
      <c r="AF6" s="219"/>
      <c r="AG6" s="200" t="s">
        <v>1</v>
      </c>
    </row>
    <row r="7" spans="1:49" ht="15.75" thickBot="1">
      <c r="A7" s="212"/>
      <c r="B7" s="214"/>
      <c r="C7" s="216"/>
      <c r="D7" s="177">
        <v>46086</v>
      </c>
      <c r="E7" s="176">
        <v>46093</v>
      </c>
      <c r="F7" s="176">
        <v>46100</v>
      </c>
      <c r="G7" s="176">
        <v>46107</v>
      </c>
      <c r="H7" s="176">
        <v>46114</v>
      </c>
      <c r="I7" s="204"/>
      <c r="J7" s="177">
        <v>46121</v>
      </c>
      <c r="K7" s="176">
        <v>46128</v>
      </c>
      <c r="L7" s="176">
        <v>46135</v>
      </c>
      <c r="M7" s="176">
        <v>46142</v>
      </c>
      <c r="N7" s="176"/>
      <c r="O7" s="204"/>
      <c r="P7" s="177">
        <v>46149</v>
      </c>
      <c r="Q7" s="176">
        <v>46156</v>
      </c>
      <c r="R7" s="176">
        <v>46163</v>
      </c>
      <c r="S7" s="176">
        <v>46170</v>
      </c>
      <c r="T7" s="176"/>
      <c r="U7" s="204"/>
      <c r="V7" s="177">
        <v>46177</v>
      </c>
      <c r="W7" s="176">
        <v>46184</v>
      </c>
      <c r="X7" s="176">
        <v>46191</v>
      </c>
      <c r="Y7" s="176">
        <v>46198</v>
      </c>
      <c r="Z7" s="176">
        <v>46205</v>
      </c>
      <c r="AA7" s="204"/>
      <c r="AB7" s="177">
        <v>46212</v>
      </c>
      <c r="AC7" s="176">
        <v>46219</v>
      </c>
      <c r="AD7" s="176">
        <v>46226</v>
      </c>
      <c r="AE7" s="176">
        <v>46233</v>
      </c>
      <c r="AF7" s="176"/>
      <c r="AG7" s="204"/>
    </row>
    <row r="8" spans="1:49" s="100" customFormat="1" ht="15" hidden="1" customHeight="1">
      <c r="A8" s="98" t="s">
        <v>17</v>
      </c>
      <c r="B8" s="98" t="s">
        <v>28</v>
      </c>
      <c r="C8" s="91" t="s">
        <v>10</v>
      </c>
      <c r="D8" s="102"/>
      <c r="E8" s="102"/>
      <c r="F8" s="102"/>
      <c r="G8" s="102"/>
      <c r="H8" s="162"/>
      <c r="I8" s="99">
        <f t="shared" ref="I8:I14" si="4">SUM(D8:H8)</f>
        <v>0</v>
      </c>
      <c r="J8" s="102"/>
      <c r="K8" s="102"/>
      <c r="L8" s="102"/>
      <c r="M8" s="102"/>
      <c r="N8" s="162"/>
      <c r="O8" s="99">
        <f t="shared" ref="O8:O14" si="5">SUM(J8:N8)</f>
        <v>0</v>
      </c>
      <c r="P8" s="102"/>
      <c r="Q8" s="102"/>
      <c r="R8" s="102"/>
      <c r="S8" s="102"/>
      <c r="T8" s="162"/>
      <c r="U8" s="99">
        <f t="shared" ref="U8:U14" si="6">SUM(P8:T8)</f>
        <v>0</v>
      </c>
      <c r="V8" s="102"/>
      <c r="W8" s="102"/>
      <c r="X8" s="102"/>
      <c r="Y8" s="102"/>
      <c r="Z8" s="162"/>
      <c r="AA8" s="99">
        <f t="shared" ref="AA8:AA14" si="7">SUM(V8:Z8)</f>
        <v>0</v>
      </c>
      <c r="AB8" s="102"/>
      <c r="AC8" s="102"/>
      <c r="AD8" s="102"/>
      <c r="AE8" s="102"/>
      <c r="AF8" s="162"/>
      <c r="AG8" s="99">
        <f t="shared" ref="AG8:AG14" si="8">SUM(AB8:AF8)</f>
        <v>0</v>
      </c>
    </row>
    <row r="9" spans="1:49" s="104" customFormat="1" ht="15" hidden="1" customHeight="1">
      <c r="A9" s="101" t="s">
        <v>18</v>
      </c>
      <c r="B9" s="101" t="s">
        <v>29</v>
      </c>
      <c r="C9" s="92" t="s">
        <v>10</v>
      </c>
      <c r="D9" s="102"/>
      <c r="E9" s="102"/>
      <c r="F9" s="102"/>
      <c r="G9" s="102"/>
      <c r="H9" s="162"/>
      <c r="I9" s="103">
        <f t="shared" si="4"/>
        <v>0</v>
      </c>
      <c r="J9" s="102"/>
      <c r="K9" s="102"/>
      <c r="L9" s="102"/>
      <c r="M9" s="102"/>
      <c r="N9" s="162"/>
      <c r="O9" s="103">
        <f t="shared" si="5"/>
        <v>0</v>
      </c>
      <c r="P9" s="102"/>
      <c r="Q9" s="102"/>
      <c r="R9" s="102"/>
      <c r="S9" s="102"/>
      <c r="T9" s="162"/>
      <c r="U9" s="103">
        <f t="shared" si="6"/>
        <v>0</v>
      </c>
      <c r="V9" s="102"/>
      <c r="W9" s="102"/>
      <c r="X9" s="102"/>
      <c r="Y9" s="102"/>
      <c r="Z9" s="162"/>
      <c r="AA9" s="103">
        <f t="shared" si="7"/>
        <v>0</v>
      </c>
      <c r="AB9" s="102"/>
      <c r="AC9" s="102"/>
      <c r="AD9" s="102"/>
      <c r="AE9" s="102"/>
      <c r="AF9" s="162"/>
      <c r="AG9" s="103">
        <f t="shared" si="8"/>
        <v>0</v>
      </c>
    </row>
    <row r="10" spans="1:49" s="100" customFormat="1" ht="15" hidden="1" customHeight="1">
      <c r="A10" s="105" t="s">
        <v>19</v>
      </c>
      <c r="B10" s="105" t="s">
        <v>30</v>
      </c>
      <c r="C10" s="92" t="s">
        <v>10</v>
      </c>
      <c r="D10" s="102"/>
      <c r="E10" s="102"/>
      <c r="F10" s="102"/>
      <c r="G10" s="102"/>
      <c r="H10" s="162"/>
      <c r="I10" s="103">
        <f t="shared" si="4"/>
        <v>0</v>
      </c>
      <c r="J10" s="102"/>
      <c r="K10" s="102"/>
      <c r="L10" s="102"/>
      <c r="M10" s="102"/>
      <c r="N10" s="162"/>
      <c r="O10" s="103">
        <f t="shared" si="5"/>
        <v>0</v>
      </c>
      <c r="P10" s="102"/>
      <c r="Q10" s="102"/>
      <c r="R10" s="102"/>
      <c r="S10" s="102"/>
      <c r="T10" s="162"/>
      <c r="U10" s="103">
        <f t="shared" si="6"/>
        <v>0</v>
      </c>
      <c r="V10" s="102"/>
      <c r="W10" s="102"/>
      <c r="X10" s="102"/>
      <c r="Y10" s="102"/>
      <c r="Z10" s="162"/>
      <c r="AA10" s="103">
        <f t="shared" si="7"/>
        <v>0</v>
      </c>
      <c r="AB10" s="102"/>
      <c r="AC10" s="102"/>
      <c r="AD10" s="102"/>
      <c r="AE10" s="102"/>
      <c r="AF10" s="162"/>
      <c r="AG10" s="103">
        <f t="shared" si="8"/>
        <v>0</v>
      </c>
    </row>
    <row r="11" spans="1:49" s="100" customFormat="1" ht="15" hidden="1" customHeight="1">
      <c r="A11" s="106" t="s">
        <v>20</v>
      </c>
      <c r="B11" s="106" t="s">
        <v>31</v>
      </c>
      <c r="C11" s="92" t="s">
        <v>10</v>
      </c>
      <c r="D11" s="102"/>
      <c r="E11" s="102"/>
      <c r="F11" s="102"/>
      <c r="G11" s="102"/>
      <c r="H11" s="162"/>
      <c r="I11" s="103">
        <f t="shared" si="4"/>
        <v>0</v>
      </c>
      <c r="J11" s="102"/>
      <c r="K11" s="102"/>
      <c r="L11" s="102"/>
      <c r="M11" s="102"/>
      <c r="N11" s="162"/>
      <c r="O11" s="103">
        <f t="shared" si="5"/>
        <v>0</v>
      </c>
      <c r="P11" s="102"/>
      <c r="Q11" s="102"/>
      <c r="R11" s="102"/>
      <c r="S11" s="102"/>
      <c r="T11" s="162"/>
      <c r="U11" s="103">
        <f t="shared" si="6"/>
        <v>0</v>
      </c>
      <c r="V11" s="102"/>
      <c r="W11" s="102"/>
      <c r="X11" s="102"/>
      <c r="Y11" s="102"/>
      <c r="Z11" s="162"/>
      <c r="AA11" s="103">
        <f t="shared" si="7"/>
        <v>0</v>
      </c>
      <c r="AB11" s="102"/>
      <c r="AC11" s="102"/>
      <c r="AD11" s="102"/>
      <c r="AE11" s="102"/>
      <c r="AF11" s="162"/>
      <c r="AG11" s="103">
        <f t="shared" si="8"/>
        <v>0</v>
      </c>
    </row>
    <row r="12" spans="1:49" s="100" customFormat="1" ht="15" hidden="1" customHeight="1">
      <c r="A12" s="107" t="s">
        <v>40</v>
      </c>
      <c r="B12" s="108" t="s">
        <v>39</v>
      </c>
      <c r="C12" s="90" t="s">
        <v>10</v>
      </c>
      <c r="D12" s="109"/>
      <c r="E12" s="109"/>
      <c r="F12" s="109"/>
      <c r="G12" s="109"/>
      <c r="H12" s="163"/>
      <c r="I12" s="110">
        <f t="shared" si="4"/>
        <v>0</v>
      </c>
      <c r="J12" s="109"/>
      <c r="K12" s="109"/>
      <c r="L12" s="109"/>
      <c r="M12" s="109"/>
      <c r="N12" s="163"/>
      <c r="O12" s="110">
        <f t="shared" si="5"/>
        <v>0</v>
      </c>
      <c r="P12" s="109"/>
      <c r="Q12" s="109"/>
      <c r="R12" s="109"/>
      <c r="S12" s="109"/>
      <c r="T12" s="163"/>
      <c r="U12" s="110">
        <f t="shared" si="6"/>
        <v>0</v>
      </c>
      <c r="V12" s="109"/>
      <c r="W12" s="109"/>
      <c r="X12" s="109"/>
      <c r="Y12" s="109"/>
      <c r="Z12" s="163"/>
      <c r="AA12" s="110">
        <f t="shared" si="7"/>
        <v>0</v>
      </c>
      <c r="AB12" s="109"/>
      <c r="AC12" s="109"/>
      <c r="AD12" s="109"/>
      <c r="AE12" s="109"/>
      <c r="AF12" s="163"/>
      <c r="AG12" s="110">
        <f t="shared" si="8"/>
        <v>0</v>
      </c>
    </row>
    <row r="13" spans="1:49" s="100" customFormat="1" ht="15.75" hidden="1" customHeight="1" thickBot="1">
      <c r="A13" s="111" t="s">
        <v>21</v>
      </c>
      <c r="B13" s="111" t="s">
        <v>32</v>
      </c>
      <c r="C13" s="93" t="s">
        <v>10</v>
      </c>
      <c r="D13" s="112"/>
      <c r="E13" s="112"/>
      <c r="F13" s="112"/>
      <c r="G13" s="112"/>
      <c r="H13" s="164"/>
      <c r="I13" s="113">
        <f t="shared" si="4"/>
        <v>0</v>
      </c>
      <c r="J13" s="112"/>
      <c r="K13" s="112"/>
      <c r="L13" s="112"/>
      <c r="M13" s="112"/>
      <c r="N13" s="164"/>
      <c r="O13" s="113">
        <f t="shared" si="5"/>
        <v>0</v>
      </c>
      <c r="P13" s="112"/>
      <c r="Q13" s="112"/>
      <c r="R13" s="112"/>
      <c r="S13" s="112"/>
      <c r="T13" s="164"/>
      <c r="U13" s="113">
        <f t="shared" si="6"/>
        <v>0</v>
      </c>
      <c r="V13" s="112"/>
      <c r="W13" s="112"/>
      <c r="X13" s="112"/>
      <c r="Y13" s="112"/>
      <c r="Z13" s="164"/>
      <c r="AA13" s="113">
        <f t="shared" si="7"/>
        <v>0</v>
      </c>
      <c r="AB13" s="112"/>
      <c r="AC13" s="112"/>
      <c r="AD13" s="112"/>
      <c r="AE13" s="112"/>
      <c r="AF13" s="164"/>
      <c r="AG13" s="113">
        <f t="shared" si="8"/>
        <v>0</v>
      </c>
    </row>
    <row r="14" spans="1:49" s="100" customFormat="1" ht="15.75" hidden="1" customHeight="1" thickTop="1">
      <c r="A14" s="114" t="s">
        <v>26</v>
      </c>
      <c r="B14" s="114" t="s">
        <v>33</v>
      </c>
      <c r="C14" s="89" t="s">
        <v>44</v>
      </c>
      <c r="D14" s="115"/>
      <c r="E14" s="115"/>
      <c r="F14" s="115"/>
      <c r="G14" s="115"/>
      <c r="H14" s="165"/>
      <c r="I14" s="116">
        <f t="shared" si="4"/>
        <v>0</v>
      </c>
      <c r="J14" s="115"/>
      <c r="K14" s="115"/>
      <c r="L14" s="115"/>
      <c r="M14" s="115"/>
      <c r="N14" s="165"/>
      <c r="O14" s="116">
        <f t="shared" si="5"/>
        <v>0</v>
      </c>
      <c r="P14" s="115"/>
      <c r="Q14" s="115"/>
      <c r="R14" s="115"/>
      <c r="S14" s="115"/>
      <c r="T14" s="165"/>
      <c r="U14" s="116">
        <f t="shared" si="6"/>
        <v>0</v>
      </c>
      <c r="V14" s="115"/>
      <c r="W14" s="115"/>
      <c r="X14" s="115"/>
      <c r="Y14" s="115"/>
      <c r="Z14" s="165"/>
      <c r="AA14" s="116">
        <f t="shared" si="7"/>
        <v>0</v>
      </c>
      <c r="AB14" s="115"/>
      <c r="AC14" s="115"/>
      <c r="AD14" s="115"/>
      <c r="AE14" s="115"/>
      <c r="AF14" s="165"/>
      <c r="AG14" s="116">
        <f t="shared" si="8"/>
        <v>0</v>
      </c>
    </row>
    <row r="15" spans="1:49" s="100" customFormat="1" ht="15" hidden="1" customHeight="1">
      <c r="A15" s="178" t="s">
        <v>78</v>
      </c>
      <c r="B15" s="179" t="s">
        <v>71</v>
      </c>
      <c r="C15" s="27" t="s">
        <v>44</v>
      </c>
      <c r="D15" s="118"/>
      <c r="E15" s="118"/>
      <c r="F15" s="118"/>
      <c r="G15" s="118"/>
      <c r="H15" s="166"/>
      <c r="I15" s="119"/>
      <c r="J15" s="118"/>
      <c r="K15" s="118"/>
      <c r="L15" s="118"/>
      <c r="M15" s="118"/>
      <c r="N15" s="166"/>
      <c r="O15" s="119"/>
      <c r="P15" s="118"/>
      <c r="Q15" s="118"/>
      <c r="R15" s="118"/>
      <c r="S15" s="118"/>
      <c r="T15" s="166"/>
      <c r="U15" s="119"/>
      <c r="V15" s="118"/>
      <c r="W15" s="118"/>
      <c r="X15" s="118"/>
      <c r="Y15" s="118"/>
      <c r="Z15" s="166"/>
      <c r="AA15" s="119"/>
      <c r="AB15" s="118"/>
      <c r="AC15" s="118"/>
      <c r="AD15" s="118"/>
      <c r="AE15" s="118"/>
      <c r="AF15" s="166"/>
      <c r="AG15" s="119"/>
    </row>
    <row r="16" spans="1:49" s="100" customFormat="1" ht="15" hidden="1" customHeight="1">
      <c r="A16" s="117" t="s">
        <v>79</v>
      </c>
      <c r="B16" s="107" t="s">
        <v>72</v>
      </c>
      <c r="C16" s="27" t="s">
        <v>44</v>
      </c>
      <c r="D16" s="118"/>
      <c r="E16" s="118"/>
      <c r="F16" s="118"/>
      <c r="G16" s="118"/>
      <c r="H16" s="166"/>
      <c r="I16" s="119">
        <f t="shared" ref="I16:I22" si="9">SUM(D16:H16)</f>
        <v>0</v>
      </c>
      <c r="J16" s="118"/>
      <c r="K16" s="118"/>
      <c r="L16" s="118"/>
      <c r="M16" s="118"/>
      <c r="N16" s="166"/>
      <c r="O16" s="119">
        <f t="shared" ref="O16:O22" si="10">SUM(J16:N16)</f>
        <v>0</v>
      </c>
      <c r="P16" s="118"/>
      <c r="Q16" s="118"/>
      <c r="R16" s="118"/>
      <c r="S16" s="118"/>
      <c r="T16" s="166"/>
      <c r="U16" s="119">
        <f t="shared" ref="U16:U22" si="11">SUM(P16:T16)</f>
        <v>0</v>
      </c>
      <c r="V16" s="118"/>
      <c r="W16" s="118"/>
      <c r="X16" s="118"/>
      <c r="Y16" s="118"/>
      <c r="Z16" s="166"/>
      <c r="AA16" s="119">
        <f t="shared" ref="AA16:AA22" si="12">SUM(V16:Z16)</f>
        <v>0</v>
      </c>
      <c r="AB16" s="118"/>
      <c r="AC16" s="118"/>
      <c r="AD16" s="118"/>
      <c r="AE16" s="118"/>
      <c r="AF16" s="166"/>
      <c r="AG16" s="119">
        <f t="shared" ref="AG16:AG39" si="13">SUM(AB16:AF16)</f>
        <v>0</v>
      </c>
    </row>
    <row r="17" spans="1:33" s="100" customFormat="1" ht="15" hidden="1" customHeight="1" thickBot="1">
      <c r="A17" s="121" t="s">
        <v>80</v>
      </c>
      <c r="B17" s="120" t="s">
        <v>73</v>
      </c>
      <c r="C17" s="69" t="s">
        <v>44</v>
      </c>
      <c r="D17" s="122"/>
      <c r="E17" s="122"/>
      <c r="F17" s="122"/>
      <c r="G17" s="122"/>
      <c r="H17" s="167"/>
      <c r="I17" s="123">
        <f t="shared" si="9"/>
        <v>0</v>
      </c>
      <c r="J17" s="122"/>
      <c r="K17" s="122"/>
      <c r="L17" s="122"/>
      <c r="M17" s="122"/>
      <c r="N17" s="167"/>
      <c r="O17" s="123">
        <f t="shared" si="10"/>
        <v>0</v>
      </c>
      <c r="P17" s="122"/>
      <c r="Q17" s="122"/>
      <c r="R17" s="122"/>
      <c r="S17" s="122"/>
      <c r="T17" s="167"/>
      <c r="U17" s="123">
        <f t="shared" si="11"/>
        <v>0</v>
      </c>
      <c r="V17" s="122"/>
      <c r="W17" s="122"/>
      <c r="X17" s="122"/>
      <c r="Y17" s="122"/>
      <c r="Z17" s="167"/>
      <c r="AA17" s="123">
        <f t="shared" si="12"/>
        <v>0</v>
      </c>
      <c r="AB17" s="122"/>
      <c r="AC17" s="122"/>
      <c r="AD17" s="122"/>
      <c r="AE17" s="122"/>
      <c r="AF17" s="167"/>
      <c r="AG17" s="123">
        <f t="shared" si="13"/>
        <v>0</v>
      </c>
    </row>
    <row r="18" spans="1:33" s="100" customFormat="1" ht="15" hidden="1" customHeight="1" thickTop="1">
      <c r="A18" s="160" t="s">
        <v>81</v>
      </c>
      <c r="B18" s="124" t="s">
        <v>74</v>
      </c>
      <c r="C18" s="125" t="s">
        <v>15</v>
      </c>
      <c r="D18" s="118"/>
      <c r="E18" s="118"/>
      <c r="F18" s="118"/>
      <c r="G18" s="118"/>
      <c r="H18" s="166"/>
      <c r="I18" s="119">
        <f t="shared" si="9"/>
        <v>0</v>
      </c>
      <c r="J18" s="118"/>
      <c r="K18" s="118"/>
      <c r="L18" s="118"/>
      <c r="M18" s="118"/>
      <c r="N18" s="166"/>
      <c r="O18" s="119">
        <f t="shared" si="10"/>
        <v>0</v>
      </c>
      <c r="P18" s="118"/>
      <c r="Q18" s="118"/>
      <c r="R18" s="118"/>
      <c r="S18" s="118"/>
      <c r="T18" s="166"/>
      <c r="U18" s="119">
        <f t="shared" si="11"/>
        <v>0</v>
      </c>
      <c r="V18" s="118"/>
      <c r="W18" s="118"/>
      <c r="X18" s="118"/>
      <c r="Y18" s="118"/>
      <c r="Z18" s="166"/>
      <c r="AA18" s="119">
        <f t="shared" si="12"/>
        <v>0</v>
      </c>
      <c r="AB18" s="118"/>
      <c r="AC18" s="118"/>
      <c r="AD18" s="118"/>
      <c r="AE18" s="118"/>
      <c r="AF18" s="166"/>
      <c r="AG18" s="119">
        <f t="shared" si="13"/>
        <v>0</v>
      </c>
    </row>
    <row r="19" spans="1:33" s="100" customFormat="1" ht="15" hidden="1" customHeight="1" thickBot="1">
      <c r="A19" s="161" t="s">
        <v>82</v>
      </c>
      <c r="B19" s="126" t="s">
        <v>75</v>
      </c>
      <c r="C19" s="27" t="s">
        <v>15</v>
      </c>
      <c r="D19" s="122"/>
      <c r="E19" s="122"/>
      <c r="F19" s="122"/>
      <c r="G19" s="122"/>
      <c r="H19" s="167"/>
      <c r="I19" s="123">
        <f t="shared" si="9"/>
        <v>0</v>
      </c>
      <c r="J19" s="122"/>
      <c r="K19" s="122"/>
      <c r="L19" s="122"/>
      <c r="M19" s="122"/>
      <c r="N19" s="167"/>
      <c r="O19" s="123">
        <f t="shared" si="10"/>
        <v>0</v>
      </c>
      <c r="P19" s="122"/>
      <c r="Q19" s="122"/>
      <c r="R19" s="122"/>
      <c r="S19" s="122"/>
      <c r="T19" s="167"/>
      <c r="U19" s="123">
        <f t="shared" si="11"/>
        <v>0</v>
      </c>
      <c r="V19" s="122"/>
      <c r="W19" s="122"/>
      <c r="X19" s="122"/>
      <c r="Y19" s="122"/>
      <c r="Z19" s="167"/>
      <c r="AA19" s="123">
        <f t="shared" si="12"/>
        <v>0</v>
      </c>
      <c r="AB19" s="122"/>
      <c r="AC19" s="122"/>
      <c r="AD19" s="122"/>
      <c r="AE19" s="122"/>
      <c r="AF19" s="167"/>
      <c r="AG19" s="123">
        <f t="shared" si="13"/>
        <v>0</v>
      </c>
    </row>
    <row r="20" spans="1:33" s="100" customFormat="1" ht="15" hidden="1" customHeight="1" thickTop="1">
      <c r="A20" s="127" t="s">
        <v>24</v>
      </c>
      <c r="B20" s="127" t="s">
        <v>34</v>
      </c>
      <c r="C20" s="94" t="s">
        <v>11</v>
      </c>
      <c r="D20" s="128"/>
      <c r="E20" s="128"/>
      <c r="F20" s="128"/>
      <c r="G20" s="128"/>
      <c r="H20" s="168"/>
      <c r="I20" s="129">
        <f t="shared" si="9"/>
        <v>0</v>
      </c>
      <c r="J20" s="128"/>
      <c r="K20" s="128"/>
      <c r="L20" s="128"/>
      <c r="M20" s="128"/>
      <c r="N20" s="168"/>
      <c r="O20" s="129">
        <f t="shared" si="10"/>
        <v>0</v>
      </c>
      <c r="P20" s="128"/>
      <c r="Q20" s="128"/>
      <c r="R20" s="128"/>
      <c r="S20" s="128"/>
      <c r="T20" s="168"/>
      <c r="U20" s="129">
        <f t="shared" si="11"/>
        <v>0</v>
      </c>
      <c r="V20" s="128"/>
      <c r="W20" s="128"/>
      <c r="X20" s="128"/>
      <c r="Y20" s="128"/>
      <c r="Z20" s="168"/>
      <c r="AA20" s="129">
        <f t="shared" si="12"/>
        <v>0</v>
      </c>
      <c r="AB20" s="128"/>
      <c r="AC20" s="128"/>
      <c r="AD20" s="128"/>
      <c r="AE20" s="128"/>
      <c r="AF20" s="168"/>
      <c r="AG20" s="129">
        <f t="shared" si="13"/>
        <v>0</v>
      </c>
    </row>
    <row r="21" spans="1:33" s="100" customFormat="1" ht="15.75" hidden="1" customHeight="1" thickBot="1">
      <c r="A21" s="130" t="s">
        <v>25</v>
      </c>
      <c r="B21" s="130" t="s">
        <v>35</v>
      </c>
      <c r="C21" s="95" t="s">
        <v>11</v>
      </c>
      <c r="D21" s="131"/>
      <c r="E21" s="131"/>
      <c r="F21" s="131"/>
      <c r="G21" s="131"/>
      <c r="H21" s="169"/>
      <c r="I21" s="132">
        <f t="shared" si="9"/>
        <v>0</v>
      </c>
      <c r="J21" s="131"/>
      <c r="K21" s="131"/>
      <c r="L21" s="131"/>
      <c r="M21" s="131"/>
      <c r="N21" s="169"/>
      <c r="O21" s="132">
        <f t="shared" si="10"/>
        <v>0</v>
      </c>
      <c r="P21" s="131"/>
      <c r="Q21" s="131"/>
      <c r="R21" s="131"/>
      <c r="S21" s="131"/>
      <c r="T21" s="169"/>
      <c r="U21" s="132">
        <f t="shared" si="11"/>
        <v>0</v>
      </c>
      <c r="V21" s="131"/>
      <c r="W21" s="131"/>
      <c r="X21" s="131"/>
      <c r="Y21" s="131"/>
      <c r="Z21" s="169"/>
      <c r="AA21" s="132">
        <f t="shared" si="12"/>
        <v>0</v>
      </c>
      <c r="AB21" s="131"/>
      <c r="AC21" s="131"/>
      <c r="AD21" s="131"/>
      <c r="AE21" s="131"/>
      <c r="AF21" s="169"/>
      <c r="AG21" s="132">
        <f t="shared" si="13"/>
        <v>0</v>
      </c>
    </row>
    <row r="22" spans="1:33" s="100" customFormat="1" ht="15.75" hidden="1" customHeight="1" thickTop="1">
      <c r="A22" s="133" t="s">
        <v>22</v>
      </c>
      <c r="B22" s="133" t="s">
        <v>36</v>
      </c>
      <c r="C22" s="96" t="s">
        <v>16</v>
      </c>
      <c r="D22" s="134"/>
      <c r="E22" s="134"/>
      <c r="F22" s="134"/>
      <c r="G22" s="134"/>
      <c r="H22" s="170"/>
      <c r="I22" s="135">
        <f t="shared" si="9"/>
        <v>0</v>
      </c>
      <c r="J22" s="134"/>
      <c r="K22" s="134"/>
      <c r="L22" s="134"/>
      <c r="M22" s="134"/>
      <c r="N22" s="170"/>
      <c r="O22" s="135">
        <f t="shared" si="10"/>
        <v>0</v>
      </c>
      <c r="P22" s="134"/>
      <c r="Q22" s="134"/>
      <c r="R22" s="134"/>
      <c r="S22" s="134"/>
      <c r="T22" s="170"/>
      <c r="U22" s="135">
        <f t="shared" si="11"/>
        <v>0</v>
      </c>
      <c r="V22" s="134"/>
      <c r="W22" s="134"/>
      <c r="X22" s="134"/>
      <c r="Y22" s="134"/>
      <c r="Z22" s="170"/>
      <c r="AA22" s="135">
        <f t="shared" si="12"/>
        <v>0</v>
      </c>
      <c r="AB22" s="134"/>
      <c r="AC22" s="134"/>
      <c r="AD22" s="134"/>
      <c r="AE22" s="134"/>
      <c r="AF22" s="170"/>
      <c r="AG22" s="135">
        <f t="shared" si="13"/>
        <v>0</v>
      </c>
    </row>
    <row r="23" spans="1:33" s="100" customFormat="1" ht="15.75" hidden="1" customHeight="1" thickBot="1">
      <c r="A23" s="136" t="s">
        <v>23</v>
      </c>
      <c r="B23" s="136" t="s">
        <v>37</v>
      </c>
      <c r="C23" s="97" t="s">
        <v>16</v>
      </c>
      <c r="D23" s="137"/>
      <c r="E23" s="137"/>
      <c r="F23" s="137"/>
      <c r="G23" s="137"/>
      <c r="H23" s="137"/>
      <c r="I23" s="138">
        <f>SUM(D23:H23)</f>
        <v>0</v>
      </c>
      <c r="J23" s="137"/>
      <c r="K23" s="137"/>
      <c r="L23" s="137"/>
      <c r="M23" s="137"/>
      <c r="N23" s="171"/>
      <c r="O23" s="138">
        <f>SUM(J23:N23)</f>
        <v>0</v>
      </c>
      <c r="P23" s="137"/>
      <c r="Q23" s="137"/>
      <c r="R23" s="137"/>
      <c r="S23" s="137"/>
      <c r="T23" s="171"/>
      <c r="U23" s="138">
        <f>SUM(P23:T23)</f>
        <v>0</v>
      </c>
      <c r="V23" s="137"/>
      <c r="W23" s="137"/>
      <c r="X23" s="137"/>
      <c r="Y23" s="137"/>
      <c r="Z23" s="137"/>
      <c r="AA23" s="138">
        <f>SUM(V23:Z23)</f>
        <v>0</v>
      </c>
      <c r="AB23" s="137"/>
      <c r="AC23" s="137"/>
      <c r="AD23" s="137"/>
      <c r="AE23" s="137"/>
      <c r="AF23" s="137"/>
      <c r="AG23" s="138">
        <f>SUM(AB23:AF23)</f>
        <v>0</v>
      </c>
    </row>
    <row r="24" spans="1:33" s="144" customFormat="1" ht="15.75" hidden="1" customHeight="1" thickTop="1" thickBot="1">
      <c r="A24" s="139" t="s">
        <v>27</v>
      </c>
      <c r="B24" s="140" t="s">
        <v>38</v>
      </c>
      <c r="C24" s="141" t="s">
        <v>14</v>
      </c>
      <c r="D24" s="142"/>
      <c r="E24" s="142"/>
      <c r="F24" s="142"/>
      <c r="G24" s="142"/>
      <c r="H24" s="172"/>
      <c r="I24" s="143">
        <f>SUM(D24:H24)</f>
        <v>0</v>
      </c>
      <c r="J24" s="142"/>
      <c r="K24" s="142"/>
      <c r="L24" s="142"/>
      <c r="M24" s="142"/>
      <c r="N24" s="172"/>
      <c r="O24" s="143">
        <f>SUM(J24:N24)</f>
        <v>0</v>
      </c>
      <c r="P24" s="142"/>
      <c r="Q24" s="142"/>
      <c r="R24" s="142"/>
      <c r="S24" s="142"/>
      <c r="T24" s="172"/>
      <c r="U24" s="143">
        <f>SUM(P24:T24)</f>
        <v>0</v>
      </c>
      <c r="V24" s="142"/>
      <c r="W24" s="142"/>
      <c r="X24" s="142"/>
      <c r="Y24" s="142"/>
      <c r="Z24" s="172"/>
      <c r="AA24" s="143">
        <f>SUM(V24:Z24)</f>
        <v>0</v>
      </c>
      <c r="AB24" s="142"/>
      <c r="AC24" s="142"/>
      <c r="AD24" s="142"/>
      <c r="AE24" s="142"/>
      <c r="AF24" s="172"/>
      <c r="AG24" s="143">
        <f t="shared" si="13"/>
        <v>0</v>
      </c>
    </row>
    <row r="25" spans="1:33" s="149" customFormat="1" ht="15" hidden="1" customHeight="1" thickTop="1">
      <c r="A25" s="145" t="s">
        <v>42</v>
      </c>
      <c r="B25" s="145" t="s">
        <v>41</v>
      </c>
      <c r="C25" s="146" t="s">
        <v>43</v>
      </c>
      <c r="D25" s="147"/>
      <c r="E25" s="147"/>
      <c r="F25" s="147"/>
      <c r="G25" s="147"/>
      <c r="H25" s="173"/>
      <c r="I25" s="148">
        <f>SUM(D25:H25)</f>
        <v>0</v>
      </c>
      <c r="J25" s="147"/>
      <c r="K25" s="147"/>
      <c r="L25" s="147"/>
      <c r="M25" s="147"/>
      <c r="N25" s="173"/>
      <c r="O25" s="148">
        <f>SUM(J25:N25)</f>
        <v>0</v>
      </c>
      <c r="P25" s="147"/>
      <c r="Q25" s="147"/>
      <c r="R25" s="147"/>
      <c r="S25" s="147"/>
      <c r="T25" s="173"/>
      <c r="U25" s="148">
        <f>SUM(P25:T25)</f>
        <v>0</v>
      </c>
      <c r="V25" s="147"/>
      <c r="W25" s="147"/>
      <c r="X25" s="147"/>
      <c r="Y25" s="147"/>
      <c r="Z25" s="173"/>
      <c r="AA25" s="148">
        <f>SUM(V25:Z25)</f>
        <v>0</v>
      </c>
      <c r="AB25" s="147"/>
      <c r="AC25" s="147"/>
      <c r="AD25" s="147"/>
      <c r="AE25" s="147"/>
      <c r="AF25" s="173"/>
      <c r="AG25" s="148">
        <f t="shared" si="13"/>
        <v>0</v>
      </c>
    </row>
    <row r="26" spans="1:33" s="154" customFormat="1" ht="15" hidden="1" customHeight="1">
      <c r="A26" s="150" t="s">
        <v>47</v>
      </c>
      <c r="B26" s="150" t="s">
        <v>48</v>
      </c>
      <c r="C26" s="151" t="s">
        <v>43</v>
      </c>
      <c r="D26" s="152">
        <f>VLOOKUP($B26,'[1]JAI (加新件號)'!$D$20:$HA$77,186,0)</f>
        <v>0</v>
      </c>
      <c r="E26" s="152">
        <f>VLOOKUP($B26,'[1]JAI (加新件號)'!$D$20:$HA$77,187,0)</f>
        <v>0</v>
      </c>
      <c r="F26" s="152">
        <f>VLOOKUP($B26,'[1]JAI (加新件號)'!$D$20:$HA$77,188,0)</f>
        <v>0</v>
      </c>
      <c r="G26" s="152">
        <f>VLOOKUP($B26,'[1]JAI (加新件號)'!$D$20:$HA$77,189,0)</f>
        <v>0</v>
      </c>
      <c r="H26" s="152"/>
      <c r="I26" s="153">
        <f t="shared" ref="I26:I39" si="14">SUM(D26:H26)</f>
        <v>0</v>
      </c>
      <c r="J26" s="152">
        <f>VLOOKUP($B26,'[1]JAI (加新件號)'!$D$20:$HA$77,190,0)</f>
        <v>0</v>
      </c>
      <c r="K26" s="152">
        <f>VLOOKUP($B26,'[1]JAI (加新件號)'!$D$20:$HA$77,191,0)</f>
        <v>0</v>
      </c>
      <c r="L26" s="152">
        <f>VLOOKUP($B26,'[1]JAI (加新件號)'!$D$20:$HA$77,192,0)</f>
        <v>0</v>
      </c>
      <c r="M26" s="152">
        <f>VLOOKUP($B26,'[1]JAI (加新件號)'!$D$20:$HA$77,193,0)</f>
        <v>0</v>
      </c>
      <c r="N26" s="152">
        <f>VLOOKUP($B26,'[1]JAI (加新件號)'!$D$20:$HA$77,194,0)</f>
        <v>0</v>
      </c>
      <c r="O26" s="153">
        <f t="shared" ref="O26:O39" si="15">SUM(J26:N26)</f>
        <v>0</v>
      </c>
      <c r="P26" s="152">
        <f>VLOOKUP($B26,'[1]JAI (加新件號)'!$D$20:$HA$77,195,0)</f>
        <v>0</v>
      </c>
      <c r="Q26" s="152">
        <f>VLOOKUP($B26,'[1]JAI (加新件號)'!$D$20:$HA$77,196,0)</f>
        <v>0</v>
      </c>
      <c r="R26" s="152">
        <f>VLOOKUP($B26,'[1]JAI (加新件號)'!$D$20:$HA$77,197,0)</f>
        <v>0</v>
      </c>
      <c r="S26" s="152">
        <f>VLOOKUP($B26,'[1]JAI (加新件號)'!$D$20:$HA$77,198,0)</f>
        <v>0</v>
      </c>
      <c r="T26" s="152"/>
      <c r="U26" s="153">
        <f t="shared" ref="U26:U39" si="16">SUM(P26:T26)</f>
        <v>0</v>
      </c>
      <c r="V26" s="152">
        <f>VLOOKUP($B26,'[1]JAI (加新件號)'!$D$20:$HA$77,199,0)</f>
        <v>0</v>
      </c>
      <c r="W26" s="152">
        <f>VLOOKUP($B26,'[1]JAI (加新件號)'!$D$20:$HA$77,200,0)</f>
        <v>0</v>
      </c>
      <c r="X26" s="152">
        <f>VLOOKUP($B26,'[1]JAI (加新件號)'!$D$20:$HA$77,201,0)</f>
        <v>0</v>
      </c>
      <c r="Y26" s="152">
        <f>VLOOKUP($B26,'[1]JAI (加新件號)'!$D$20:$HA$77,202,0)</f>
        <v>0</v>
      </c>
      <c r="Z26" s="152"/>
      <c r="AA26" s="153">
        <f t="shared" ref="AA26:AA39" si="17">SUM(V26:Z26)</f>
        <v>0</v>
      </c>
      <c r="AB26" s="152">
        <f>VLOOKUP($B26,'[1]JAI (加新件號)'!$D$20:$HA$77,203,0)</f>
        <v>0</v>
      </c>
      <c r="AC26" s="152">
        <f>VLOOKUP($B26,'[1]JAI (加新件號)'!$D$20:$HA$77,204,0)</f>
        <v>0</v>
      </c>
      <c r="AD26" s="152">
        <f>VLOOKUP($B26,'[1]JAI (加新件號)'!$D$20:$HA$77,205,0)</f>
        <v>0</v>
      </c>
      <c r="AE26" s="152">
        <f>VLOOKUP($B26,'[1]JAI (加新件號)'!$D$20:$HA$77,206,0)</f>
        <v>0</v>
      </c>
      <c r="AF26" s="152">
        <v>0</v>
      </c>
      <c r="AG26" s="153">
        <f t="shared" si="13"/>
        <v>0</v>
      </c>
    </row>
    <row r="27" spans="1:33" s="154" customFormat="1" ht="15" hidden="1" customHeight="1">
      <c r="A27" s="150" t="s">
        <v>49</v>
      </c>
      <c r="B27" s="150" t="s">
        <v>50</v>
      </c>
      <c r="C27" s="151" t="s">
        <v>43</v>
      </c>
      <c r="D27" s="152">
        <f>VLOOKUP($B27,'[1]JAI (加新件號)'!$D$20:$HA$77,186,0)</f>
        <v>0</v>
      </c>
      <c r="E27" s="152">
        <f>VLOOKUP($B27,'[1]JAI (加新件號)'!$D$20:$HA$77,187,0)</f>
        <v>0</v>
      </c>
      <c r="F27" s="152">
        <f>VLOOKUP($B27,'[1]JAI (加新件號)'!$D$20:$HA$77,188,0)</f>
        <v>0</v>
      </c>
      <c r="G27" s="152">
        <f>VLOOKUP($B27,'[1]JAI (加新件號)'!$D$20:$HA$77,189,0)</f>
        <v>0</v>
      </c>
      <c r="H27" s="174"/>
      <c r="I27" s="153">
        <f t="shared" si="14"/>
        <v>0</v>
      </c>
      <c r="J27" s="152">
        <f>VLOOKUP($B27,'[1]JAI (加新件號)'!$D$20:$HA$77,190,0)</f>
        <v>0</v>
      </c>
      <c r="K27" s="152">
        <f>VLOOKUP($B27,'[1]JAI (加新件號)'!$D$20:$HA$77,191,0)</f>
        <v>0</v>
      </c>
      <c r="L27" s="152">
        <f>VLOOKUP($B27,'[1]JAI (加新件號)'!$D$20:$HA$77,192,0)</f>
        <v>0</v>
      </c>
      <c r="M27" s="152">
        <f>VLOOKUP($B27,'[1]JAI (加新件號)'!$D$20:$HA$77,193,0)</f>
        <v>0</v>
      </c>
      <c r="N27" s="174">
        <f>VLOOKUP($B27,'[1]JAI (加新件號)'!$D$20:$HA$77,194,0)</f>
        <v>0</v>
      </c>
      <c r="O27" s="153">
        <f t="shared" si="15"/>
        <v>0</v>
      </c>
      <c r="P27" s="152">
        <f>VLOOKUP($B27,'[1]JAI (加新件號)'!$D$20:$HA$77,195,0)</f>
        <v>0</v>
      </c>
      <c r="Q27" s="152">
        <f>VLOOKUP($B27,'[1]JAI (加新件號)'!$D$20:$HA$77,196,0)</f>
        <v>0</v>
      </c>
      <c r="R27" s="152">
        <f>VLOOKUP($B27,'[1]JAI (加新件號)'!$D$20:$HA$77,197,0)</f>
        <v>0</v>
      </c>
      <c r="S27" s="152">
        <f>VLOOKUP($B27,'[1]JAI (加新件號)'!$D$20:$HA$77,198,0)</f>
        <v>0</v>
      </c>
      <c r="T27" s="174"/>
      <c r="U27" s="153">
        <f t="shared" si="16"/>
        <v>0</v>
      </c>
      <c r="V27" s="152">
        <f>VLOOKUP($B27,'[1]JAI (加新件號)'!$D$20:$HA$77,199,0)</f>
        <v>0</v>
      </c>
      <c r="W27" s="152">
        <f>VLOOKUP($B27,'[1]JAI (加新件號)'!$D$20:$HA$77,200,0)</f>
        <v>0</v>
      </c>
      <c r="X27" s="152">
        <f>VLOOKUP($B27,'[1]JAI (加新件號)'!$D$20:$HA$77,201,0)</f>
        <v>0</v>
      </c>
      <c r="Y27" s="152">
        <f>VLOOKUP($B27,'[1]JAI (加新件號)'!$D$20:$HA$77,202,0)</f>
        <v>0</v>
      </c>
      <c r="Z27" s="174"/>
      <c r="AA27" s="153">
        <f t="shared" si="17"/>
        <v>0</v>
      </c>
      <c r="AB27" s="152">
        <f>VLOOKUP($B27,'[1]JAI (加新件號)'!$D$20:$HA$77,203,0)</f>
        <v>0</v>
      </c>
      <c r="AC27" s="152">
        <f>VLOOKUP($B27,'[1]JAI (加新件號)'!$D$20:$HA$77,204,0)</f>
        <v>0</v>
      </c>
      <c r="AD27" s="152">
        <f>VLOOKUP($B27,'[1]JAI (加新件號)'!$D$20:$HA$77,205,0)</f>
        <v>0</v>
      </c>
      <c r="AE27" s="152">
        <f>VLOOKUP($B27,'[1]JAI (加新件號)'!$D$20:$HA$77,206,0)</f>
        <v>0</v>
      </c>
      <c r="AF27" s="174">
        <v>0</v>
      </c>
      <c r="AG27" s="153">
        <f t="shared" si="13"/>
        <v>0</v>
      </c>
    </row>
    <row r="28" spans="1:33" s="154" customFormat="1" ht="15" hidden="1" customHeight="1">
      <c r="A28" s="150" t="s">
        <v>51</v>
      </c>
      <c r="B28" s="150" t="s">
        <v>61</v>
      </c>
      <c r="C28" s="151" t="s">
        <v>43</v>
      </c>
      <c r="D28" s="152">
        <f>VLOOKUP($B28,'[1]JAI (加新件號)'!$D$20:$HA$77,186,0)</f>
        <v>0</v>
      </c>
      <c r="E28" s="152">
        <f>VLOOKUP($B28,'[1]JAI (加新件號)'!$D$20:$HA$77,187,0)</f>
        <v>0</v>
      </c>
      <c r="F28" s="152">
        <f>VLOOKUP($B28,'[1]JAI (加新件號)'!$D$20:$HA$77,188,0)</f>
        <v>0</v>
      </c>
      <c r="G28" s="152">
        <f>VLOOKUP($B28,'[1]JAI (加新件號)'!$D$20:$HA$77,189,0)</f>
        <v>0</v>
      </c>
      <c r="H28" s="174"/>
      <c r="I28" s="153">
        <f t="shared" si="14"/>
        <v>0</v>
      </c>
      <c r="J28" s="152">
        <f>VLOOKUP($B28,'[1]JAI (加新件號)'!$D$20:$HA$77,190,0)</f>
        <v>0</v>
      </c>
      <c r="K28" s="152">
        <f>VLOOKUP($B28,'[1]JAI (加新件號)'!$D$20:$HA$77,191,0)</f>
        <v>0</v>
      </c>
      <c r="L28" s="152">
        <f>VLOOKUP($B28,'[1]JAI (加新件號)'!$D$20:$HA$77,192,0)</f>
        <v>0</v>
      </c>
      <c r="M28" s="152">
        <f>VLOOKUP($B28,'[1]JAI (加新件號)'!$D$20:$HA$77,193,0)</f>
        <v>0</v>
      </c>
      <c r="N28" s="174">
        <f>VLOOKUP($B28,'[1]JAI (加新件號)'!$D$20:$HA$77,194,0)</f>
        <v>0</v>
      </c>
      <c r="O28" s="153">
        <f t="shared" si="15"/>
        <v>0</v>
      </c>
      <c r="P28" s="152">
        <f>VLOOKUP($B28,'[1]JAI (加新件號)'!$D$20:$HA$77,195,0)</f>
        <v>0</v>
      </c>
      <c r="Q28" s="152">
        <f>VLOOKUP($B28,'[1]JAI (加新件號)'!$D$20:$HA$77,196,0)</f>
        <v>0</v>
      </c>
      <c r="R28" s="152">
        <f>VLOOKUP($B28,'[1]JAI (加新件號)'!$D$20:$HA$77,197,0)</f>
        <v>0</v>
      </c>
      <c r="S28" s="152">
        <f>VLOOKUP($B28,'[1]JAI (加新件號)'!$D$20:$HA$77,198,0)</f>
        <v>0</v>
      </c>
      <c r="T28" s="174"/>
      <c r="U28" s="153">
        <f t="shared" si="16"/>
        <v>0</v>
      </c>
      <c r="V28" s="152">
        <f>VLOOKUP($B28,'[1]JAI (加新件號)'!$D$20:$HA$77,199,0)</f>
        <v>0</v>
      </c>
      <c r="W28" s="152">
        <f>VLOOKUP($B28,'[1]JAI (加新件號)'!$D$20:$HA$77,200,0)</f>
        <v>0</v>
      </c>
      <c r="X28" s="152">
        <f>VLOOKUP($B28,'[1]JAI (加新件號)'!$D$20:$HA$77,201,0)</f>
        <v>0</v>
      </c>
      <c r="Y28" s="152">
        <f>VLOOKUP($B28,'[1]JAI (加新件號)'!$D$20:$HA$77,202,0)</f>
        <v>0</v>
      </c>
      <c r="Z28" s="174"/>
      <c r="AA28" s="153">
        <f t="shared" si="17"/>
        <v>0</v>
      </c>
      <c r="AB28" s="152">
        <f>VLOOKUP($B28,'[1]JAI (加新件號)'!$D$20:$HA$77,203,0)</f>
        <v>0</v>
      </c>
      <c r="AC28" s="152">
        <f>VLOOKUP($B28,'[1]JAI (加新件號)'!$D$20:$HA$77,204,0)</f>
        <v>0</v>
      </c>
      <c r="AD28" s="152">
        <f>VLOOKUP($B28,'[1]JAI (加新件號)'!$D$20:$HA$77,205,0)</f>
        <v>0</v>
      </c>
      <c r="AE28" s="152">
        <f>VLOOKUP($B28,'[1]JAI (加新件號)'!$D$20:$HA$77,206,0)</f>
        <v>0</v>
      </c>
      <c r="AF28" s="174">
        <v>0</v>
      </c>
      <c r="AG28" s="153">
        <f t="shared" si="13"/>
        <v>0</v>
      </c>
    </row>
    <row r="29" spans="1:33" s="159" customFormat="1" ht="15" hidden="1" customHeight="1" thickBot="1">
      <c r="A29" s="155" t="s">
        <v>52</v>
      </c>
      <c r="B29" s="155" t="s">
        <v>62</v>
      </c>
      <c r="C29" s="156" t="s">
        <v>43</v>
      </c>
      <c r="D29" s="157">
        <f>VLOOKUP($B29,'[1]JAI (加新件號)'!$D$20:$HA$77,186,0)</f>
        <v>0</v>
      </c>
      <c r="E29" s="157">
        <f>VLOOKUP($B29,'[1]JAI (加新件號)'!$D$20:$HA$77,187,0)</f>
        <v>0</v>
      </c>
      <c r="F29" s="157">
        <f>VLOOKUP($B29,'[1]JAI (加新件號)'!$D$20:$HA$77,188,0)</f>
        <v>0</v>
      </c>
      <c r="G29" s="157">
        <f>VLOOKUP($B29,'[1]JAI (加新件號)'!$D$20:$HA$77,189,0)</f>
        <v>0</v>
      </c>
      <c r="H29" s="175"/>
      <c r="I29" s="158">
        <f t="shared" si="14"/>
        <v>0</v>
      </c>
      <c r="J29" s="157">
        <f>VLOOKUP($B29,'[1]JAI (加新件號)'!$D$20:$HA$77,190,0)</f>
        <v>0</v>
      </c>
      <c r="K29" s="157">
        <f>VLOOKUP($B29,'[1]JAI (加新件號)'!$D$20:$HA$77,191,0)</f>
        <v>0</v>
      </c>
      <c r="L29" s="157">
        <f>VLOOKUP($B29,'[1]JAI (加新件號)'!$D$20:$HA$77,192,0)</f>
        <v>0</v>
      </c>
      <c r="M29" s="157">
        <f>VLOOKUP($B29,'[1]JAI (加新件號)'!$D$20:$HA$77,193,0)</f>
        <v>0</v>
      </c>
      <c r="N29" s="175">
        <f>VLOOKUP($B29,'[1]JAI (加新件號)'!$D$20:$HA$77,194,0)</f>
        <v>0</v>
      </c>
      <c r="O29" s="158">
        <f t="shared" si="15"/>
        <v>0</v>
      </c>
      <c r="P29" s="157">
        <f>VLOOKUP($B29,'[1]JAI (加新件號)'!$D$20:$HA$77,195,0)</f>
        <v>0</v>
      </c>
      <c r="Q29" s="157">
        <f>VLOOKUP($B29,'[1]JAI (加新件號)'!$D$20:$HA$77,196,0)</f>
        <v>0</v>
      </c>
      <c r="R29" s="157">
        <f>VLOOKUP($B29,'[1]JAI (加新件號)'!$D$20:$HA$77,197,0)</f>
        <v>0</v>
      </c>
      <c r="S29" s="157">
        <f>VLOOKUP($B29,'[1]JAI (加新件號)'!$D$20:$HA$77,198,0)</f>
        <v>0</v>
      </c>
      <c r="T29" s="175"/>
      <c r="U29" s="158">
        <f t="shared" si="16"/>
        <v>0</v>
      </c>
      <c r="V29" s="157">
        <f>VLOOKUP($B29,'[1]JAI (加新件號)'!$D$20:$HA$77,199,0)</f>
        <v>0</v>
      </c>
      <c r="W29" s="157">
        <f>VLOOKUP($B29,'[1]JAI (加新件號)'!$D$20:$HA$77,200,0)</f>
        <v>0</v>
      </c>
      <c r="X29" s="157">
        <f>VLOOKUP($B29,'[1]JAI (加新件號)'!$D$20:$HA$77,201,0)</f>
        <v>0</v>
      </c>
      <c r="Y29" s="157">
        <f>VLOOKUP($B29,'[1]JAI (加新件號)'!$D$20:$HA$77,202,0)</f>
        <v>0</v>
      </c>
      <c r="Z29" s="175"/>
      <c r="AA29" s="158">
        <f t="shared" si="17"/>
        <v>0</v>
      </c>
      <c r="AB29" s="157">
        <f>VLOOKUP($B29,'[1]JAI (加新件號)'!$D$20:$HA$77,203,0)</f>
        <v>0</v>
      </c>
      <c r="AC29" s="157">
        <f>VLOOKUP($B29,'[1]JAI (加新件號)'!$D$20:$HA$77,204,0)</f>
        <v>0</v>
      </c>
      <c r="AD29" s="157">
        <f>VLOOKUP($B29,'[1]JAI (加新件號)'!$D$20:$HA$77,205,0)</f>
        <v>0</v>
      </c>
      <c r="AE29" s="157">
        <f>VLOOKUP($B29,'[1]JAI (加新件號)'!$D$20:$HA$77,206,0)</f>
        <v>0</v>
      </c>
      <c r="AF29" s="175">
        <v>0</v>
      </c>
      <c r="AG29" s="158">
        <f t="shared" si="13"/>
        <v>0</v>
      </c>
    </row>
    <row r="30" spans="1:33" s="154" customFormat="1" ht="15" hidden="1" customHeight="1" thickTop="1">
      <c r="A30" s="150" t="s">
        <v>53</v>
      </c>
      <c r="B30" s="150" t="s">
        <v>63</v>
      </c>
      <c r="C30" s="151" t="s">
        <v>45</v>
      </c>
      <c r="D30" s="152">
        <f>VLOOKUP($B30,'[1]JAI (加新件號)'!$D$20:$HA$77,186,0)</f>
        <v>0</v>
      </c>
      <c r="E30" s="152">
        <f>VLOOKUP($B30,'[1]JAI (加新件號)'!$D$20:$HA$77,187,0)</f>
        <v>0</v>
      </c>
      <c r="F30" s="152">
        <f>VLOOKUP($B30,'[1]JAI (加新件號)'!$D$20:$HA$77,188,0)</f>
        <v>0</v>
      </c>
      <c r="G30" s="152">
        <f>VLOOKUP($B30,'[1]JAI (加新件號)'!$D$20:$HA$77,189,0)</f>
        <v>0</v>
      </c>
      <c r="H30" s="174"/>
      <c r="I30" s="153">
        <f t="shared" si="14"/>
        <v>0</v>
      </c>
      <c r="J30" s="152">
        <f>VLOOKUP($B30,'[1]JAI (加新件號)'!$D$20:$HA$77,190,0)</f>
        <v>0</v>
      </c>
      <c r="K30" s="152">
        <f>VLOOKUP($B30,'[1]JAI (加新件號)'!$D$20:$HA$77,191,0)</f>
        <v>0</v>
      </c>
      <c r="L30" s="152">
        <f>VLOOKUP($B30,'[1]JAI (加新件號)'!$D$20:$HA$77,192,0)</f>
        <v>0</v>
      </c>
      <c r="M30" s="152">
        <f>VLOOKUP($B30,'[1]JAI (加新件號)'!$D$20:$HA$77,193,0)</f>
        <v>0</v>
      </c>
      <c r="N30" s="174">
        <f>VLOOKUP($B30,'[1]JAI (加新件號)'!$D$20:$HA$77,194,0)</f>
        <v>0</v>
      </c>
      <c r="O30" s="153">
        <f t="shared" si="15"/>
        <v>0</v>
      </c>
      <c r="P30" s="152">
        <f>VLOOKUP($B30,'[1]JAI (加新件號)'!$D$20:$HA$77,195,0)</f>
        <v>0</v>
      </c>
      <c r="Q30" s="152">
        <f>VLOOKUP($B30,'[1]JAI (加新件號)'!$D$20:$HA$77,196,0)</f>
        <v>0</v>
      </c>
      <c r="R30" s="152">
        <f>VLOOKUP($B30,'[1]JAI (加新件號)'!$D$20:$HA$77,197,0)</f>
        <v>0</v>
      </c>
      <c r="S30" s="152">
        <f>VLOOKUP($B30,'[1]JAI (加新件號)'!$D$20:$HA$77,198,0)</f>
        <v>0</v>
      </c>
      <c r="T30" s="174"/>
      <c r="U30" s="153">
        <f t="shared" si="16"/>
        <v>0</v>
      </c>
      <c r="V30" s="152">
        <f>VLOOKUP($B30,'[1]JAI (加新件號)'!$D$20:$HA$77,199,0)</f>
        <v>0</v>
      </c>
      <c r="W30" s="152">
        <f>VLOOKUP($B30,'[1]JAI (加新件號)'!$D$20:$HA$77,200,0)</f>
        <v>0</v>
      </c>
      <c r="X30" s="152">
        <f>VLOOKUP($B30,'[1]JAI (加新件號)'!$D$20:$HA$77,201,0)</f>
        <v>0</v>
      </c>
      <c r="Y30" s="152">
        <f>VLOOKUP($B30,'[1]JAI (加新件號)'!$D$20:$HA$77,202,0)</f>
        <v>0</v>
      </c>
      <c r="Z30" s="174"/>
      <c r="AA30" s="153">
        <f t="shared" si="17"/>
        <v>0</v>
      </c>
      <c r="AB30" s="152">
        <f>VLOOKUP($B30,'[1]JAI (加新件號)'!$D$20:$HA$77,203,0)</f>
        <v>0</v>
      </c>
      <c r="AC30" s="152">
        <f>VLOOKUP($B30,'[1]JAI (加新件號)'!$D$20:$HA$77,204,0)</f>
        <v>0</v>
      </c>
      <c r="AD30" s="152">
        <f>VLOOKUP($B30,'[1]JAI (加新件號)'!$D$20:$HA$77,205,0)</f>
        <v>0</v>
      </c>
      <c r="AE30" s="152">
        <f>VLOOKUP($B30,'[1]JAI (加新件號)'!$D$20:$HA$77,206,0)</f>
        <v>0</v>
      </c>
      <c r="AF30" s="174">
        <v>0</v>
      </c>
      <c r="AG30" s="153">
        <f t="shared" si="13"/>
        <v>0</v>
      </c>
    </row>
    <row r="31" spans="1:33" s="154" customFormat="1" ht="15" hidden="1" customHeight="1">
      <c r="A31" s="150" t="s">
        <v>54</v>
      </c>
      <c r="B31" s="150" t="s">
        <v>64</v>
      </c>
      <c r="C31" s="151" t="s">
        <v>45</v>
      </c>
      <c r="D31" s="152">
        <f>VLOOKUP($B31,'[1]JAI (加新件號)'!$D$20:$HA$77,186,0)</f>
        <v>0</v>
      </c>
      <c r="E31" s="152">
        <f>VLOOKUP($B31,'[1]JAI (加新件號)'!$D$20:$HA$77,187,0)</f>
        <v>0</v>
      </c>
      <c r="F31" s="152">
        <f>VLOOKUP($B31,'[1]JAI (加新件號)'!$D$20:$HA$77,188,0)</f>
        <v>0</v>
      </c>
      <c r="G31" s="152">
        <f>VLOOKUP($B31,'[1]JAI (加新件號)'!$D$20:$HA$77,189,0)</f>
        <v>0</v>
      </c>
      <c r="H31" s="174"/>
      <c r="I31" s="153">
        <f t="shared" si="14"/>
        <v>0</v>
      </c>
      <c r="J31" s="152">
        <f>VLOOKUP($B31,'[1]JAI (加新件號)'!$D$20:$HA$77,190,0)</f>
        <v>0</v>
      </c>
      <c r="K31" s="152">
        <f>VLOOKUP($B31,'[1]JAI (加新件號)'!$D$20:$HA$77,191,0)</f>
        <v>0</v>
      </c>
      <c r="L31" s="152">
        <f>VLOOKUP($B31,'[1]JAI (加新件號)'!$D$20:$HA$77,192,0)</f>
        <v>0</v>
      </c>
      <c r="M31" s="152">
        <f>VLOOKUP($B31,'[1]JAI (加新件號)'!$D$20:$HA$77,193,0)</f>
        <v>0</v>
      </c>
      <c r="N31" s="174">
        <f>VLOOKUP($B31,'[1]JAI (加新件號)'!$D$20:$HA$77,194,0)</f>
        <v>0</v>
      </c>
      <c r="O31" s="153">
        <f t="shared" si="15"/>
        <v>0</v>
      </c>
      <c r="P31" s="152">
        <f>VLOOKUP($B31,'[1]JAI (加新件號)'!$D$20:$HA$77,195,0)</f>
        <v>0</v>
      </c>
      <c r="Q31" s="152">
        <f>VLOOKUP($B31,'[1]JAI (加新件號)'!$D$20:$HA$77,196,0)</f>
        <v>0</v>
      </c>
      <c r="R31" s="152">
        <f>VLOOKUP($B31,'[1]JAI (加新件號)'!$D$20:$HA$77,197,0)</f>
        <v>0</v>
      </c>
      <c r="S31" s="152">
        <f>VLOOKUP($B31,'[1]JAI (加新件號)'!$D$20:$HA$77,198,0)</f>
        <v>0</v>
      </c>
      <c r="T31" s="174"/>
      <c r="U31" s="153">
        <f t="shared" si="16"/>
        <v>0</v>
      </c>
      <c r="V31" s="152">
        <f>VLOOKUP($B31,'[1]JAI (加新件號)'!$D$20:$HA$77,199,0)</f>
        <v>0</v>
      </c>
      <c r="W31" s="152">
        <f>VLOOKUP($B31,'[1]JAI (加新件號)'!$D$20:$HA$77,200,0)</f>
        <v>0</v>
      </c>
      <c r="X31" s="152">
        <f>VLOOKUP($B31,'[1]JAI (加新件號)'!$D$20:$HA$77,201,0)</f>
        <v>0</v>
      </c>
      <c r="Y31" s="152">
        <f>VLOOKUP($B31,'[1]JAI (加新件號)'!$D$20:$HA$77,202,0)</f>
        <v>0</v>
      </c>
      <c r="Z31" s="174"/>
      <c r="AA31" s="153">
        <f t="shared" si="17"/>
        <v>0</v>
      </c>
      <c r="AB31" s="152">
        <f>VLOOKUP($B31,'[1]JAI (加新件號)'!$D$20:$HA$77,203,0)</f>
        <v>0</v>
      </c>
      <c r="AC31" s="152">
        <f>VLOOKUP($B31,'[1]JAI (加新件號)'!$D$20:$HA$77,204,0)</f>
        <v>0</v>
      </c>
      <c r="AD31" s="152">
        <f>VLOOKUP($B31,'[1]JAI (加新件號)'!$D$20:$HA$77,205,0)</f>
        <v>0</v>
      </c>
      <c r="AE31" s="152">
        <f>VLOOKUP($B31,'[1]JAI (加新件號)'!$D$20:$HA$77,206,0)</f>
        <v>0</v>
      </c>
      <c r="AF31" s="174">
        <v>0</v>
      </c>
      <c r="AG31" s="153">
        <f t="shared" si="13"/>
        <v>0</v>
      </c>
    </row>
    <row r="32" spans="1:33" s="154" customFormat="1" ht="15" hidden="1" customHeight="1">
      <c r="A32" s="150" t="s">
        <v>55</v>
      </c>
      <c r="B32" s="150" t="s">
        <v>65</v>
      </c>
      <c r="C32" s="151" t="s">
        <v>45</v>
      </c>
      <c r="D32" s="152">
        <f>VLOOKUP($B32,'[1]JAI (加新件號)'!$D$20:$HA$77,186,0)</f>
        <v>0</v>
      </c>
      <c r="E32" s="152">
        <f>VLOOKUP($B32,'[1]JAI (加新件號)'!$D$20:$HA$77,187,0)</f>
        <v>0</v>
      </c>
      <c r="F32" s="152">
        <f>VLOOKUP($B32,'[1]JAI (加新件號)'!$D$20:$HA$77,188,0)</f>
        <v>0</v>
      </c>
      <c r="G32" s="152">
        <f>VLOOKUP($B32,'[1]JAI (加新件號)'!$D$20:$HA$77,189,0)</f>
        <v>0</v>
      </c>
      <c r="H32" s="174"/>
      <c r="I32" s="153">
        <f t="shared" si="14"/>
        <v>0</v>
      </c>
      <c r="J32" s="152">
        <f>VLOOKUP($B32,'[1]JAI (加新件號)'!$D$20:$HA$77,190,0)</f>
        <v>0</v>
      </c>
      <c r="K32" s="152">
        <f>VLOOKUP($B32,'[1]JAI (加新件號)'!$D$20:$HA$77,191,0)</f>
        <v>0</v>
      </c>
      <c r="L32" s="152">
        <f>VLOOKUP($B32,'[1]JAI (加新件號)'!$D$20:$HA$77,192,0)</f>
        <v>0</v>
      </c>
      <c r="M32" s="152">
        <f>VLOOKUP($B32,'[1]JAI (加新件號)'!$D$20:$HA$77,193,0)</f>
        <v>0</v>
      </c>
      <c r="N32" s="174">
        <f>VLOOKUP($B32,'[1]JAI (加新件號)'!$D$20:$HA$77,194,0)</f>
        <v>0</v>
      </c>
      <c r="O32" s="153">
        <f t="shared" si="15"/>
        <v>0</v>
      </c>
      <c r="P32" s="152">
        <f>VLOOKUP($B32,'[1]JAI (加新件號)'!$D$20:$HA$77,195,0)</f>
        <v>0</v>
      </c>
      <c r="Q32" s="152">
        <f>VLOOKUP($B32,'[1]JAI (加新件號)'!$D$20:$HA$77,196,0)</f>
        <v>0</v>
      </c>
      <c r="R32" s="152">
        <f>VLOOKUP($B32,'[1]JAI (加新件號)'!$D$20:$HA$77,197,0)</f>
        <v>0</v>
      </c>
      <c r="S32" s="152">
        <f>VLOOKUP($B32,'[1]JAI (加新件號)'!$D$20:$HA$77,198,0)</f>
        <v>0</v>
      </c>
      <c r="T32" s="174"/>
      <c r="U32" s="153">
        <f t="shared" si="16"/>
        <v>0</v>
      </c>
      <c r="V32" s="152">
        <f>VLOOKUP($B32,'[1]JAI (加新件號)'!$D$20:$HA$77,199,0)</f>
        <v>0</v>
      </c>
      <c r="W32" s="152">
        <f>VLOOKUP($B32,'[1]JAI (加新件號)'!$D$20:$HA$77,200,0)</f>
        <v>0</v>
      </c>
      <c r="X32" s="152">
        <f>VLOOKUP($B32,'[1]JAI (加新件號)'!$D$20:$HA$77,201,0)</f>
        <v>0</v>
      </c>
      <c r="Y32" s="152">
        <f>VLOOKUP($B32,'[1]JAI (加新件號)'!$D$20:$HA$77,202,0)</f>
        <v>0</v>
      </c>
      <c r="Z32" s="174"/>
      <c r="AA32" s="153">
        <f t="shared" si="17"/>
        <v>0</v>
      </c>
      <c r="AB32" s="152">
        <f>VLOOKUP($B32,'[1]JAI (加新件號)'!$D$20:$HA$77,203,0)</f>
        <v>0</v>
      </c>
      <c r="AC32" s="152">
        <f>VLOOKUP($B32,'[1]JAI (加新件號)'!$D$20:$HA$77,204,0)</f>
        <v>0</v>
      </c>
      <c r="AD32" s="152">
        <f>VLOOKUP($B32,'[1]JAI (加新件號)'!$D$20:$HA$77,205,0)</f>
        <v>0</v>
      </c>
      <c r="AE32" s="152">
        <f>VLOOKUP($B32,'[1]JAI (加新件號)'!$D$20:$HA$77,206,0)</f>
        <v>0</v>
      </c>
      <c r="AF32" s="174">
        <v>0</v>
      </c>
      <c r="AG32" s="153">
        <f t="shared" si="13"/>
        <v>0</v>
      </c>
    </row>
    <row r="33" spans="1:33" s="154" customFormat="1" ht="15" hidden="1" customHeight="1">
      <c r="A33" s="150" t="s">
        <v>56</v>
      </c>
      <c r="B33" s="150" t="s">
        <v>66</v>
      </c>
      <c r="C33" s="151" t="s">
        <v>45</v>
      </c>
      <c r="D33" s="152">
        <f>VLOOKUP($B33,'[1]JAI (加新件號)'!$D$20:$HA$77,186,0)</f>
        <v>0</v>
      </c>
      <c r="E33" s="152">
        <f>VLOOKUP($B33,'[1]JAI (加新件號)'!$D$20:$HA$77,187,0)</f>
        <v>0</v>
      </c>
      <c r="F33" s="152">
        <f>VLOOKUP($B33,'[1]JAI (加新件號)'!$D$20:$HA$77,188,0)</f>
        <v>0</v>
      </c>
      <c r="G33" s="152">
        <f>VLOOKUP($B33,'[1]JAI (加新件號)'!$D$20:$HA$77,189,0)</f>
        <v>0</v>
      </c>
      <c r="H33" s="174"/>
      <c r="I33" s="153">
        <f t="shared" si="14"/>
        <v>0</v>
      </c>
      <c r="J33" s="152">
        <f>VLOOKUP($B33,'[1]JAI (加新件號)'!$D$20:$HA$77,190,0)</f>
        <v>0</v>
      </c>
      <c r="K33" s="152">
        <f>VLOOKUP($B33,'[1]JAI (加新件號)'!$D$20:$HA$77,191,0)</f>
        <v>0</v>
      </c>
      <c r="L33" s="152">
        <f>VLOOKUP($B33,'[1]JAI (加新件號)'!$D$20:$HA$77,192,0)</f>
        <v>0</v>
      </c>
      <c r="M33" s="152">
        <f>VLOOKUP($B33,'[1]JAI (加新件號)'!$D$20:$HA$77,193,0)</f>
        <v>0</v>
      </c>
      <c r="N33" s="174">
        <f>VLOOKUP($B33,'[1]JAI (加新件號)'!$D$20:$HA$77,194,0)</f>
        <v>0</v>
      </c>
      <c r="O33" s="153">
        <f t="shared" si="15"/>
        <v>0</v>
      </c>
      <c r="P33" s="152">
        <f>VLOOKUP($B33,'[1]JAI (加新件號)'!$D$20:$HA$77,195,0)</f>
        <v>0</v>
      </c>
      <c r="Q33" s="152">
        <f>VLOOKUP($B33,'[1]JAI (加新件號)'!$D$20:$HA$77,196,0)</f>
        <v>0</v>
      </c>
      <c r="R33" s="152">
        <f>VLOOKUP($B33,'[1]JAI (加新件號)'!$D$20:$HA$77,197,0)</f>
        <v>0</v>
      </c>
      <c r="S33" s="152">
        <f>VLOOKUP($B33,'[1]JAI (加新件號)'!$D$20:$HA$77,198,0)</f>
        <v>0</v>
      </c>
      <c r="T33" s="174"/>
      <c r="U33" s="153">
        <f t="shared" si="16"/>
        <v>0</v>
      </c>
      <c r="V33" s="152">
        <f>VLOOKUP($B33,'[1]JAI (加新件號)'!$D$20:$HA$77,199,0)</f>
        <v>0</v>
      </c>
      <c r="W33" s="152">
        <f>VLOOKUP($B33,'[1]JAI (加新件號)'!$D$20:$HA$77,200,0)</f>
        <v>0</v>
      </c>
      <c r="X33" s="152">
        <f>VLOOKUP($B33,'[1]JAI (加新件號)'!$D$20:$HA$77,201,0)</f>
        <v>0</v>
      </c>
      <c r="Y33" s="152">
        <f>VLOOKUP($B33,'[1]JAI (加新件號)'!$D$20:$HA$77,202,0)</f>
        <v>0</v>
      </c>
      <c r="Z33" s="174"/>
      <c r="AA33" s="153">
        <f t="shared" si="17"/>
        <v>0</v>
      </c>
      <c r="AB33" s="152">
        <f>VLOOKUP($B33,'[1]JAI (加新件號)'!$D$20:$HA$77,203,0)</f>
        <v>0</v>
      </c>
      <c r="AC33" s="152">
        <f>VLOOKUP($B33,'[1]JAI (加新件號)'!$D$20:$HA$77,204,0)</f>
        <v>0</v>
      </c>
      <c r="AD33" s="152">
        <f>VLOOKUP($B33,'[1]JAI (加新件號)'!$D$20:$HA$77,205,0)</f>
        <v>0</v>
      </c>
      <c r="AE33" s="152">
        <f>VLOOKUP($B33,'[1]JAI (加新件號)'!$D$20:$HA$77,206,0)</f>
        <v>0</v>
      </c>
      <c r="AF33" s="174">
        <v>0</v>
      </c>
      <c r="AG33" s="153">
        <f t="shared" si="13"/>
        <v>0</v>
      </c>
    </row>
    <row r="34" spans="1:33" s="159" customFormat="1" ht="15" hidden="1" customHeight="1" thickBot="1">
      <c r="A34" s="155" t="s">
        <v>77</v>
      </c>
      <c r="B34" s="155" t="s">
        <v>76</v>
      </c>
      <c r="C34" s="156" t="s">
        <v>45</v>
      </c>
      <c r="D34" s="157">
        <f>VLOOKUP($B34,'[1]JAI (加新件號)'!$D$20:$HA$77,186,0)</f>
        <v>0</v>
      </c>
      <c r="E34" s="157">
        <f>VLOOKUP($B34,'[1]JAI (加新件號)'!$D$20:$HA$77,187,0)</f>
        <v>0</v>
      </c>
      <c r="F34" s="157">
        <f>VLOOKUP($B34,'[1]JAI (加新件號)'!$D$20:$HA$77,188,0)</f>
        <v>0</v>
      </c>
      <c r="G34" s="157">
        <f>VLOOKUP($B34,'[1]JAI (加新件號)'!$D$20:$HA$77,189,0)</f>
        <v>0</v>
      </c>
      <c r="H34" s="175"/>
      <c r="I34" s="158">
        <f t="shared" si="14"/>
        <v>0</v>
      </c>
      <c r="J34" s="157">
        <f>VLOOKUP($B34,'[1]JAI (加新件號)'!$D$20:$HA$77,190,0)</f>
        <v>0</v>
      </c>
      <c r="K34" s="157">
        <f>VLOOKUP($B34,'[1]JAI (加新件號)'!$D$20:$HA$77,191,0)</f>
        <v>0</v>
      </c>
      <c r="L34" s="157">
        <f>VLOOKUP($B34,'[1]JAI (加新件號)'!$D$20:$HA$77,192,0)</f>
        <v>0</v>
      </c>
      <c r="M34" s="157">
        <f>VLOOKUP($B34,'[1]JAI (加新件號)'!$D$20:$HA$77,193,0)</f>
        <v>0</v>
      </c>
      <c r="N34" s="175">
        <f>VLOOKUP($B34,'[1]JAI (加新件號)'!$D$20:$HA$77,194,0)</f>
        <v>0</v>
      </c>
      <c r="O34" s="158">
        <f t="shared" si="15"/>
        <v>0</v>
      </c>
      <c r="P34" s="157">
        <f>VLOOKUP($B34,'[1]JAI (加新件號)'!$D$20:$HA$77,195,0)</f>
        <v>0</v>
      </c>
      <c r="Q34" s="157">
        <f>VLOOKUP($B34,'[1]JAI (加新件號)'!$D$20:$HA$77,196,0)</f>
        <v>0</v>
      </c>
      <c r="R34" s="157">
        <f>VLOOKUP($B34,'[1]JAI (加新件號)'!$D$20:$HA$77,197,0)</f>
        <v>0</v>
      </c>
      <c r="S34" s="157">
        <f>VLOOKUP($B34,'[1]JAI (加新件號)'!$D$20:$HA$77,198,0)</f>
        <v>0</v>
      </c>
      <c r="T34" s="175"/>
      <c r="U34" s="158">
        <f t="shared" si="16"/>
        <v>0</v>
      </c>
      <c r="V34" s="157">
        <f>VLOOKUP($B34,'[1]JAI (加新件號)'!$D$20:$HA$77,199,0)</f>
        <v>0</v>
      </c>
      <c r="W34" s="157">
        <f>VLOOKUP($B34,'[1]JAI (加新件號)'!$D$20:$HA$77,200,0)</f>
        <v>0</v>
      </c>
      <c r="X34" s="157">
        <f>VLOOKUP($B34,'[1]JAI (加新件號)'!$D$20:$HA$77,201,0)</f>
        <v>0</v>
      </c>
      <c r="Y34" s="157">
        <f>VLOOKUP($B34,'[1]JAI (加新件號)'!$D$20:$HA$77,202,0)</f>
        <v>0</v>
      </c>
      <c r="Z34" s="175"/>
      <c r="AA34" s="158">
        <f t="shared" si="17"/>
        <v>0</v>
      </c>
      <c r="AB34" s="157">
        <f>VLOOKUP($B34,'[1]JAI (加新件號)'!$D$20:$HA$77,203,0)</f>
        <v>0</v>
      </c>
      <c r="AC34" s="157">
        <f>VLOOKUP($B34,'[1]JAI (加新件號)'!$D$20:$HA$77,204,0)</f>
        <v>0</v>
      </c>
      <c r="AD34" s="157">
        <f>VLOOKUP($B34,'[1]JAI (加新件號)'!$D$20:$HA$77,205,0)</f>
        <v>0</v>
      </c>
      <c r="AE34" s="157">
        <f>VLOOKUP($B34,'[1]JAI (加新件號)'!$D$20:$HA$77,206,0)</f>
        <v>0</v>
      </c>
      <c r="AF34" s="175">
        <v>0</v>
      </c>
      <c r="AG34" s="158">
        <f t="shared" si="13"/>
        <v>0</v>
      </c>
    </row>
    <row r="35" spans="1:33" s="154" customFormat="1" ht="15" hidden="1" customHeight="1" thickTop="1">
      <c r="A35" s="150" t="s">
        <v>57</v>
      </c>
      <c r="B35" s="150" t="s">
        <v>67</v>
      </c>
      <c r="C35" s="151" t="s">
        <v>46</v>
      </c>
      <c r="D35" s="152">
        <f>VLOOKUP($B35,'[1]JAI (加新件號)'!$D$20:$HA$77,186,0)</f>
        <v>0</v>
      </c>
      <c r="E35" s="152">
        <f>VLOOKUP($B35,'[1]JAI (加新件號)'!$D$20:$HA$77,187,0)</f>
        <v>0</v>
      </c>
      <c r="F35" s="152">
        <f>VLOOKUP($B35,'[1]JAI (加新件號)'!$D$20:$HA$77,188,0)</f>
        <v>0</v>
      </c>
      <c r="G35" s="152">
        <f>VLOOKUP($B35,'[1]JAI (加新件號)'!$D$20:$HA$77,189,0)</f>
        <v>0</v>
      </c>
      <c r="H35" s="174"/>
      <c r="I35" s="153">
        <f t="shared" si="14"/>
        <v>0</v>
      </c>
      <c r="J35" s="152">
        <f>VLOOKUP($B35,'[1]JAI (加新件號)'!$D$20:$HA$77,190,0)</f>
        <v>0</v>
      </c>
      <c r="K35" s="152">
        <f>VLOOKUP($B35,'[1]JAI (加新件號)'!$D$20:$HA$77,191,0)</f>
        <v>0</v>
      </c>
      <c r="L35" s="152">
        <f>VLOOKUP($B35,'[1]JAI (加新件號)'!$D$20:$HA$77,192,0)</f>
        <v>0</v>
      </c>
      <c r="M35" s="152">
        <f>VLOOKUP($B35,'[1]JAI (加新件號)'!$D$20:$HA$77,193,0)</f>
        <v>0</v>
      </c>
      <c r="N35" s="174">
        <f>VLOOKUP($B35,'[1]JAI (加新件號)'!$D$20:$HA$77,194,0)</f>
        <v>0</v>
      </c>
      <c r="O35" s="153">
        <f t="shared" si="15"/>
        <v>0</v>
      </c>
      <c r="P35" s="152">
        <f>VLOOKUP($B35,'[1]JAI (加新件號)'!$D$20:$HA$77,195,0)</f>
        <v>0</v>
      </c>
      <c r="Q35" s="152">
        <f>VLOOKUP($B35,'[1]JAI (加新件號)'!$D$20:$HA$77,196,0)</f>
        <v>0</v>
      </c>
      <c r="R35" s="152">
        <f>VLOOKUP($B35,'[1]JAI (加新件號)'!$D$20:$HA$77,197,0)</f>
        <v>0</v>
      </c>
      <c r="S35" s="152">
        <f>VLOOKUP($B35,'[1]JAI (加新件號)'!$D$20:$HA$77,198,0)</f>
        <v>0</v>
      </c>
      <c r="T35" s="174"/>
      <c r="U35" s="153">
        <f t="shared" si="16"/>
        <v>0</v>
      </c>
      <c r="V35" s="152">
        <f>VLOOKUP($B35,'[1]JAI (加新件號)'!$D$20:$HA$77,199,0)</f>
        <v>0</v>
      </c>
      <c r="W35" s="152">
        <f>VLOOKUP($B35,'[1]JAI (加新件號)'!$D$20:$HA$77,200,0)</f>
        <v>0</v>
      </c>
      <c r="X35" s="152">
        <f>VLOOKUP($B35,'[1]JAI (加新件號)'!$D$20:$HA$77,201,0)</f>
        <v>0</v>
      </c>
      <c r="Y35" s="152">
        <f>VLOOKUP($B35,'[1]JAI (加新件號)'!$D$20:$HA$77,202,0)</f>
        <v>0</v>
      </c>
      <c r="Z35" s="174"/>
      <c r="AA35" s="153">
        <f t="shared" si="17"/>
        <v>0</v>
      </c>
      <c r="AB35" s="152">
        <f>VLOOKUP($B35,'[1]JAI (加新件號)'!$D$20:$HA$77,203,0)</f>
        <v>0</v>
      </c>
      <c r="AC35" s="152">
        <f>VLOOKUP($B35,'[1]JAI (加新件號)'!$D$20:$HA$77,204,0)</f>
        <v>0</v>
      </c>
      <c r="AD35" s="152">
        <f>VLOOKUP($B35,'[1]JAI (加新件號)'!$D$20:$HA$77,205,0)</f>
        <v>0</v>
      </c>
      <c r="AE35" s="152">
        <f>VLOOKUP($B35,'[1]JAI (加新件號)'!$D$20:$HA$77,206,0)</f>
        <v>0</v>
      </c>
      <c r="AF35" s="174">
        <v>0</v>
      </c>
      <c r="AG35" s="153">
        <f t="shared" si="13"/>
        <v>0</v>
      </c>
    </row>
    <row r="36" spans="1:33" s="154" customFormat="1" ht="15" hidden="1" customHeight="1">
      <c r="A36" s="150" t="s">
        <v>58</v>
      </c>
      <c r="B36" s="150" t="s">
        <v>68</v>
      </c>
      <c r="C36" s="151" t="s">
        <v>46</v>
      </c>
      <c r="D36" s="152">
        <f>VLOOKUP($B36,'[1]JAI (加新件號)'!$D$20:$HA$77,186,0)</f>
        <v>0</v>
      </c>
      <c r="E36" s="152">
        <f>VLOOKUP($B36,'[1]JAI (加新件號)'!$D$20:$HA$77,187,0)</f>
        <v>0</v>
      </c>
      <c r="F36" s="152">
        <f>VLOOKUP($B36,'[1]JAI (加新件號)'!$D$20:$HA$77,188,0)</f>
        <v>0</v>
      </c>
      <c r="G36" s="152">
        <f>VLOOKUP($B36,'[1]JAI (加新件號)'!$D$20:$HA$77,189,0)</f>
        <v>0</v>
      </c>
      <c r="H36" s="174"/>
      <c r="I36" s="153">
        <f t="shared" si="14"/>
        <v>0</v>
      </c>
      <c r="J36" s="152">
        <f>VLOOKUP($B36,'[1]JAI (加新件號)'!$D$20:$HA$77,190,0)</f>
        <v>0</v>
      </c>
      <c r="K36" s="152">
        <f>VLOOKUP($B36,'[1]JAI (加新件號)'!$D$20:$HA$77,191,0)</f>
        <v>0</v>
      </c>
      <c r="L36" s="152">
        <f>VLOOKUP($B36,'[1]JAI (加新件號)'!$D$20:$HA$77,192,0)</f>
        <v>0</v>
      </c>
      <c r="M36" s="152">
        <f>VLOOKUP($B36,'[1]JAI (加新件號)'!$D$20:$HA$77,193,0)</f>
        <v>0</v>
      </c>
      <c r="N36" s="174">
        <f>VLOOKUP($B36,'[1]JAI (加新件號)'!$D$20:$HA$77,194,0)</f>
        <v>0</v>
      </c>
      <c r="O36" s="153">
        <f t="shared" si="15"/>
        <v>0</v>
      </c>
      <c r="P36" s="152">
        <f>VLOOKUP($B36,'[1]JAI (加新件號)'!$D$20:$HA$77,195,0)</f>
        <v>0</v>
      </c>
      <c r="Q36" s="152">
        <f>VLOOKUP($B36,'[1]JAI (加新件號)'!$D$20:$HA$77,196,0)</f>
        <v>0</v>
      </c>
      <c r="R36" s="152">
        <f>VLOOKUP($B36,'[1]JAI (加新件號)'!$D$20:$HA$77,197,0)</f>
        <v>0</v>
      </c>
      <c r="S36" s="152">
        <f>VLOOKUP($B36,'[1]JAI (加新件號)'!$D$20:$HA$77,198,0)</f>
        <v>0</v>
      </c>
      <c r="T36" s="174"/>
      <c r="U36" s="153">
        <f t="shared" si="16"/>
        <v>0</v>
      </c>
      <c r="V36" s="152">
        <f>VLOOKUP($B36,'[1]JAI (加新件號)'!$D$20:$HA$77,199,0)</f>
        <v>0</v>
      </c>
      <c r="W36" s="152">
        <f>VLOOKUP($B36,'[1]JAI (加新件號)'!$D$20:$HA$77,200,0)</f>
        <v>0</v>
      </c>
      <c r="X36" s="152">
        <f>VLOOKUP($B36,'[1]JAI (加新件號)'!$D$20:$HA$77,201,0)</f>
        <v>0</v>
      </c>
      <c r="Y36" s="152">
        <f>VLOOKUP($B36,'[1]JAI (加新件號)'!$D$20:$HA$77,202,0)</f>
        <v>0</v>
      </c>
      <c r="Z36" s="174"/>
      <c r="AA36" s="153">
        <f t="shared" si="17"/>
        <v>0</v>
      </c>
      <c r="AB36" s="152">
        <f>VLOOKUP($B36,'[1]JAI (加新件號)'!$D$20:$HA$77,203,0)</f>
        <v>0</v>
      </c>
      <c r="AC36" s="152">
        <f>VLOOKUP($B36,'[1]JAI (加新件號)'!$D$20:$HA$77,204,0)</f>
        <v>0</v>
      </c>
      <c r="AD36" s="152">
        <f>VLOOKUP($B36,'[1]JAI (加新件號)'!$D$20:$HA$77,205,0)</f>
        <v>0</v>
      </c>
      <c r="AE36" s="152">
        <f>VLOOKUP($B36,'[1]JAI (加新件號)'!$D$20:$HA$77,206,0)</f>
        <v>0</v>
      </c>
      <c r="AF36" s="174">
        <v>0</v>
      </c>
      <c r="AG36" s="153">
        <f t="shared" si="13"/>
        <v>0</v>
      </c>
    </row>
    <row r="37" spans="1:33" s="154" customFormat="1" ht="15" hidden="1" customHeight="1">
      <c r="A37" s="150" t="s">
        <v>59</v>
      </c>
      <c r="B37" s="150" t="s">
        <v>69</v>
      </c>
      <c r="C37" s="151" t="s">
        <v>46</v>
      </c>
      <c r="D37" s="152">
        <f>VLOOKUP($B37,'[1]JAI (加新件號)'!$D$20:$HA$77,186,0)</f>
        <v>0</v>
      </c>
      <c r="E37" s="152">
        <f>VLOOKUP($B37,'[1]JAI (加新件號)'!$D$20:$HA$77,187,0)</f>
        <v>0</v>
      </c>
      <c r="F37" s="152">
        <f>VLOOKUP($B37,'[1]JAI (加新件號)'!$D$20:$HA$77,188,0)</f>
        <v>0</v>
      </c>
      <c r="G37" s="152">
        <f>VLOOKUP($B37,'[1]JAI (加新件號)'!$D$20:$HA$77,189,0)</f>
        <v>0</v>
      </c>
      <c r="H37" s="174"/>
      <c r="I37" s="153">
        <f t="shared" si="14"/>
        <v>0</v>
      </c>
      <c r="J37" s="152">
        <f>VLOOKUP($B37,'[1]JAI (加新件號)'!$D$20:$HA$77,190,0)</f>
        <v>0</v>
      </c>
      <c r="K37" s="152">
        <f>VLOOKUP($B37,'[1]JAI (加新件號)'!$D$20:$HA$77,191,0)</f>
        <v>0</v>
      </c>
      <c r="L37" s="152">
        <f>VLOOKUP($B37,'[1]JAI (加新件號)'!$D$20:$HA$77,192,0)</f>
        <v>0</v>
      </c>
      <c r="M37" s="152">
        <f>VLOOKUP($B37,'[1]JAI (加新件號)'!$D$20:$HA$77,193,0)</f>
        <v>0</v>
      </c>
      <c r="N37" s="174">
        <f>VLOOKUP($B37,'[1]JAI (加新件號)'!$D$20:$HA$77,194,0)</f>
        <v>0</v>
      </c>
      <c r="O37" s="153">
        <f t="shared" si="15"/>
        <v>0</v>
      </c>
      <c r="P37" s="152">
        <f>VLOOKUP($B37,'[1]JAI (加新件號)'!$D$20:$HA$77,195,0)</f>
        <v>0</v>
      </c>
      <c r="Q37" s="152">
        <f>VLOOKUP($B37,'[1]JAI (加新件號)'!$D$20:$HA$77,196,0)</f>
        <v>0</v>
      </c>
      <c r="R37" s="152">
        <f>VLOOKUP($B37,'[1]JAI (加新件號)'!$D$20:$HA$77,197,0)</f>
        <v>0</v>
      </c>
      <c r="S37" s="152">
        <f>VLOOKUP($B37,'[1]JAI (加新件號)'!$D$20:$HA$77,198,0)</f>
        <v>0</v>
      </c>
      <c r="T37" s="174"/>
      <c r="U37" s="153">
        <f t="shared" si="16"/>
        <v>0</v>
      </c>
      <c r="V37" s="152">
        <f>VLOOKUP($B37,'[1]JAI (加新件號)'!$D$20:$HA$77,199,0)</f>
        <v>0</v>
      </c>
      <c r="W37" s="152">
        <f>VLOOKUP($B37,'[1]JAI (加新件號)'!$D$20:$HA$77,200,0)</f>
        <v>0</v>
      </c>
      <c r="X37" s="152">
        <f>VLOOKUP($B37,'[1]JAI (加新件號)'!$D$20:$HA$77,201,0)</f>
        <v>0</v>
      </c>
      <c r="Y37" s="152">
        <f>VLOOKUP($B37,'[1]JAI (加新件號)'!$D$20:$HA$77,202,0)</f>
        <v>0</v>
      </c>
      <c r="Z37" s="174"/>
      <c r="AA37" s="153">
        <f t="shared" si="17"/>
        <v>0</v>
      </c>
      <c r="AB37" s="152">
        <f>VLOOKUP($B37,'[1]JAI (加新件號)'!$D$20:$HA$77,203,0)</f>
        <v>0</v>
      </c>
      <c r="AC37" s="152">
        <f>VLOOKUP($B37,'[1]JAI (加新件號)'!$D$20:$HA$77,204,0)</f>
        <v>0</v>
      </c>
      <c r="AD37" s="152">
        <f>VLOOKUP($B37,'[1]JAI (加新件號)'!$D$20:$HA$77,205,0)</f>
        <v>0</v>
      </c>
      <c r="AE37" s="152">
        <f>VLOOKUP($B37,'[1]JAI (加新件號)'!$D$20:$HA$77,206,0)</f>
        <v>0</v>
      </c>
      <c r="AF37" s="174">
        <v>0</v>
      </c>
      <c r="AG37" s="153">
        <f t="shared" si="13"/>
        <v>0</v>
      </c>
    </row>
    <row r="38" spans="1:33" s="159" customFormat="1" ht="15" hidden="1" customHeight="1" thickBot="1">
      <c r="A38" s="155" t="s">
        <v>60</v>
      </c>
      <c r="B38" s="155" t="s">
        <v>70</v>
      </c>
      <c r="C38" s="156" t="s">
        <v>46</v>
      </c>
      <c r="D38" s="157">
        <f>VLOOKUP($B38,'[1]JAI (加新件號)'!$D$20:$HA$77,186,0)</f>
        <v>0</v>
      </c>
      <c r="E38" s="157">
        <f>VLOOKUP($B38,'[1]JAI (加新件號)'!$D$20:$HA$77,187,0)</f>
        <v>0</v>
      </c>
      <c r="F38" s="157">
        <f>VLOOKUP($B38,'[1]JAI (加新件號)'!$D$20:$HA$77,188,0)</f>
        <v>0</v>
      </c>
      <c r="G38" s="157">
        <f>VLOOKUP($B38,'[1]JAI (加新件號)'!$D$20:$HA$77,189,0)</f>
        <v>0</v>
      </c>
      <c r="H38" s="175"/>
      <c r="I38" s="158">
        <f t="shared" si="14"/>
        <v>0</v>
      </c>
      <c r="J38" s="157">
        <f>VLOOKUP($B38,'[1]JAI (加新件號)'!$D$20:$HA$77,190,0)</f>
        <v>0</v>
      </c>
      <c r="K38" s="157">
        <f>VLOOKUP($B38,'[1]JAI (加新件號)'!$D$20:$HA$77,191,0)</f>
        <v>0</v>
      </c>
      <c r="L38" s="157">
        <f>VLOOKUP($B38,'[1]JAI (加新件號)'!$D$20:$HA$77,192,0)</f>
        <v>0</v>
      </c>
      <c r="M38" s="157">
        <f>VLOOKUP($B38,'[1]JAI (加新件號)'!$D$20:$HA$77,193,0)</f>
        <v>0</v>
      </c>
      <c r="N38" s="175">
        <f>VLOOKUP($B38,'[1]JAI (加新件號)'!$D$20:$HA$77,194,0)</f>
        <v>0</v>
      </c>
      <c r="O38" s="158">
        <f t="shared" si="15"/>
        <v>0</v>
      </c>
      <c r="P38" s="157">
        <f>VLOOKUP($B38,'[1]JAI (加新件號)'!$D$20:$HA$77,195,0)</f>
        <v>0</v>
      </c>
      <c r="Q38" s="157">
        <f>VLOOKUP($B38,'[1]JAI (加新件號)'!$D$20:$HA$77,196,0)</f>
        <v>0</v>
      </c>
      <c r="R38" s="157">
        <f>VLOOKUP($B38,'[1]JAI (加新件號)'!$D$20:$HA$77,197,0)</f>
        <v>0</v>
      </c>
      <c r="S38" s="157">
        <f>VLOOKUP($B38,'[1]JAI (加新件號)'!$D$20:$HA$77,198,0)</f>
        <v>0</v>
      </c>
      <c r="T38" s="175"/>
      <c r="U38" s="158">
        <f t="shared" si="16"/>
        <v>0</v>
      </c>
      <c r="V38" s="157">
        <f>VLOOKUP($B38,'[1]JAI (加新件號)'!$D$20:$HA$77,199,0)</f>
        <v>0</v>
      </c>
      <c r="W38" s="157">
        <f>VLOOKUP($B38,'[1]JAI (加新件號)'!$D$20:$HA$77,200,0)</f>
        <v>0</v>
      </c>
      <c r="X38" s="157">
        <f>VLOOKUP($B38,'[1]JAI (加新件號)'!$D$20:$HA$77,201,0)</f>
        <v>0</v>
      </c>
      <c r="Y38" s="157">
        <f>VLOOKUP($B38,'[1]JAI (加新件號)'!$D$20:$HA$77,202,0)</f>
        <v>0</v>
      </c>
      <c r="Z38" s="175"/>
      <c r="AA38" s="158">
        <f t="shared" si="17"/>
        <v>0</v>
      </c>
      <c r="AB38" s="157">
        <f>VLOOKUP($B38,'[1]JAI (加新件號)'!$D$20:$HA$77,203,0)</f>
        <v>0</v>
      </c>
      <c r="AC38" s="157">
        <f>VLOOKUP($B38,'[1]JAI (加新件號)'!$D$20:$HA$77,204,0)</f>
        <v>0</v>
      </c>
      <c r="AD38" s="157">
        <f>VLOOKUP($B38,'[1]JAI (加新件號)'!$D$20:$HA$77,205,0)</f>
        <v>0</v>
      </c>
      <c r="AE38" s="157">
        <f>VLOOKUP($B38,'[1]JAI (加新件號)'!$D$20:$HA$77,206,0)</f>
        <v>0</v>
      </c>
      <c r="AF38" s="175">
        <v>0</v>
      </c>
      <c r="AG38" s="158">
        <f t="shared" si="13"/>
        <v>0</v>
      </c>
    </row>
    <row r="39" spans="1:33" s="181" customFormat="1" ht="15.75" customHeight="1" thickTop="1">
      <c r="A39" s="199" t="s">
        <v>106</v>
      </c>
      <c r="B39" s="199" t="s">
        <v>101</v>
      </c>
      <c r="C39" s="180" t="s">
        <v>123</v>
      </c>
      <c r="D39" s="201"/>
      <c r="E39" s="201"/>
      <c r="F39" s="201"/>
      <c r="G39" s="201"/>
      <c r="H39" s="201"/>
      <c r="I39" s="202">
        <f t="shared" si="14"/>
        <v>0</v>
      </c>
      <c r="J39" s="201"/>
      <c r="K39" s="201"/>
      <c r="L39" s="201"/>
      <c r="M39" s="201"/>
      <c r="N39" s="203"/>
      <c r="O39" s="202">
        <f t="shared" si="15"/>
        <v>0</v>
      </c>
      <c r="P39" s="201"/>
      <c r="Q39" s="201"/>
      <c r="R39" s="201"/>
      <c r="S39" s="201"/>
      <c r="T39" s="201"/>
      <c r="U39" s="202">
        <f t="shared" si="16"/>
        <v>0</v>
      </c>
      <c r="V39" s="201"/>
      <c r="W39" s="201"/>
      <c r="X39" s="201"/>
      <c r="Y39" s="201"/>
      <c r="Z39" s="201"/>
      <c r="AA39" s="202">
        <f t="shared" si="17"/>
        <v>0</v>
      </c>
      <c r="AB39" s="201"/>
      <c r="AC39" s="201"/>
      <c r="AD39" s="201"/>
      <c r="AE39" s="201"/>
      <c r="AF39" s="201"/>
      <c r="AG39" s="202">
        <f t="shared" si="13"/>
        <v>0</v>
      </c>
    </row>
    <row r="40" spans="1:33" s="184" customFormat="1" ht="15.75" customHeight="1">
      <c r="A40" s="191" t="s">
        <v>107</v>
      </c>
      <c r="B40" s="191" t="s">
        <v>102</v>
      </c>
      <c r="C40" s="183" t="s">
        <v>124</v>
      </c>
      <c r="D40" s="192"/>
      <c r="E40" s="192"/>
      <c r="F40" s="192"/>
      <c r="G40" s="192"/>
      <c r="H40" s="193"/>
      <c r="I40" s="194">
        <f t="shared" ref="I40:I41" si="18">SUM(D40:H40)</f>
        <v>0</v>
      </c>
      <c r="J40" s="192"/>
      <c r="K40" s="192"/>
      <c r="L40" s="192"/>
      <c r="M40" s="192"/>
      <c r="N40" s="193"/>
      <c r="O40" s="194">
        <f t="shared" ref="O40:O41" si="19">SUM(J40:N40)</f>
        <v>0</v>
      </c>
      <c r="P40" s="192"/>
      <c r="Q40" s="192"/>
      <c r="R40" s="192"/>
      <c r="S40" s="192"/>
      <c r="T40" s="193"/>
      <c r="U40" s="194">
        <f t="shared" ref="U40:U41" si="20">SUM(P40:T40)</f>
        <v>0</v>
      </c>
      <c r="V40" s="192"/>
      <c r="W40" s="192"/>
      <c r="X40" s="192"/>
      <c r="Y40" s="192"/>
      <c r="Z40" s="193"/>
      <c r="AA40" s="194">
        <f t="shared" ref="AA40:AA41" si="21">SUM(V40:Z40)</f>
        <v>0</v>
      </c>
      <c r="AB40" s="192"/>
      <c r="AC40" s="192"/>
      <c r="AD40" s="192"/>
      <c r="AE40" s="192"/>
      <c r="AF40" s="193"/>
      <c r="AG40" s="194">
        <f t="shared" ref="AG40:AG41" si="22">SUM(AB40:AF40)</f>
        <v>0</v>
      </c>
    </row>
    <row r="41" spans="1:33" s="184" customFormat="1" ht="15.75" customHeight="1">
      <c r="A41" s="182" t="s">
        <v>100</v>
      </c>
      <c r="B41" s="182" t="s">
        <v>91</v>
      </c>
      <c r="C41" s="183" t="s">
        <v>130</v>
      </c>
      <c r="D41" s="109">
        <f>VLOOKUP($B41,'[2]JAI (加新件號)'!$D$20:$KH$49,270,0)</f>
        <v>48</v>
      </c>
      <c r="E41" s="109">
        <f>VLOOKUP($B41,'[2]JAI (加新件號)'!$D$20:$KH$49,271,0)</f>
        <v>48</v>
      </c>
      <c r="F41" s="109">
        <f>VLOOKUP($B41,'[2]JAI (加新件號)'!$D$20:$KH$49,272,0)</f>
        <v>42</v>
      </c>
      <c r="G41" s="109">
        <f>VLOOKUP($B41,'[2]JAI (加新件號)'!$D$20:$KH$49,273,0)</f>
        <v>0</v>
      </c>
      <c r="H41" s="163">
        <f>VLOOKUP($B41,'[2]JAI (加新件號)'!$D$20:$KH$49,274,0)</f>
        <v>42</v>
      </c>
      <c r="I41" s="110">
        <f t="shared" si="18"/>
        <v>180</v>
      </c>
      <c r="J41" s="109">
        <f>VLOOKUP($B41,'[2]JAI (加新件號)'!$D$20:$KH$49,275,0)</f>
        <v>24</v>
      </c>
      <c r="K41" s="109">
        <f>VLOOKUP($B41,'[2]JAI (加新件號)'!$D$20:$KH$49,276,0)</f>
        <v>24</v>
      </c>
      <c r="L41" s="109">
        <f>VLOOKUP($B41,'[2]JAI (加新件號)'!$D$20:$KH$49,277,0)</f>
        <v>24</v>
      </c>
      <c r="M41" s="109">
        <f>VLOOKUP($B41,'[2]JAI (加新件號)'!$D$20:$KH$49,278,0)</f>
        <v>24</v>
      </c>
      <c r="N41" s="163"/>
      <c r="O41" s="110">
        <f t="shared" si="19"/>
        <v>96</v>
      </c>
      <c r="P41" s="109">
        <f>VLOOKUP($B41,'[2]JAI (加新件號)'!$D$20:$KH$49,279,0)</f>
        <v>24</v>
      </c>
      <c r="Q41" s="109">
        <f>VLOOKUP($B41,'[2]JAI (加新件號)'!$D$20:$KH$49,280,0)</f>
        <v>24</v>
      </c>
      <c r="R41" s="109">
        <f>VLOOKUP($B41,'[2]JAI (加新件號)'!$D$20:$KH$49,281,0)</f>
        <v>24</v>
      </c>
      <c r="S41" s="109">
        <f>VLOOKUP($B41,'[2]JAI (加新件號)'!$D$20:$KH$49,282,0)</f>
        <v>24</v>
      </c>
      <c r="T41" s="163"/>
      <c r="U41" s="110">
        <f t="shared" si="20"/>
        <v>96</v>
      </c>
      <c r="V41" s="109">
        <f>VLOOKUP($B41,'[2]JAI (加新件號)'!$D$20:$KH$49,283,0)</f>
        <v>30</v>
      </c>
      <c r="W41" s="109">
        <f>VLOOKUP($B41,'[2]JAI (加新件號)'!$D$20:$KH$49,284,0)</f>
        <v>30</v>
      </c>
      <c r="X41" s="109">
        <f>VLOOKUP($B41,'[2]JAI (加新件號)'!$D$20:$KH$49,285,0)</f>
        <v>24</v>
      </c>
      <c r="Y41" s="109">
        <f>VLOOKUP($B41,'[2]JAI (加新件號)'!$D$20:$KH$49,286,0)</f>
        <v>24</v>
      </c>
      <c r="Z41" s="163">
        <f>VLOOKUP($B41,'[2]JAI (加新件號)'!$D$20:$KH$49,287,0)</f>
        <v>0</v>
      </c>
      <c r="AA41" s="110">
        <f t="shared" si="21"/>
        <v>108</v>
      </c>
      <c r="AB41" s="109">
        <f>VLOOKUP($B41,'[2]JAI (加新件號)'!$D$20:$KH$49,288,0)</f>
        <v>24</v>
      </c>
      <c r="AC41" s="109">
        <f>VLOOKUP($B41,'[2]JAI (加新件號)'!$D$20:$KH$49,289,0)</f>
        <v>24</v>
      </c>
      <c r="AD41" s="109">
        <f>VLOOKUP($B41,'[2]JAI (加新件號)'!$D$20:$KH$49,290,0)</f>
        <v>18</v>
      </c>
      <c r="AE41" s="109">
        <f>VLOOKUP($B41,'[2]JAI (加新件號)'!$D$20:$KH$49,291,0)</f>
        <v>18</v>
      </c>
      <c r="AF41" s="163"/>
      <c r="AG41" s="110">
        <f t="shared" si="22"/>
        <v>84</v>
      </c>
    </row>
    <row r="42" spans="1:33" s="184" customFormat="1" ht="15.75" customHeight="1">
      <c r="A42" s="191" t="s">
        <v>110</v>
      </c>
      <c r="B42" s="191" t="s">
        <v>105</v>
      </c>
      <c r="C42" s="183" t="s">
        <v>127</v>
      </c>
      <c r="D42" s="192"/>
      <c r="E42" s="192"/>
      <c r="F42" s="192"/>
      <c r="G42" s="192"/>
      <c r="H42" s="193"/>
      <c r="I42" s="194"/>
      <c r="J42" s="192"/>
      <c r="K42" s="192"/>
      <c r="L42" s="192"/>
      <c r="M42" s="192"/>
      <c r="N42" s="193"/>
      <c r="O42" s="194"/>
      <c r="P42" s="192"/>
      <c r="Q42" s="192"/>
      <c r="R42" s="192"/>
      <c r="S42" s="192"/>
      <c r="T42" s="193"/>
      <c r="U42" s="194"/>
      <c r="V42" s="192"/>
      <c r="W42" s="192"/>
      <c r="X42" s="192"/>
      <c r="Y42" s="192"/>
      <c r="Z42" s="193"/>
      <c r="AA42" s="194"/>
      <c r="AB42" s="192"/>
      <c r="AC42" s="192"/>
      <c r="AD42" s="192"/>
      <c r="AE42" s="192"/>
      <c r="AF42" s="193"/>
      <c r="AG42" s="194"/>
    </row>
    <row r="43" spans="1:33" s="190" customFormat="1" ht="15.75" customHeight="1" thickBot="1">
      <c r="A43" s="185" t="s">
        <v>94</v>
      </c>
      <c r="B43" s="185" t="s">
        <v>85</v>
      </c>
      <c r="C43" s="186" t="s">
        <v>128</v>
      </c>
      <c r="D43" s="187">
        <f>VLOOKUP($B43,'[2]JAI (加新件號)'!$D$20:$KH$49,270,0)</f>
        <v>48</v>
      </c>
      <c r="E43" s="187">
        <f>VLOOKUP($B43,'[2]JAI (加新件號)'!$D$20:$KH$49,271,0)</f>
        <v>48</v>
      </c>
      <c r="F43" s="187">
        <f>VLOOKUP($B43,'[2]JAI (加新件號)'!$D$20:$KH$49,272,0)</f>
        <v>48</v>
      </c>
      <c r="G43" s="187">
        <f>VLOOKUP($B43,'[2]JAI (加新件號)'!$D$20:$KH$49,273,0)</f>
        <v>0</v>
      </c>
      <c r="H43" s="188">
        <f>VLOOKUP($B43,'[2]JAI (加新件號)'!$D$20:$KH$49,274,0)</f>
        <v>48</v>
      </c>
      <c r="I43" s="189">
        <f t="shared" ref="I43:I44" si="23">SUM(D43:H43)</f>
        <v>192</v>
      </c>
      <c r="J43" s="187">
        <f>VLOOKUP($B43,'[2]JAI (加新件號)'!$D$20:$KH$49,275,0)</f>
        <v>54</v>
      </c>
      <c r="K43" s="187">
        <f>VLOOKUP($B43,'[2]JAI (加新件號)'!$D$20:$KH$49,276,0)</f>
        <v>54</v>
      </c>
      <c r="L43" s="187">
        <f>VLOOKUP($B43,'[2]JAI (加新件號)'!$D$20:$KH$49,277,0)</f>
        <v>54</v>
      </c>
      <c r="M43" s="187">
        <f>VLOOKUP($B43,'[2]JAI (加新件號)'!$D$20:$KH$49,278,0)</f>
        <v>48</v>
      </c>
      <c r="N43" s="188"/>
      <c r="O43" s="189">
        <f t="shared" ref="O43:O44" si="24">SUM(J43:N43)</f>
        <v>210</v>
      </c>
      <c r="P43" s="187">
        <f>VLOOKUP($B43,'[2]JAI (加新件號)'!$D$20:$KH$49,279,0)</f>
        <v>54</v>
      </c>
      <c r="Q43" s="187">
        <f>VLOOKUP($B43,'[2]JAI (加新件號)'!$D$20:$KH$49,280,0)</f>
        <v>54</v>
      </c>
      <c r="R43" s="187">
        <f>VLOOKUP($B43,'[2]JAI (加新件號)'!$D$20:$KH$49,281,0)</f>
        <v>54</v>
      </c>
      <c r="S43" s="187">
        <f>VLOOKUP($B43,'[2]JAI (加新件號)'!$D$20:$KH$49,282,0)</f>
        <v>48</v>
      </c>
      <c r="T43" s="188"/>
      <c r="U43" s="189">
        <f t="shared" ref="U43:U44" si="25">SUM(P43:T43)</f>
        <v>210</v>
      </c>
      <c r="V43" s="187">
        <f>VLOOKUP($B43,'[2]JAI (加新件號)'!$D$20:$KH$49,283,0)</f>
        <v>48</v>
      </c>
      <c r="W43" s="187">
        <f>VLOOKUP($B43,'[2]JAI (加新件號)'!$D$20:$KH$49,284,0)</f>
        <v>48</v>
      </c>
      <c r="X43" s="187">
        <f>VLOOKUP($B43,'[2]JAI (加新件號)'!$D$20:$KH$49,285,0)</f>
        <v>48</v>
      </c>
      <c r="Y43" s="187">
        <f>VLOOKUP($B43,'[2]JAI (加新件號)'!$D$20:$KH$49,286,0)</f>
        <v>42</v>
      </c>
      <c r="Z43" s="188">
        <f>VLOOKUP($B43,'[2]JAI (加新件號)'!$D$20:$KH$49,287,0)</f>
        <v>42</v>
      </c>
      <c r="AA43" s="189">
        <f t="shared" ref="AA43:AA44" si="26">SUM(V43:Z43)</f>
        <v>228</v>
      </c>
      <c r="AB43" s="187">
        <f>VLOOKUP($B43,'[2]JAI (加新件號)'!$D$20:$KH$49,288,0)</f>
        <v>48</v>
      </c>
      <c r="AC43" s="187">
        <f>VLOOKUP($B43,'[2]JAI (加新件號)'!$D$20:$KH$49,289,0)</f>
        <v>48</v>
      </c>
      <c r="AD43" s="187">
        <f>VLOOKUP($B43,'[2]JAI (加新件號)'!$D$20:$KH$49,290,0)</f>
        <v>42</v>
      </c>
      <c r="AE43" s="187">
        <f>VLOOKUP($B43,'[2]JAI (加新件號)'!$D$20:$KH$49,291,0)</f>
        <v>42</v>
      </c>
      <c r="AF43" s="188"/>
      <c r="AG43" s="189">
        <f t="shared" ref="AG43:AG44" si="27">SUM(AB43:AF43)</f>
        <v>180</v>
      </c>
    </row>
    <row r="44" spans="1:33" s="184" customFormat="1" ht="15.75" customHeight="1" thickTop="1">
      <c r="A44" s="182" t="s">
        <v>93</v>
      </c>
      <c r="B44" s="182" t="s">
        <v>84</v>
      </c>
      <c r="C44" s="183" t="s">
        <v>126</v>
      </c>
      <c r="D44" s="109">
        <f>VLOOKUP($B44,'[2]JAI (加新件號)'!$D$20:$KH$49,270,0)</f>
        <v>12</v>
      </c>
      <c r="E44" s="109">
        <f>VLOOKUP($B44,'[2]JAI (加新件號)'!$D$20:$KH$49,271,0)</f>
        <v>0</v>
      </c>
      <c r="F44" s="109">
        <f>VLOOKUP($B44,'[2]JAI (加新件號)'!$D$20:$KH$49,272,0)</f>
        <v>0</v>
      </c>
      <c r="G44" s="109">
        <f>VLOOKUP($B44,'[2]JAI (加新件號)'!$D$20:$KH$49,273,0)</f>
        <v>0</v>
      </c>
      <c r="H44" s="163">
        <f>VLOOKUP($B44,'[2]JAI (加新件號)'!$D$20:$KH$49,274,0)</f>
        <v>0</v>
      </c>
      <c r="I44" s="110">
        <f t="shared" si="23"/>
        <v>12</v>
      </c>
      <c r="J44" s="109">
        <f>VLOOKUP($B44,'[2]JAI (加新件號)'!$D$20:$KH$49,275,0)</f>
        <v>12</v>
      </c>
      <c r="K44" s="109">
        <f>VLOOKUP($B44,'[2]JAI (加新件號)'!$D$20:$KH$49,276,0)</f>
        <v>0</v>
      </c>
      <c r="L44" s="109">
        <f>VLOOKUP($B44,'[2]JAI (加新件號)'!$D$20:$KH$49,277,0)</f>
        <v>0</v>
      </c>
      <c r="M44" s="109">
        <f>VLOOKUP($B44,'[2]JAI (加新件號)'!$D$20:$KH$49,278,0)</f>
        <v>0</v>
      </c>
      <c r="N44" s="163"/>
      <c r="O44" s="110">
        <f t="shared" si="24"/>
        <v>12</v>
      </c>
      <c r="P44" s="109">
        <f>VLOOKUP($B44,'[2]JAI (加新件號)'!$D$20:$KH$49,279,0)</f>
        <v>12</v>
      </c>
      <c r="Q44" s="109">
        <f>VLOOKUP($B44,'[2]JAI (加新件號)'!$D$20:$KH$49,280,0)</f>
        <v>0</v>
      </c>
      <c r="R44" s="109">
        <f>VLOOKUP($B44,'[2]JAI (加新件號)'!$D$20:$KH$49,281,0)</f>
        <v>0</v>
      </c>
      <c r="S44" s="109">
        <f>VLOOKUP($B44,'[2]JAI (加新件號)'!$D$20:$KH$49,282,0)</f>
        <v>0</v>
      </c>
      <c r="T44" s="163"/>
      <c r="U44" s="110">
        <f t="shared" si="25"/>
        <v>12</v>
      </c>
      <c r="V44" s="109">
        <f>VLOOKUP($B44,'[2]JAI (加新件號)'!$D$20:$KH$49,283,0)</f>
        <v>12</v>
      </c>
      <c r="W44" s="109">
        <f>VLOOKUP($B44,'[2]JAI (加新件號)'!$D$20:$KH$49,284,0)</f>
        <v>12</v>
      </c>
      <c r="X44" s="109">
        <f>VLOOKUP($B44,'[2]JAI (加新件號)'!$D$20:$KH$49,285,0)</f>
        <v>0</v>
      </c>
      <c r="Y44" s="109">
        <f>VLOOKUP($B44,'[2]JAI (加新件號)'!$D$20:$KH$49,286,0)</f>
        <v>0</v>
      </c>
      <c r="Z44" s="163">
        <f>VLOOKUP($B44,'[2]JAI (加新件號)'!$D$20:$KH$49,287,0)</f>
        <v>0</v>
      </c>
      <c r="AA44" s="110">
        <f t="shared" si="26"/>
        <v>24</v>
      </c>
      <c r="AB44" s="109">
        <f>VLOOKUP($B44,'[2]JAI (加新件號)'!$D$20:$KH$49,288,0)</f>
        <v>6</v>
      </c>
      <c r="AC44" s="109">
        <f>VLOOKUP($B44,'[2]JAI (加新件號)'!$D$20:$KH$49,289,0)</f>
        <v>0</v>
      </c>
      <c r="AD44" s="109">
        <f>VLOOKUP($B44,'[2]JAI (加新件號)'!$D$20:$KH$49,290,0)</f>
        <v>0</v>
      </c>
      <c r="AE44" s="109">
        <f>VLOOKUP($B44,'[2]JAI (加新件號)'!$D$20:$KH$49,291,0)</f>
        <v>0</v>
      </c>
      <c r="AF44" s="163"/>
      <c r="AG44" s="110">
        <f t="shared" si="27"/>
        <v>6</v>
      </c>
    </row>
    <row r="45" spans="1:33" s="184" customFormat="1" ht="15.75" customHeight="1">
      <c r="A45" s="191" t="s">
        <v>108</v>
      </c>
      <c r="B45" s="191" t="s">
        <v>103</v>
      </c>
      <c r="C45" s="183" t="s">
        <v>125</v>
      </c>
      <c r="D45" s="192"/>
      <c r="E45" s="192"/>
      <c r="F45" s="192"/>
      <c r="G45" s="192"/>
      <c r="H45" s="193"/>
      <c r="I45" s="194">
        <f t="shared" ref="I45:I57" si="28">SUM(D45:H45)</f>
        <v>0</v>
      </c>
      <c r="J45" s="192"/>
      <c r="K45" s="192"/>
      <c r="L45" s="192"/>
      <c r="M45" s="192"/>
      <c r="N45" s="193"/>
      <c r="O45" s="194">
        <f t="shared" ref="O45:O57" si="29">SUM(J45:N45)</f>
        <v>0</v>
      </c>
      <c r="P45" s="192"/>
      <c r="Q45" s="192"/>
      <c r="R45" s="192"/>
      <c r="S45" s="192"/>
      <c r="T45" s="193"/>
      <c r="U45" s="194">
        <f t="shared" ref="U45:U57" si="30">SUM(P45:T45)</f>
        <v>0</v>
      </c>
      <c r="V45" s="192"/>
      <c r="W45" s="192"/>
      <c r="X45" s="192"/>
      <c r="Y45" s="192"/>
      <c r="Z45" s="193"/>
      <c r="AA45" s="194">
        <f t="shared" ref="AA45:AA57" si="31">SUM(V45:Z45)</f>
        <v>0</v>
      </c>
      <c r="AB45" s="192"/>
      <c r="AC45" s="192"/>
      <c r="AD45" s="192"/>
      <c r="AE45" s="192"/>
      <c r="AF45" s="193"/>
      <c r="AG45" s="194">
        <f t="shared" ref="AG45:AG57" si="32">SUM(AB45:AF45)</f>
        <v>0</v>
      </c>
    </row>
    <row r="46" spans="1:33" s="184" customFormat="1" ht="15.75" customHeight="1">
      <c r="A46" s="182" t="s">
        <v>109</v>
      </c>
      <c r="B46" s="182" t="s">
        <v>104</v>
      </c>
      <c r="C46" s="183" t="s">
        <v>118</v>
      </c>
      <c r="D46" s="109">
        <f>VLOOKUP($B46,'[2]JAI (加新件號)'!$D$20:$KH$49,270,0)</f>
        <v>90</v>
      </c>
      <c r="E46" s="109">
        <f>VLOOKUP($B46,'[2]JAI (加新件號)'!$D$20:$KH$49,271,0)</f>
        <v>90</v>
      </c>
      <c r="F46" s="109">
        <f>VLOOKUP($B46,'[2]JAI (加新件號)'!$D$20:$KH$49,272,0)</f>
        <v>84</v>
      </c>
      <c r="G46" s="109">
        <f>VLOOKUP($B46,'[2]JAI (加新件號)'!$D$20:$KH$49,273,0)</f>
        <v>0</v>
      </c>
      <c r="H46" s="163">
        <f>VLOOKUP($B46,'[2]JAI (加新件號)'!$D$20:$KH$49,274,0)</f>
        <v>84</v>
      </c>
      <c r="I46" s="110">
        <f t="shared" si="28"/>
        <v>348</v>
      </c>
      <c r="J46" s="109">
        <f>VLOOKUP($B46,'[2]JAI (加新件號)'!$D$20:$KH$49,275,0)</f>
        <v>90</v>
      </c>
      <c r="K46" s="109">
        <f>VLOOKUP($B46,'[2]JAI (加新件號)'!$D$20:$KH$49,276,0)</f>
        <v>90</v>
      </c>
      <c r="L46" s="109">
        <f>VLOOKUP($B46,'[2]JAI (加新件號)'!$D$20:$KH$49,277,0)</f>
        <v>90</v>
      </c>
      <c r="M46" s="109">
        <f>VLOOKUP($B46,'[2]JAI (加新件號)'!$D$20:$KH$49,278,0)</f>
        <v>84</v>
      </c>
      <c r="N46" s="163"/>
      <c r="O46" s="110">
        <f t="shared" si="29"/>
        <v>354</v>
      </c>
      <c r="P46" s="109">
        <f>VLOOKUP($B46,'[2]JAI (加新件號)'!$D$20:$KH$49,279,0)</f>
        <v>96</v>
      </c>
      <c r="Q46" s="109">
        <f>VLOOKUP($B46,'[2]JAI (加新件號)'!$D$20:$KH$49,280,0)</f>
        <v>96</v>
      </c>
      <c r="R46" s="109">
        <f>VLOOKUP($B46,'[2]JAI (加新件號)'!$D$20:$KH$49,281,0)</f>
        <v>90</v>
      </c>
      <c r="S46" s="109">
        <f>VLOOKUP($B46,'[2]JAI (加新件號)'!$D$20:$KH$49,282,0)</f>
        <v>90</v>
      </c>
      <c r="T46" s="163"/>
      <c r="U46" s="110">
        <f t="shared" si="30"/>
        <v>372</v>
      </c>
      <c r="V46" s="109">
        <f>VLOOKUP($B46,'[2]JAI (加新件號)'!$D$20:$KH$49,283,0)</f>
        <v>84</v>
      </c>
      <c r="W46" s="109">
        <f>VLOOKUP($B46,'[2]JAI (加新件號)'!$D$20:$KH$49,284,0)</f>
        <v>84</v>
      </c>
      <c r="X46" s="109">
        <f>VLOOKUP($B46,'[2]JAI (加新件號)'!$D$20:$KH$49,285,0)</f>
        <v>78</v>
      </c>
      <c r="Y46" s="109">
        <f>VLOOKUP($B46,'[2]JAI (加新件號)'!$D$20:$KH$49,286,0)</f>
        <v>78</v>
      </c>
      <c r="Z46" s="163">
        <f>VLOOKUP($B46,'[2]JAI (加新件號)'!$D$20:$KH$49,287,0)</f>
        <v>78</v>
      </c>
      <c r="AA46" s="110">
        <f t="shared" si="31"/>
        <v>402</v>
      </c>
      <c r="AB46" s="109">
        <f>VLOOKUP($B46,'[2]JAI (加新件號)'!$D$20:$KH$49,288,0)</f>
        <v>84</v>
      </c>
      <c r="AC46" s="109">
        <f>VLOOKUP($B46,'[2]JAI (加新件號)'!$D$20:$KH$49,289,0)</f>
        <v>84</v>
      </c>
      <c r="AD46" s="109">
        <f>VLOOKUP($B46,'[2]JAI (加新件號)'!$D$20:$KH$49,290,0)</f>
        <v>78</v>
      </c>
      <c r="AE46" s="109">
        <f>VLOOKUP($B46,'[2]JAI (加新件號)'!$D$20:$KH$49,291,0)</f>
        <v>78</v>
      </c>
      <c r="AF46" s="163"/>
      <c r="AG46" s="110">
        <f t="shared" si="32"/>
        <v>324</v>
      </c>
    </row>
    <row r="47" spans="1:33" s="184" customFormat="1" ht="15.75" customHeight="1">
      <c r="A47" s="182" t="s">
        <v>92</v>
      </c>
      <c r="B47" s="182" t="s">
        <v>83</v>
      </c>
      <c r="C47" s="183" t="s">
        <v>119</v>
      </c>
      <c r="D47" s="109">
        <f>VLOOKUP($B47,'[2]JAI (加新件號)'!$D$20:$KH$49,270,0)</f>
        <v>150</v>
      </c>
      <c r="E47" s="109">
        <f>VLOOKUP($B47,'[2]JAI (加新件號)'!$D$20:$KH$49,271,0)</f>
        <v>144</v>
      </c>
      <c r="F47" s="109">
        <f>VLOOKUP($B47,'[2]JAI (加新件號)'!$D$20:$KH$49,272,0)</f>
        <v>144</v>
      </c>
      <c r="G47" s="109">
        <f>VLOOKUP($B47,'[2]JAI (加新件號)'!$D$20:$KH$49,273,0)</f>
        <v>0</v>
      </c>
      <c r="H47" s="163">
        <f>VLOOKUP($B47,'[2]JAI (加新件號)'!$D$20:$KH$49,274,0)</f>
        <v>144</v>
      </c>
      <c r="I47" s="110">
        <f t="shared" si="28"/>
        <v>582</v>
      </c>
      <c r="J47" s="109">
        <f>VLOOKUP($B47,'[2]JAI (加新件號)'!$D$20:$KH$49,275,0)</f>
        <v>138</v>
      </c>
      <c r="K47" s="109">
        <f>VLOOKUP($B47,'[2]JAI (加新件號)'!$D$20:$KH$49,276,0)</f>
        <v>138</v>
      </c>
      <c r="L47" s="109">
        <f>VLOOKUP($B47,'[2]JAI (加新件號)'!$D$20:$KH$49,277,0)</f>
        <v>138</v>
      </c>
      <c r="M47" s="109">
        <f>VLOOKUP($B47,'[2]JAI (加新件號)'!$D$20:$KH$49,278,0)</f>
        <v>132</v>
      </c>
      <c r="N47" s="163"/>
      <c r="O47" s="110">
        <f t="shared" si="29"/>
        <v>546</v>
      </c>
      <c r="P47" s="109">
        <f>VLOOKUP($B47,'[2]JAI (加新件號)'!$D$20:$KH$49,279,0)</f>
        <v>162</v>
      </c>
      <c r="Q47" s="109">
        <f>VLOOKUP($B47,'[2]JAI (加新件號)'!$D$20:$KH$49,280,0)</f>
        <v>162</v>
      </c>
      <c r="R47" s="109">
        <f>VLOOKUP($B47,'[2]JAI (加新件號)'!$D$20:$KH$49,281,0)</f>
        <v>156</v>
      </c>
      <c r="S47" s="109">
        <f>VLOOKUP($B47,'[2]JAI (加新件號)'!$D$20:$KH$49,282,0)</f>
        <v>156</v>
      </c>
      <c r="T47" s="163"/>
      <c r="U47" s="110">
        <f t="shared" si="30"/>
        <v>636</v>
      </c>
      <c r="V47" s="109">
        <f>VLOOKUP($B47,'[2]JAI (加新件號)'!$D$20:$KH$49,283,0)</f>
        <v>144</v>
      </c>
      <c r="W47" s="109">
        <f>VLOOKUP($B47,'[2]JAI (加新件號)'!$D$20:$KH$49,284,0)</f>
        <v>138</v>
      </c>
      <c r="X47" s="109">
        <f>VLOOKUP($B47,'[2]JAI (加新件號)'!$D$20:$KH$49,285,0)</f>
        <v>138</v>
      </c>
      <c r="Y47" s="109">
        <f>VLOOKUP($B47,'[2]JAI (加新件號)'!$D$20:$KH$49,286,0)</f>
        <v>138</v>
      </c>
      <c r="Z47" s="163">
        <f>VLOOKUP($B47,'[2]JAI (加新件號)'!$D$20:$KH$49,287,0)</f>
        <v>138</v>
      </c>
      <c r="AA47" s="110">
        <f t="shared" si="31"/>
        <v>696</v>
      </c>
      <c r="AB47" s="109">
        <f>VLOOKUP($B47,'[2]JAI (加新件號)'!$D$20:$KH$49,288,0)</f>
        <v>138</v>
      </c>
      <c r="AC47" s="109">
        <f>VLOOKUP($B47,'[2]JAI (加新件號)'!$D$20:$KH$49,289,0)</f>
        <v>138</v>
      </c>
      <c r="AD47" s="109">
        <f>VLOOKUP($B47,'[2]JAI (加新件號)'!$D$20:$KH$49,290,0)</f>
        <v>138</v>
      </c>
      <c r="AE47" s="109">
        <f>VLOOKUP($B47,'[2]JAI (加新件號)'!$D$20:$KH$49,291,0)</f>
        <v>132</v>
      </c>
      <c r="AF47" s="163"/>
      <c r="AG47" s="110">
        <f t="shared" si="32"/>
        <v>546</v>
      </c>
    </row>
    <row r="48" spans="1:33" s="184" customFormat="1" ht="15.75" customHeight="1">
      <c r="A48" s="182" t="s">
        <v>97</v>
      </c>
      <c r="B48" s="182" t="s">
        <v>88</v>
      </c>
      <c r="C48" s="183" t="s">
        <v>126</v>
      </c>
      <c r="D48" s="109">
        <f>VLOOKUP($B48,'[2]JAI (加新件號)'!$D$20:$KH$49,270,0)</f>
        <v>0</v>
      </c>
      <c r="E48" s="109">
        <f>VLOOKUP($B48,'[2]JAI (加新件號)'!$D$20:$KH$49,271,0)</f>
        <v>0</v>
      </c>
      <c r="F48" s="109">
        <f>VLOOKUP($B48,'[2]JAI (加新件號)'!$D$20:$KH$49,272,0)</f>
        <v>0</v>
      </c>
      <c r="G48" s="109">
        <f>VLOOKUP($B48,'[2]JAI (加新件號)'!$D$20:$KH$49,273,0)</f>
        <v>0</v>
      </c>
      <c r="H48" s="163">
        <f>VLOOKUP($B48,'[2]JAI (加新件號)'!$D$20:$KH$49,274,0)</f>
        <v>0</v>
      </c>
      <c r="I48" s="110">
        <f t="shared" si="28"/>
        <v>0</v>
      </c>
      <c r="J48" s="109">
        <f>VLOOKUP($B48,'[2]JAI (加新件號)'!$D$20:$KH$49,275,0)</f>
        <v>6</v>
      </c>
      <c r="K48" s="109">
        <f>VLOOKUP($B48,'[2]JAI (加新件號)'!$D$20:$KH$49,276,0)</f>
        <v>0</v>
      </c>
      <c r="L48" s="109">
        <f>VLOOKUP($B48,'[2]JAI (加新件號)'!$D$20:$KH$49,277,0)</f>
        <v>0</v>
      </c>
      <c r="M48" s="109">
        <f>VLOOKUP($B48,'[2]JAI (加新件號)'!$D$20:$KH$49,278,0)</f>
        <v>0</v>
      </c>
      <c r="N48" s="163"/>
      <c r="O48" s="110">
        <f t="shared" si="29"/>
        <v>6</v>
      </c>
      <c r="P48" s="109">
        <f>VLOOKUP($B48,'[2]JAI (加新件號)'!$D$20:$KH$49,279,0)</f>
        <v>6</v>
      </c>
      <c r="Q48" s="109">
        <f>VLOOKUP($B48,'[2]JAI (加新件號)'!$D$20:$KH$49,280,0)</f>
        <v>0</v>
      </c>
      <c r="R48" s="109">
        <f>VLOOKUP($B48,'[2]JAI (加新件號)'!$D$20:$KH$49,281,0)</f>
        <v>0</v>
      </c>
      <c r="S48" s="109">
        <f>VLOOKUP($B48,'[2]JAI (加新件號)'!$D$20:$KH$49,282,0)</f>
        <v>0</v>
      </c>
      <c r="T48" s="163"/>
      <c r="U48" s="110">
        <f t="shared" si="30"/>
        <v>6</v>
      </c>
      <c r="V48" s="109">
        <f>VLOOKUP($B48,'[2]JAI (加新件號)'!$D$20:$KH$49,283,0)</f>
        <v>6</v>
      </c>
      <c r="W48" s="109">
        <f>VLOOKUP($B48,'[2]JAI (加新件號)'!$D$20:$KH$49,284,0)</f>
        <v>0</v>
      </c>
      <c r="X48" s="109">
        <f>VLOOKUP($B48,'[2]JAI (加新件號)'!$D$20:$KH$49,285,0)</f>
        <v>0</v>
      </c>
      <c r="Y48" s="109">
        <f>VLOOKUP($B48,'[2]JAI (加新件號)'!$D$20:$KH$49,286,0)</f>
        <v>0</v>
      </c>
      <c r="Z48" s="163">
        <f>VLOOKUP($B48,'[2]JAI (加新件號)'!$D$20:$KH$49,287,0)</f>
        <v>0</v>
      </c>
      <c r="AA48" s="110">
        <f t="shared" si="31"/>
        <v>6</v>
      </c>
      <c r="AB48" s="109">
        <f>VLOOKUP($B48,'[2]JAI (加新件號)'!$D$20:$KH$49,288,0)</f>
        <v>6</v>
      </c>
      <c r="AC48" s="109">
        <f>VLOOKUP($B48,'[2]JAI (加新件號)'!$D$20:$KH$49,289,0)</f>
        <v>0</v>
      </c>
      <c r="AD48" s="109">
        <f>VLOOKUP($B48,'[2]JAI (加新件號)'!$D$20:$KH$49,290,0)</f>
        <v>0</v>
      </c>
      <c r="AE48" s="109">
        <f>VLOOKUP($B48,'[2]JAI (加新件號)'!$D$20:$KH$49,291,0)</f>
        <v>0</v>
      </c>
      <c r="AF48" s="163"/>
      <c r="AG48" s="110">
        <f t="shared" si="32"/>
        <v>6</v>
      </c>
    </row>
    <row r="49" spans="1:33" s="190" customFormat="1" ht="15.75" customHeight="1" thickBot="1">
      <c r="A49" s="185" t="s">
        <v>99</v>
      </c>
      <c r="B49" s="185" t="s">
        <v>90</v>
      </c>
      <c r="C49" s="186" t="s">
        <v>120</v>
      </c>
      <c r="D49" s="187">
        <f>VLOOKUP($B49,'[2]JAI (加新件號)'!$D$20:$KH$49,270,0)</f>
        <v>168</v>
      </c>
      <c r="E49" s="187">
        <f>VLOOKUP($B49,'[2]JAI (加新件號)'!$D$20:$KH$49,271,0)</f>
        <v>168</v>
      </c>
      <c r="F49" s="187">
        <f>VLOOKUP($B49,'[2]JAI (加新件號)'!$D$20:$KH$49,272,0)</f>
        <v>162</v>
      </c>
      <c r="G49" s="187">
        <f>VLOOKUP($B49,'[2]JAI (加新件號)'!$D$20:$KH$49,273,0)</f>
        <v>0</v>
      </c>
      <c r="H49" s="188">
        <f>VLOOKUP($B49,'[2]JAI (加新件號)'!$D$20:$KH$49,274,0)</f>
        <v>162</v>
      </c>
      <c r="I49" s="189">
        <f t="shared" si="28"/>
        <v>660</v>
      </c>
      <c r="J49" s="187">
        <f>VLOOKUP($B49,'[2]JAI (加新件號)'!$D$20:$KH$49,275,0)</f>
        <v>150</v>
      </c>
      <c r="K49" s="187">
        <f>VLOOKUP($B49,'[2]JAI (加新件號)'!$D$20:$KH$49,276,0)</f>
        <v>150</v>
      </c>
      <c r="L49" s="187">
        <f>VLOOKUP($B49,'[2]JAI (加新件號)'!$D$20:$KH$49,277,0)</f>
        <v>144</v>
      </c>
      <c r="M49" s="187">
        <f>VLOOKUP($B49,'[2]JAI (加新件號)'!$D$20:$KH$49,278,0)</f>
        <v>144</v>
      </c>
      <c r="N49" s="188"/>
      <c r="O49" s="189">
        <f t="shared" si="29"/>
        <v>588</v>
      </c>
      <c r="P49" s="187">
        <f>VLOOKUP($B49,'[2]JAI (加新件號)'!$D$20:$KH$49,279,0)</f>
        <v>174</v>
      </c>
      <c r="Q49" s="187">
        <f>VLOOKUP($B49,'[2]JAI (加新件號)'!$D$20:$KH$49,280,0)</f>
        <v>174</v>
      </c>
      <c r="R49" s="187">
        <f>VLOOKUP($B49,'[2]JAI (加新件號)'!$D$20:$KH$49,281,0)</f>
        <v>168</v>
      </c>
      <c r="S49" s="187">
        <f>VLOOKUP($B49,'[2]JAI (加新件號)'!$D$20:$KH$49,282,0)</f>
        <v>168</v>
      </c>
      <c r="T49" s="188"/>
      <c r="U49" s="189">
        <f t="shared" si="30"/>
        <v>684</v>
      </c>
      <c r="V49" s="187">
        <f>VLOOKUP($B49,'[2]JAI (加新件號)'!$D$20:$KH$49,283,0)</f>
        <v>150</v>
      </c>
      <c r="W49" s="187">
        <f>VLOOKUP($B49,'[2]JAI (加新件號)'!$D$20:$KH$49,284,0)</f>
        <v>150</v>
      </c>
      <c r="X49" s="187">
        <f>VLOOKUP($B49,'[2]JAI (加新件號)'!$D$20:$KH$49,285,0)</f>
        <v>150</v>
      </c>
      <c r="Y49" s="187">
        <f>VLOOKUP($B49,'[2]JAI (加新件號)'!$D$20:$KH$49,286,0)</f>
        <v>150</v>
      </c>
      <c r="Z49" s="188">
        <f>VLOOKUP($B49,'[2]JAI (加新件號)'!$D$20:$KH$49,287,0)</f>
        <v>144</v>
      </c>
      <c r="AA49" s="189">
        <f t="shared" si="31"/>
        <v>744</v>
      </c>
      <c r="AB49" s="187">
        <f>VLOOKUP($B49,'[2]JAI (加新件號)'!$D$20:$KH$49,288,0)</f>
        <v>150</v>
      </c>
      <c r="AC49" s="187">
        <f>VLOOKUP($B49,'[2]JAI (加新件號)'!$D$20:$KH$49,289,0)</f>
        <v>144</v>
      </c>
      <c r="AD49" s="187">
        <f>VLOOKUP($B49,'[2]JAI (加新件號)'!$D$20:$KH$49,290,0)</f>
        <v>144</v>
      </c>
      <c r="AE49" s="187">
        <f>VLOOKUP($B49,'[2]JAI (加新件號)'!$D$20:$KH$49,291,0)</f>
        <v>144</v>
      </c>
      <c r="AF49" s="188"/>
      <c r="AG49" s="189">
        <f t="shared" si="32"/>
        <v>582</v>
      </c>
    </row>
    <row r="50" spans="1:33" s="184" customFormat="1" ht="15.75" customHeight="1" thickTop="1">
      <c r="A50" s="191" t="s">
        <v>95</v>
      </c>
      <c r="B50" s="191" t="s">
        <v>86</v>
      </c>
      <c r="C50" s="183" t="s">
        <v>121</v>
      </c>
      <c r="D50" s="192"/>
      <c r="E50" s="192"/>
      <c r="F50" s="192"/>
      <c r="G50" s="192"/>
      <c r="H50" s="193"/>
      <c r="I50" s="194">
        <f t="shared" si="28"/>
        <v>0</v>
      </c>
      <c r="J50" s="192"/>
      <c r="K50" s="192"/>
      <c r="L50" s="192"/>
      <c r="M50" s="192"/>
      <c r="N50" s="193"/>
      <c r="O50" s="194">
        <f t="shared" si="29"/>
        <v>0</v>
      </c>
      <c r="P50" s="192"/>
      <c r="Q50" s="192"/>
      <c r="R50" s="192"/>
      <c r="S50" s="192"/>
      <c r="T50" s="193"/>
      <c r="U50" s="194">
        <f t="shared" si="30"/>
        <v>0</v>
      </c>
      <c r="V50" s="192"/>
      <c r="W50" s="192"/>
      <c r="X50" s="192"/>
      <c r="Y50" s="192"/>
      <c r="Z50" s="193"/>
      <c r="AA50" s="194">
        <f t="shared" si="31"/>
        <v>0</v>
      </c>
      <c r="AB50" s="192"/>
      <c r="AC50" s="192"/>
      <c r="AD50" s="192"/>
      <c r="AE50" s="192"/>
      <c r="AF50" s="193"/>
      <c r="AG50" s="194">
        <f t="shared" si="32"/>
        <v>0</v>
      </c>
    </row>
    <row r="51" spans="1:33" s="184" customFormat="1" ht="15.75" customHeight="1">
      <c r="A51" s="182" t="s">
        <v>96</v>
      </c>
      <c r="B51" s="182" t="s">
        <v>87</v>
      </c>
      <c r="C51" s="183" t="s">
        <v>122</v>
      </c>
      <c r="D51" s="109">
        <f>VLOOKUP($B51,'[2]JAI (加新件號)'!$D$20:$KH$49,270,0)</f>
        <v>96</v>
      </c>
      <c r="E51" s="109">
        <f>VLOOKUP($B51,'[2]JAI (加新件號)'!$D$20:$KH$49,271,0)</f>
        <v>96</v>
      </c>
      <c r="F51" s="109">
        <f>VLOOKUP($B51,'[2]JAI (加新件號)'!$D$20:$KH$49,272,0)</f>
        <v>96</v>
      </c>
      <c r="G51" s="109">
        <f>VLOOKUP($B51,'[2]JAI (加新件號)'!$D$20:$KH$49,273,0)</f>
        <v>0</v>
      </c>
      <c r="H51" s="163">
        <f>VLOOKUP($B51,'[2]JAI (加新件號)'!$D$20:$KH$49,274,0)</f>
        <v>96</v>
      </c>
      <c r="I51" s="110">
        <f t="shared" si="28"/>
        <v>384</v>
      </c>
      <c r="J51" s="109">
        <f>VLOOKUP($B51,'[2]JAI (加新件號)'!$D$20:$KH$49,275,0)</f>
        <v>90</v>
      </c>
      <c r="K51" s="109">
        <f>VLOOKUP($B51,'[2]JAI (加新件號)'!$D$20:$KH$49,276,0)</f>
        <v>90</v>
      </c>
      <c r="L51" s="109">
        <f>VLOOKUP($B51,'[2]JAI (加新件號)'!$D$20:$KH$49,277,0)</f>
        <v>90</v>
      </c>
      <c r="M51" s="109">
        <f>VLOOKUP($B51,'[2]JAI (加新件號)'!$D$20:$KH$49,278,0)</f>
        <v>90</v>
      </c>
      <c r="N51" s="163"/>
      <c r="O51" s="110">
        <f t="shared" si="29"/>
        <v>360</v>
      </c>
      <c r="P51" s="109">
        <f>VLOOKUP($B51,'[2]JAI (加新件號)'!$D$20:$KH$49,279,0)</f>
        <v>114</v>
      </c>
      <c r="Q51" s="109">
        <f>VLOOKUP($B51,'[2]JAI (加新件號)'!$D$20:$KH$49,280,0)</f>
        <v>114</v>
      </c>
      <c r="R51" s="109">
        <f>VLOOKUP($B51,'[2]JAI (加新件號)'!$D$20:$KH$49,281,0)</f>
        <v>114</v>
      </c>
      <c r="S51" s="109">
        <f>VLOOKUP($B51,'[2]JAI (加新件號)'!$D$20:$KH$49,282,0)</f>
        <v>108</v>
      </c>
      <c r="T51" s="163"/>
      <c r="U51" s="110">
        <f t="shared" si="30"/>
        <v>450</v>
      </c>
      <c r="V51" s="109">
        <f>VLOOKUP($B51,'[2]JAI (加新件號)'!$D$20:$KH$49,283,0)</f>
        <v>102</v>
      </c>
      <c r="W51" s="109">
        <f>VLOOKUP($B51,'[2]JAI (加新件號)'!$D$20:$KH$49,284,0)</f>
        <v>102</v>
      </c>
      <c r="X51" s="109">
        <f>VLOOKUP($B51,'[2]JAI (加新件號)'!$D$20:$KH$49,285,0)</f>
        <v>102</v>
      </c>
      <c r="Y51" s="109">
        <f>VLOOKUP($B51,'[2]JAI (加新件號)'!$D$20:$KH$49,286,0)</f>
        <v>96</v>
      </c>
      <c r="Z51" s="163">
        <f>VLOOKUP($B51,'[2]JAI (加新件號)'!$D$20:$KH$49,287,0)</f>
        <v>96</v>
      </c>
      <c r="AA51" s="110">
        <f t="shared" si="31"/>
        <v>498</v>
      </c>
      <c r="AB51" s="109">
        <f>VLOOKUP($B51,'[2]JAI (加新件號)'!$D$20:$KH$49,288,0)</f>
        <v>102</v>
      </c>
      <c r="AC51" s="109">
        <f>VLOOKUP($B51,'[2]JAI (加新件號)'!$D$20:$KH$49,289,0)</f>
        <v>96</v>
      </c>
      <c r="AD51" s="109">
        <f>VLOOKUP($B51,'[2]JAI (加新件號)'!$D$20:$KH$49,290,0)</f>
        <v>96</v>
      </c>
      <c r="AE51" s="109">
        <f>VLOOKUP($B51,'[2]JAI (加新件號)'!$D$20:$KH$49,291,0)</f>
        <v>96</v>
      </c>
      <c r="AF51" s="163"/>
      <c r="AG51" s="110">
        <f t="shared" si="32"/>
        <v>390</v>
      </c>
    </row>
    <row r="52" spans="1:33" s="184" customFormat="1" ht="15.75" customHeight="1">
      <c r="A52" s="209" t="s">
        <v>145</v>
      </c>
      <c r="B52" s="209" t="s">
        <v>143</v>
      </c>
      <c r="C52" s="205" t="s">
        <v>142</v>
      </c>
      <c r="D52" s="206">
        <f>VLOOKUP($B52,'[2]JAI (加新件號)'!$D$20:$KH$49,270,0)</f>
        <v>24</v>
      </c>
      <c r="E52" s="206">
        <f>VLOOKUP($B52,'[2]JAI (加新件號)'!$D$20:$KH$49,271,0)</f>
        <v>18</v>
      </c>
      <c r="F52" s="206">
        <f>VLOOKUP($B52,'[2]JAI (加新件號)'!$D$20:$KH$49,272,0)</f>
        <v>0</v>
      </c>
      <c r="G52" s="206">
        <f>VLOOKUP($B52,'[2]JAI (加新件號)'!$D$20:$KH$49,273,0)</f>
        <v>0</v>
      </c>
      <c r="H52" s="207">
        <f>VLOOKUP($B52,'[2]JAI (加新件號)'!$D$20:$KH$49,274,0)</f>
        <v>0</v>
      </c>
      <c r="I52" s="208">
        <f t="shared" si="28"/>
        <v>42</v>
      </c>
      <c r="J52" s="206">
        <f>VLOOKUP($B52,'[2]JAI (加新件號)'!$D$20:$KH$49,275,0)</f>
        <v>18</v>
      </c>
      <c r="K52" s="206">
        <f>VLOOKUP($B52,'[2]JAI (加新件號)'!$D$20:$KH$49,276,0)</f>
        <v>12</v>
      </c>
      <c r="L52" s="206">
        <f>VLOOKUP($B52,'[2]JAI (加新件號)'!$D$20:$KH$49,277,0)</f>
        <v>0</v>
      </c>
      <c r="M52" s="206">
        <f>VLOOKUP($B52,'[2]JAI (加新件號)'!$D$20:$KH$49,278,0)</f>
        <v>0</v>
      </c>
      <c r="N52" s="207"/>
      <c r="O52" s="208">
        <f t="shared" si="29"/>
        <v>30</v>
      </c>
      <c r="P52" s="206">
        <f>VLOOKUP($B52,'[2]JAI (加新件號)'!$D$20:$KH$49,279,0)</f>
        <v>18</v>
      </c>
      <c r="Q52" s="206">
        <f>VLOOKUP($B52,'[2]JAI (加新件號)'!$D$20:$KH$49,280,0)</f>
        <v>18</v>
      </c>
      <c r="R52" s="206">
        <f>VLOOKUP($B52,'[2]JAI (加新件號)'!$D$20:$KH$49,281,0)</f>
        <v>0</v>
      </c>
      <c r="S52" s="206">
        <f>VLOOKUP($B52,'[2]JAI (加新件號)'!$D$20:$KH$49,282,0)</f>
        <v>0</v>
      </c>
      <c r="T52" s="207"/>
      <c r="U52" s="208">
        <f t="shared" si="30"/>
        <v>36</v>
      </c>
      <c r="V52" s="206">
        <f>VLOOKUP($B52,'[2]JAI (加新件號)'!$D$20:$KH$49,283,0)</f>
        <v>18</v>
      </c>
      <c r="W52" s="206">
        <f>VLOOKUP($B52,'[2]JAI (加新件號)'!$D$20:$KH$49,284,0)</f>
        <v>18</v>
      </c>
      <c r="X52" s="206">
        <f>VLOOKUP($B52,'[2]JAI (加新件號)'!$D$20:$KH$49,285,0)</f>
        <v>0</v>
      </c>
      <c r="Y52" s="206">
        <f>VLOOKUP($B52,'[2]JAI (加新件號)'!$D$20:$KH$49,286,0)</f>
        <v>0</v>
      </c>
      <c r="Z52" s="207">
        <f>VLOOKUP($B52,'[2]JAI (加新件號)'!$D$20:$KH$49,287,0)</f>
        <v>0</v>
      </c>
      <c r="AA52" s="208">
        <f t="shared" si="31"/>
        <v>36</v>
      </c>
      <c r="AB52" s="206">
        <f>VLOOKUP($B52,'[2]JAI (加新件號)'!$D$20:$KH$49,288,0)</f>
        <v>18</v>
      </c>
      <c r="AC52" s="206">
        <f>VLOOKUP($B52,'[2]JAI (加新件號)'!$D$20:$KH$49,289,0)</f>
        <v>12</v>
      </c>
      <c r="AD52" s="206">
        <f>VLOOKUP($B52,'[2]JAI (加新件號)'!$D$20:$KH$49,290,0)</f>
        <v>0</v>
      </c>
      <c r="AE52" s="206">
        <f>VLOOKUP($B52,'[2]JAI (加新件號)'!$D$20:$KH$49,291,0)</f>
        <v>0</v>
      </c>
      <c r="AF52" s="207"/>
      <c r="AG52" s="208">
        <f t="shared" si="32"/>
        <v>30</v>
      </c>
    </row>
    <row r="53" spans="1:33" s="184" customFormat="1" ht="15.75" customHeight="1">
      <c r="A53" s="209" t="s">
        <v>146</v>
      </c>
      <c r="B53" s="209" t="s">
        <v>144</v>
      </c>
      <c r="C53" s="205" t="s">
        <v>142</v>
      </c>
      <c r="D53" s="206">
        <f>VLOOKUP($B53,'[2]JAI (加新件號)'!$D$20:$KH$49,270,0)</f>
        <v>12</v>
      </c>
      <c r="E53" s="206">
        <f>VLOOKUP($B53,'[2]JAI (加新件號)'!$D$20:$KH$49,271,0)</f>
        <v>0</v>
      </c>
      <c r="F53" s="206">
        <f>VLOOKUP($B53,'[2]JAI (加新件號)'!$D$20:$KH$49,272,0)</f>
        <v>0</v>
      </c>
      <c r="G53" s="206">
        <f>VLOOKUP($B53,'[2]JAI (加新件號)'!$D$20:$KH$49,273,0)</f>
        <v>0</v>
      </c>
      <c r="H53" s="207">
        <f>VLOOKUP($B53,'[2]JAI (加新件號)'!$D$20:$KH$49,274,0)</f>
        <v>0</v>
      </c>
      <c r="I53" s="208">
        <f t="shared" si="28"/>
        <v>12</v>
      </c>
      <c r="J53" s="206">
        <f>VLOOKUP($B53,'[2]JAI (加新件號)'!$D$20:$KH$49,275,0)</f>
        <v>48</v>
      </c>
      <c r="K53" s="206">
        <f>VLOOKUP($B53,'[2]JAI (加新件號)'!$D$20:$KH$49,276,0)</f>
        <v>48</v>
      </c>
      <c r="L53" s="206">
        <f>VLOOKUP($B53,'[2]JAI (加新件號)'!$D$20:$KH$49,277,0)</f>
        <v>42</v>
      </c>
      <c r="M53" s="206">
        <f>VLOOKUP($B53,'[2]JAI (加新件號)'!$D$20:$KH$49,278,0)</f>
        <v>42</v>
      </c>
      <c r="N53" s="207"/>
      <c r="O53" s="208">
        <f t="shared" si="29"/>
        <v>180</v>
      </c>
      <c r="P53" s="206">
        <f>VLOOKUP($B53,'[2]JAI (加新件號)'!$D$20:$KH$49,279,0)</f>
        <v>60</v>
      </c>
      <c r="Q53" s="206">
        <f>VLOOKUP($B53,'[2]JAI (加新件號)'!$D$20:$KH$49,280,0)</f>
        <v>60</v>
      </c>
      <c r="R53" s="206">
        <f>VLOOKUP($B53,'[2]JAI (加新件號)'!$D$20:$KH$49,281,0)</f>
        <v>54</v>
      </c>
      <c r="S53" s="206">
        <f>VLOOKUP($B53,'[2]JAI (加新件號)'!$D$20:$KH$49,282,0)</f>
        <v>54</v>
      </c>
      <c r="T53" s="207"/>
      <c r="U53" s="208">
        <f t="shared" si="30"/>
        <v>228</v>
      </c>
      <c r="V53" s="206">
        <f>VLOOKUP($B53,'[2]JAI (加新件號)'!$D$20:$KH$49,283,0)</f>
        <v>42</v>
      </c>
      <c r="W53" s="206">
        <f>VLOOKUP($B53,'[2]JAI (加新件號)'!$D$20:$KH$49,284,0)</f>
        <v>42</v>
      </c>
      <c r="X53" s="206">
        <f>VLOOKUP($B53,'[2]JAI (加新件號)'!$D$20:$KH$49,285,0)</f>
        <v>42</v>
      </c>
      <c r="Y53" s="206">
        <f>VLOOKUP($B53,'[2]JAI (加新件號)'!$D$20:$KH$49,286,0)</f>
        <v>42</v>
      </c>
      <c r="Z53" s="207">
        <f>VLOOKUP($B53,'[2]JAI (加新件號)'!$D$20:$KH$49,287,0)</f>
        <v>42</v>
      </c>
      <c r="AA53" s="208">
        <f t="shared" si="31"/>
        <v>210</v>
      </c>
      <c r="AB53" s="206">
        <f>VLOOKUP($B53,'[2]JAI (加新件號)'!$D$20:$KH$49,288,0)</f>
        <v>48</v>
      </c>
      <c r="AC53" s="206">
        <f>VLOOKUP($B53,'[2]JAI (加新件號)'!$D$20:$KH$49,289,0)</f>
        <v>48</v>
      </c>
      <c r="AD53" s="206">
        <f>VLOOKUP($B53,'[2]JAI (加新件號)'!$D$20:$KH$49,290,0)</f>
        <v>48</v>
      </c>
      <c r="AE53" s="206">
        <f>VLOOKUP($B53,'[2]JAI (加新件號)'!$D$20:$KH$49,291,0)</f>
        <v>42</v>
      </c>
      <c r="AF53" s="207"/>
      <c r="AG53" s="208">
        <f t="shared" si="32"/>
        <v>186</v>
      </c>
    </row>
    <row r="54" spans="1:33" s="190" customFormat="1" ht="15.75" customHeight="1" thickBot="1">
      <c r="A54" s="185" t="s">
        <v>98</v>
      </c>
      <c r="B54" s="185" t="s">
        <v>89</v>
      </c>
      <c r="C54" s="186" t="s">
        <v>129</v>
      </c>
      <c r="D54" s="187">
        <f>VLOOKUP($B54,'[2]JAI (加新件號)'!$D$20:$KH$49,270,0)</f>
        <v>12</v>
      </c>
      <c r="E54" s="187">
        <f>VLOOKUP($B54,'[2]JAI (加新件號)'!$D$20:$KH$49,271,0)</f>
        <v>0</v>
      </c>
      <c r="F54" s="187">
        <f>VLOOKUP($B54,'[2]JAI (加新件號)'!$D$20:$KH$49,272,0)</f>
        <v>0</v>
      </c>
      <c r="G54" s="187">
        <f>VLOOKUP($B54,'[2]JAI (加新件號)'!$D$20:$KH$49,273,0)</f>
        <v>0</v>
      </c>
      <c r="H54" s="188">
        <f>VLOOKUP($B54,'[2]JAI (加新件號)'!$D$20:$KH$49,274,0)</f>
        <v>0</v>
      </c>
      <c r="I54" s="189">
        <f t="shared" si="28"/>
        <v>12</v>
      </c>
      <c r="J54" s="187">
        <f>VLOOKUP($B54,'[2]JAI (加新件號)'!$D$20:$KH$49,275,0)</f>
        <v>18</v>
      </c>
      <c r="K54" s="187">
        <f>VLOOKUP($B54,'[2]JAI (加新件號)'!$D$20:$KH$49,276,0)</f>
        <v>12</v>
      </c>
      <c r="L54" s="187">
        <f>VLOOKUP($B54,'[2]JAI (加新件號)'!$D$20:$KH$49,277,0)</f>
        <v>0</v>
      </c>
      <c r="M54" s="187">
        <f>VLOOKUP($B54,'[2]JAI (加新件號)'!$D$20:$KH$49,278,0)</f>
        <v>0</v>
      </c>
      <c r="N54" s="188"/>
      <c r="O54" s="189">
        <f t="shared" si="29"/>
        <v>30</v>
      </c>
      <c r="P54" s="187">
        <f>VLOOKUP($B54,'[2]JAI (加新件號)'!$D$20:$KH$49,279,0)</f>
        <v>18</v>
      </c>
      <c r="Q54" s="187">
        <f>VLOOKUP($B54,'[2]JAI (加新件號)'!$D$20:$KH$49,280,0)</f>
        <v>12</v>
      </c>
      <c r="R54" s="187">
        <f>VLOOKUP($B54,'[2]JAI (加新件號)'!$D$20:$KH$49,281,0)</f>
        <v>0</v>
      </c>
      <c r="S54" s="188">
        <f>VLOOKUP($B54,'[2]JAI (加新件號)'!$D$20:$KH$49,282,0)</f>
        <v>0</v>
      </c>
      <c r="T54" s="188"/>
      <c r="U54" s="189">
        <f t="shared" si="30"/>
        <v>30</v>
      </c>
      <c r="V54" s="187">
        <f>VLOOKUP($B54,'[2]JAI (加新件號)'!$D$20:$KH$49,283,0)</f>
        <v>18</v>
      </c>
      <c r="W54" s="187">
        <f>VLOOKUP($B54,'[2]JAI (加新件號)'!$D$20:$KH$49,284,0)</f>
        <v>12</v>
      </c>
      <c r="X54" s="187">
        <f>VLOOKUP($B54,'[2]JAI (加新件號)'!$D$20:$KH$49,285,0)</f>
        <v>0</v>
      </c>
      <c r="Y54" s="187">
        <f>VLOOKUP($B54,'[2]JAI (加新件號)'!$D$20:$KH$49,286,0)</f>
        <v>0</v>
      </c>
      <c r="Z54" s="188">
        <f>VLOOKUP($B54,'[2]JAI (加新件號)'!$D$20:$KH$49,287,0)</f>
        <v>0</v>
      </c>
      <c r="AA54" s="189">
        <f t="shared" si="31"/>
        <v>30</v>
      </c>
      <c r="AB54" s="187">
        <f>VLOOKUP($B54,'[2]JAI (加新件號)'!$D$20:$KH$49,288,0)</f>
        <v>12</v>
      </c>
      <c r="AC54" s="187">
        <f>VLOOKUP($B54,'[2]JAI (加新件號)'!$D$20:$KH$49,289,0)</f>
        <v>12</v>
      </c>
      <c r="AD54" s="187">
        <f>VLOOKUP($B54,'[2]JAI (加新件號)'!$D$20:$KH$49,290,0)</f>
        <v>0</v>
      </c>
      <c r="AE54" s="187">
        <f>VLOOKUP($B54,'[2]JAI (加新件號)'!$D$20:$KH$49,291,0)</f>
        <v>0</v>
      </c>
      <c r="AF54" s="188"/>
      <c r="AG54" s="189">
        <f t="shared" si="32"/>
        <v>24</v>
      </c>
    </row>
    <row r="55" spans="1:33" s="39" customFormat="1" ht="15.75" customHeight="1" thickTop="1">
      <c r="A55" s="196" t="s">
        <v>136</v>
      </c>
      <c r="B55" s="197" t="s">
        <v>133</v>
      </c>
      <c r="C55" s="198" t="s">
        <v>139</v>
      </c>
      <c r="D55" s="59">
        <f>VLOOKUP($B55,'[2]JAI (加新件號)'!$D$20:$KH$49,270,0)</f>
        <v>18</v>
      </c>
      <c r="E55" s="50">
        <f>VLOOKUP($B55,'[2]JAI (加新件號)'!$D$20:$KH$49,271,0)</f>
        <v>18</v>
      </c>
      <c r="F55" s="50">
        <f>VLOOKUP($B55,'[2]JAI (加新件號)'!$D$20:$KH$49,272,0)</f>
        <v>18</v>
      </c>
      <c r="G55" s="56">
        <f>VLOOKUP($B55,'[2]JAI (加新件號)'!$D$20:$KH$49,273,0)</f>
        <v>0</v>
      </c>
      <c r="H55" s="56">
        <f>VLOOKUP($B55,'[2]JAI (加新件號)'!$D$20:$KH$49,274,0)</f>
        <v>0</v>
      </c>
      <c r="I55" s="61">
        <f t="shared" si="28"/>
        <v>54</v>
      </c>
      <c r="J55" s="59">
        <f>VLOOKUP($B55,'[2]JAI (加新件號)'!$D$20:$KH$49,275,0)</f>
        <v>18</v>
      </c>
      <c r="K55" s="50">
        <f>VLOOKUP($B55,'[2]JAI (加新件號)'!$D$20:$KH$49,276,0)</f>
        <v>18</v>
      </c>
      <c r="L55" s="50">
        <f>VLOOKUP($B55,'[2]JAI (加新件號)'!$D$20:$KH$49,277,0)</f>
        <v>12</v>
      </c>
      <c r="M55" s="56">
        <f>VLOOKUP($B55,'[2]JAI (加新件號)'!$D$20:$KH$49,278,0)</f>
        <v>0</v>
      </c>
      <c r="N55" s="56"/>
      <c r="O55" s="61">
        <f t="shared" si="29"/>
        <v>48</v>
      </c>
      <c r="P55" s="59">
        <f>VLOOKUP($B55,'[2]JAI (加新件號)'!$D$20:$KH$49,279,0)</f>
        <v>24</v>
      </c>
      <c r="Q55" s="50">
        <f>VLOOKUP($B55,'[2]JAI (加新件號)'!$D$20:$KH$49,280,0)</f>
        <v>18</v>
      </c>
      <c r="R55" s="50">
        <f>VLOOKUP($B55,'[2]JAI (加新件號)'!$D$20:$KH$49,281,0)</f>
        <v>0</v>
      </c>
      <c r="S55" s="50">
        <f>VLOOKUP($B55,'[2]JAI (加新件號)'!$D$20:$KH$49,282,0)</f>
        <v>0</v>
      </c>
      <c r="T55" s="56"/>
      <c r="U55" s="61">
        <f t="shared" si="30"/>
        <v>42</v>
      </c>
      <c r="V55" s="59">
        <f>VLOOKUP($B55,'[2]JAI (加新件號)'!$D$20:$KH$49,283,0)</f>
        <v>24</v>
      </c>
      <c r="W55" s="50">
        <f>VLOOKUP($B55,'[2]JAI (加新件號)'!$D$20:$KH$49,284,0)</f>
        <v>18</v>
      </c>
      <c r="X55" s="50">
        <f>VLOOKUP($B55,'[2]JAI (加新件號)'!$D$20:$KH$49,285,0)</f>
        <v>0</v>
      </c>
      <c r="Y55" s="50">
        <f>VLOOKUP($B55,'[2]JAI (加新件號)'!$D$20:$KH$49,286,0)</f>
        <v>0</v>
      </c>
      <c r="Z55" s="56">
        <f>VLOOKUP($B55,'[2]JAI (加新件號)'!$D$20:$KH$49,287,0)</f>
        <v>0</v>
      </c>
      <c r="AA55" s="61">
        <f t="shared" si="31"/>
        <v>42</v>
      </c>
      <c r="AB55" s="59">
        <f>VLOOKUP($B55,'[2]JAI (加新件號)'!$D$20:$KH$49,288,0)</f>
        <v>18</v>
      </c>
      <c r="AC55" s="50">
        <f>VLOOKUP($B55,'[2]JAI (加新件號)'!$D$20:$KH$49,289,0)</f>
        <v>12</v>
      </c>
      <c r="AD55" s="50">
        <f>VLOOKUP($B55,'[2]JAI (加新件號)'!$D$20:$KH$49,290,0)</f>
        <v>0</v>
      </c>
      <c r="AE55" s="50">
        <f>VLOOKUP($B55,'[2]JAI (加新件號)'!$D$20:$KH$49,291,0)</f>
        <v>0</v>
      </c>
      <c r="AF55" s="56"/>
      <c r="AG55" s="61">
        <f t="shared" si="32"/>
        <v>30</v>
      </c>
    </row>
    <row r="56" spans="1:33" s="2" customFormat="1" ht="15.75" customHeight="1">
      <c r="A56" s="220" t="s">
        <v>137</v>
      </c>
      <c r="B56" s="221" t="s">
        <v>134</v>
      </c>
      <c r="C56" s="195" t="s">
        <v>140</v>
      </c>
      <c r="D56" s="222">
        <f>VLOOKUP($B56,'[2]JAI (加新件號)'!$D$20:$KH$49,270,0)</f>
        <v>0</v>
      </c>
      <c r="E56" s="223">
        <f>VLOOKUP($B56,'[2]JAI (加新件號)'!$D$20:$KH$49,271,0)</f>
        <v>0</v>
      </c>
      <c r="F56" s="223">
        <f>VLOOKUP($B56,'[2]JAI (加新件號)'!$D$20:$KH$49,272,0)</f>
        <v>0</v>
      </c>
      <c r="G56" s="224">
        <f>VLOOKUP($B56,'[2]JAI (加新件號)'!$D$20:$KH$49,273,0)</f>
        <v>0</v>
      </c>
      <c r="H56" s="224">
        <f>VLOOKUP($B56,'[2]JAI (加新件號)'!$D$20:$KH$49,274,0)</f>
        <v>0</v>
      </c>
      <c r="I56" s="225">
        <f t="shared" si="28"/>
        <v>0</v>
      </c>
      <c r="J56" s="222">
        <f>VLOOKUP($B56,'[2]JAI (加新件號)'!$D$20:$KH$49,275,0)</f>
        <v>0</v>
      </c>
      <c r="K56" s="223">
        <f>VLOOKUP($B56,'[2]JAI (加新件號)'!$D$20:$KH$49,276,0)</f>
        <v>0</v>
      </c>
      <c r="L56" s="223">
        <f>VLOOKUP($B56,'[2]JAI (加新件號)'!$D$20:$KH$49,277,0)</f>
        <v>0</v>
      </c>
      <c r="M56" s="224">
        <f>VLOOKUP($B56,'[2]JAI (加新件號)'!$D$20:$KH$49,278,0)</f>
        <v>0</v>
      </c>
      <c r="N56" s="224"/>
      <c r="O56" s="225">
        <f t="shared" si="29"/>
        <v>0</v>
      </c>
      <c r="P56" s="222">
        <f>VLOOKUP($B56,'[2]JAI (加新件號)'!$D$20:$KH$49,279,0)</f>
        <v>0</v>
      </c>
      <c r="Q56" s="223">
        <f>VLOOKUP($B56,'[2]JAI (加新件號)'!$D$20:$KH$49,280,0)</f>
        <v>0</v>
      </c>
      <c r="R56" s="223">
        <f>VLOOKUP($B56,'[2]JAI (加新件號)'!$D$20:$KH$49,281,0)</f>
        <v>0</v>
      </c>
      <c r="S56" s="223">
        <f>VLOOKUP($B56,'[2]JAI (加新件號)'!$D$20:$KH$49,282,0)</f>
        <v>0</v>
      </c>
      <c r="T56" s="224"/>
      <c r="U56" s="225">
        <f t="shared" si="30"/>
        <v>0</v>
      </c>
      <c r="V56" s="222">
        <f>VLOOKUP($B56,'[2]JAI (加新件號)'!$D$20:$KH$49,283,0)</f>
        <v>0</v>
      </c>
      <c r="W56" s="223">
        <f>VLOOKUP($B56,'[2]JAI (加新件號)'!$D$20:$KH$49,284,0)</f>
        <v>0</v>
      </c>
      <c r="X56" s="223">
        <f>VLOOKUP($B56,'[2]JAI (加新件號)'!$D$20:$KH$49,285,0)</f>
        <v>0</v>
      </c>
      <c r="Y56" s="223">
        <f>VLOOKUP($B56,'[2]JAI (加新件號)'!$D$20:$KH$49,286,0)</f>
        <v>0</v>
      </c>
      <c r="Z56" s="224">
        <f>VLOOKUP($B56,'[2]JAI (加新件號)'!$D$20:$KH$49,287,0)</f>
        <v>0</v>
      </c>
      <c r="AA56" s="225">
        <f t="shared" si="31"/>
        <v>0</v>
      </c>
      <c r="AB56" s="222">
        <f>VLOOKUP($B56,'[2]JAI (加新件號)'!$D$20:$KH$49,288,0)</f>
        <v>0</v>
      </c>
      <c r="AC56" s="223">
        <f>VLOOKUP($B56,'[2]JAI (加新件號)'!$D$20:$KH$49,289,0)</f>
        <v>0</v>
      </c>
      <c r="AD56" s="223">
        <f>VLOOKUP($B56,'[2]JAI (加新件號)'!$D$20:$KH$49,290,0)</f>
        <v>0</v>
      </c>
      <c r="AE56" s="223">
        <f>VLOOKUP($B56,'[2]JAI (加新件號)'!$D$20:$KH$49,291,0)</f>
        <v>0</v>
      </c>
      <c r="AF56" s="224"/>
      <c r="AG56" s="225">
        <f t="shared" si="32"/>
        <v>0</v>
      </c>
    </row>
    <row r="57" spans="1:33" s="2" customFormat="1" ht="15.75" customHeight="1" thickBot="1">
      <c r="A57" s="220" t="s">
        <v>138</v>
      </c>
      <c r="B57" s="221" t="s">
        <v>135</v>
      </c>
      <c r="C57" s="195" t="s">
        <v>140</v>
      </c>
      <c r="D57" s="222">
        <f>VLOOKUP($B57,'[2]JAI (加新件號)'!$D$20:$KH$49,270,0)</f>
        <v>0</v>
      </c>
      <c r="E57" s="223">
        <f>VLOOKUP($B57,'[2]JAI (加新件號)'!$D$20:$KH$49,271,0)</f>
        <v>0</v>
      </c>
      <c r="F57" s="223">
        <f>VLOOKUP($B57,'[2]JAI (加新件號)'!$D$20:$KH$49,272,0)</f>
        <v>0</v>
      </c>
      <c r="G57" s="224">
        <f>VLOOKUP($B57,'[2]JAI (加新件號)'!$D$20:$KH$49,273,0)</f>
        <v>0</v>
      </c>
      <c r="H57" s="224">
        <f>VLOOKUP($B57,'[2]JAI (加新件號)'!$D$20:$KH$49,274,0)</f>
        <v>0</v>
      </c>
      <c r="I57" s="225">
        <f t="shared" si="28"/>
        <v>0</v>
      </c>
      <c r="J57" s="223">
        <f>VLOOKUP($B57,'[2]JAI (加新件號)'!$D$20:$KH$49,275,0)</f>
        <v>0</v>
      </c>
      <c r="K57" s="223">
        <f>VLOOKUP($B57,'[2]JAI (加新件號)'!$D$20:$KH$49,276,0)</f>
        <v>0</v>
      </c>
      <c r="L57" s="224">
        <f>VLOOKUP($B57,'[2]JAI (加新件號)'!$D$20:$KH$49,277,0)</f>
        <v>0</v>
      </c>
      <c r="M57" s="224">
        <f>VLOOKUP($B57,'[2]JAI (加新件號)'!$D$20:$KH$49,278,0)</f>
        <v>0</v>
      </c>
      <c r="N57" s="224"/>
      <c r="O57" s="225">
        <f t="shared" si="29"/>
        <v>0</v>
      </c>
      <c r="P57" s="223">
        <f>VLOOKUP($B57,'[2]JAI (加新件號)'!$D$20:$KH$49,279,0)</f>
        <v>0</v>
      </c>
      <c r="Q57" s="223">
        <f>VLOOKUP($B57,'[2]JAI (加新件號)'!$D$20:$KH$49,280,0)</f>
        <v>0</v>
      </c>
      <c r="R57" s="223">
        <f>VLOOKUP($B57,'[2]JAI (加新件號)'!$D$20:$KH$49,281,0)</f>
        <v>0</v>
      </c>
      <c r="S57" s="224">
        <f>VLOOKUP($B57,'[2]JAI (加新件號)'!$D$20:$KH$49,282,0)</f>
        <v>0</v>
      </c>
      <c r="T57" s="224"/>
      <c r="U57" s="225">
        <f t="shared" si="30"/>
        <v>0</v>
      </c>
      <c r="V57" s="223">
        <f>VLOOKUP($B57,'[2]JAI (加新件號)'!$D$20:$KH$49,283,0)</f>
        <v>0</v>
      </c>
      <c r="W57" s="223">
        <f>VLOOKUP($B57,'[2]JAI (加新件號)'!$D$20:$KH$49,284,0)</f>
        <v>0</v>
      </c>
      <c r="X57" s="223">
        <f>VLOOKUP($B57,'[2]JAI (加新件號)'!$D$20:$KH$49,285,0)</f>
        <v>0</v>
      </c>
      <c r="Y57" s="223">
        <f>VLOOKUP($B57,'[2]JAI (加新件號)'!$D$20:$KH$49,286,0)</f>
        <v>0</v>
      </c>
      <c r="Z57" s="224">
        <f>VLOOKUP($B57,'[2]JAI (加新件號)'!$D$20:$KH$49,287,0)</f>
        <v>0</v>
      </c>
      <c r="AA57" s="225">
        <f t="shared" si="31"/>
        <v>0</v>
      </c>
      <c r="AB57" s="222">
        <f>VLOOKUP($B57,'[2]JAI (加新件號)'!$D$20:$KH$49,288,0)</f>
        <v>0</v>
      </c>
      <c r="AC57" s="223">
        <f>VLOOKUP($B57,'[2]JAI (加新件號)'!$D$20:$KH$49,289,0)</f>
        <v>0</v>
      </c>
      <c r="AD57" s="223">
        <f>VLOOKUP($B57,'[2]JAI (加新件號)'!$D$20:$KH$49,290,0)</f>
        <v>0</v>
      </c>
      <c r="AE57" s="223">
        <f>VLOOKUP($B57,'[2]JAI (加新件號)'!$D$20:$KH$49,291,0)</f>
        <v>0</v>
      </c>
      <c r="AF57" s="224"/>
      <c r="AG57" s="225">
        <f t="shared" si="32"/>
        <v>0</v>
      </c>
    </row>
    <row r="58" spans="1:33" s="2" customFormat="1" ht="15.75" hidden="1" customHeight="1">
      <c r="A58" s="43"/>
      <c r="B58" s="44"/>
      <c r="C58" s="45"/>
      <c r="D58" s="59"/>
      <c r="E58" s="50"/>
      <c r="F58" s="50"/>
      <c r="G58" s="56"/>
      <c r="H58" s="56"/>
      <c r="I58" s="61">
        <f t="shared" ref="I58:I78" si="33">SUM(D58:H58)</f>
        <v>0</v>
      </c>
      <c r="J58" s="59"/>
      <c r="K58" s="50"/>
      <c r="L58" s="50"/>
      <c r="M58" s="56"/>
      <c r="N58" s="56"/>
      <c r="O58" s="61">
        <f t="shared" ref="O58:O72" si="34">SUM(J58:N58)</f>
        <v>0</v>
      </c>
      <c r="P58" s="59"/>
      <c r="Q58" s="50"/>
      <c r="R58" s="50"/>
      <c r="S58" s="56"/>
      <c r="T58" s="56"/>
      <c r="U58" s="61">
        <f t="shared" ref="U58:U72" si="35">SUM(P58:T58)</f>
        <v>0</v>
      </c>
      <c r="V58" s="59"/>
      <c r="W58" s="50"/>
      <c r="X58" s="50"/>
      <c r="Y58" s="50"/>
      <c r="Z58" s="56"/>
      <c r="AA58" s="61">
        <f t="shared" ref="AA58:AA72" si="36">SUM(V58:Z58)</f>
        <v>0</v>
      </c>
      <c r="AB58" s="59"/>
      <c r="AC58" s="50"/>
      <c r="AD58" s="50"/>
      <c r="AE58" s="50"/>
      <c r="AF58" s="56"/>
      <c r="AG58" s="61">
        <f t="shared" ref="AG58:AG78" si="37">SUM(AB58:AF58)</f>
        <v>0</v>
      </c>
    </row>
    <row r="59" spans="1:33" s="39" customFormat="1" ht="15.75" hidden="1" customHeight="1">
      <c r="A59" s="43"/>
      <c r="B59" s="44"/>
      <c r="C59" s="45"/>
      <c r="D59" s="58"/>
      <c r="E59" s="3"/>
      <c r="F59" s="3"/>
      <c r="G59" s="55"/>
      <c r="H59" s="55"/>
      <c r="I59" s="61">
        <f t="shared" si="33"/>
        <v>0</v>
      </c>
      <c r="J59" s="58"/>
      <c r="K59" s="3"/>
      <c r="L59" s="3"/>
      <c r="M59" s="55"/>
      <c r="N59" s="55"/>
      <c r="O59" s="61">
        <f t="shared" si="34"/>
        <v>0</v>
      </c>
      <c r="P59" s="58"/>
      <c r="Q59" s="3"/>
      <c r="R59" s="3"/>
      <c r="S59" s="55"/>
      <c r="T59" s="55"/>
      <c r="U59" s="61">
        <f t="shared" si="35"/>
        <v>0</v>
      </c>
      <c r="V59" s="58"/>
      <c r="W59" s="3"/>
      <c r="X59" s="3"/>
      <c r="Y59" s="3"/>
      <c r="Z59" s="55"/>
      <c r="AA59" s="61">
        <f t="shared" si="36"/>
        <v>0</v>
      </c>
      <c r="AB59" s="58"/>
      <c r="AC59" s="3"/>
      <c r="AD59" s="3"/>
      <c r="AE59" s="3"/>
      <c r="AF59" s="55"/>
      <c r="AG59" s="61">
        <f t="shared" si="37"/>
        <v>0</v>
      </c>
    </row>
    <row r="60" spans="1:33" s="2" customFormat="1" ht="15.75" hidden="1" customHeight="1">
      <c r="A60" s="43"/>
      <c r="B60" s="44"/>
      <c r="C60" s="45"/>
      <c r="D60" s="58"/>
      <c r="E60" s="3"/>
      <c r="F60" s="3"/>
      <c r="G60" s="55"/>
      <c r="H60" s="55"/>
      <c r="I60" s="61">
        <f t="shared" si="33"/>
        <v>0</v>
      </c>
      <c r="J60" s="58"/>
      <c r="K60" s="3"/>
      <c r="L60" s="3"/>
      <c r="M60" s="55"/>
      <c r="N60" s="55"/>
      <c r="O60" s="61">
        <f t="shared" si="34"/>
        <v>0</v>
      </c>
      <c r="P60" s="58"/>
      <c r="Q60" s="3"/>
      <c r="R60" s="3"/>
      <c r="S60" s="55"/>
      <c r="T60" s="55"/>
      <c r="U60" s="61">
        <f t="shared" si="35"/>
        <v>0</v>
      </c>
      <c r="V60" s="58"/>
      <c r="W60" s="3"/>
      <c r="X60" s="3"/>
      <c r="Y60" s="3"/>
      <c r="Z60" s="55"/>
      <c r="AA60" s="61">
        <f t="shared" si="36"/>
        <v>0</v>
      </c>
      <c r="AB60" s="58"/>
      <c r="AC60" s="3"/>
      <c r="AD60" s="3"/>
      <c r="AE60" s="3"/>
      <c r="AF60" s="55"/>
      <c r="AG60" s="61">
        <f t="shared" si="37"/>
        <v>0</v>
      </c>
    </row>
    <row r="61" spans="1:33" s="2" customFormat="1" ht="15.75" hidden="1" customHeight="1">
      <c r="A61" s="43"/>
      <c r="B61" s="44"/>
      <c r="C61" s="45"/>
      <c r="D61" s="58"/>
      <c r="E61" s="3"/>
      <c r="F61" s="3"/>
      <c r="G61" s="55"/>
      <c r="H61" s="55"/>
      <c r="I61" s="61">
        <f t="shared" si="33"/>
        <v>0</v>
      </c>
      <c r="J61" s="58"/>
      <c r="K61" s="3"/>
      <c r="L61" s="3"/>
      <c r="M61" s="55"/>
      <c r="N61" s="55"/>
      <c r="O61" s="61">
        <f t="shared" si="34"/>
        <v>0</v>
      </c>
      <c r="P61" s="58"/>
      <c r="Q61" s="3"/>
      <c r="R61" s="3"/>
      <c r="S61" s="55"/>
      <c r="T61" s="55"/>
      <c r="U61" s="61">
        <f t="shared" si="35"/>
        <v>0</v>
      </c>
      <c r="V61" s="58"/>
      <c r="W61" s="3"/>
      <c r="X61" s="3"/>
      <c r="Y61" s="3"/>
      <c r="Z61" s="55"/>
      <c r="AA61" s="61">
        <f t="shared" si="36"/>
        <v>0</v>
      </c>
      <c r="AB61" s="58"/>
      <c r="AC61" s="3"/>
      <c r="AD61" s="3"/>
      <c r="AE61" s="3"/>
      <c r="AF61" s="55"/>
      <c r="AG61" s="61">
        <f t="shared" si="37"/>
        <v>0</v>
      </c>
    </row>
    <row r="62" spans="1:33" s="2" customFormat="1" ht="15.75" hidden="1" customHeight="1">
      <c r="A62" s="43"/>
      <c r="B62" s="44"/>
      <c r="C62" s="45"/>
      <c r="D62" s="58"/>
      <c r="E62" s="3"/>
      <c r="F62" s="3"/>
      <c r="G62" s="55"/>
      <c r="H62" s="55"/>
      <c r="I62" s="61">
        <f t="shared" si="33"/>
        <v>0</v>
      </c>
      <c r="J62" s="58"/>
      <c r="K62" s="3"/>
      <c r="L62" s="3"/>
      <c r="M62" s="55"/>
      <c r="N62" s="55"/>
      <c r="O62" s="61">
        <f t="shared" si="34"/>
        <v>0</v>
      </c>
      <c r="P62" s="58"/>
      <c r="Q62" s="3"/>
      <c r="R62" s="3"/>
      <c r="S62" s="55"/>
      <c r="T62" s="55"/>
      <c r="U62" s="61">
        <f t="shared" si="35"/>
        <v>0</v>
      </c>
      <c r="V62" s="58"/>
      <c r="W62" s="3"/>
      <c r="X62" s="3"/>
      <c r="Y62" s="3"/>
      <c r="Z62" s="55"/>
      <c r="AA62" s="61">
        <f t="shared" si="36"/>
        <v>0</v>
      </c>
      <c r="AB62" s="58"/>
      <c r="AC62" s="3"/>
      <c r="AD62" s="3"/>
      <c r="AE62" s="3"/>
      <c r="AF62" s="55"/>
      <c r="AG62" s="61">
        <f t="shared" si="37"/>
        <v>0</v>
      </c>
    </row>
    <row r="63" spans="1:33" s="2" customFormat="1" ht="15.75" hidden="1" customHeight="1">
      <c r="A63" s="43"/>
      <c r="B63" s="44"/>
      <c r="C63" s="45"/>
      <c r="D63" s="59"/>
      <c r="E63" s="50"/>
      <c r="F63" s="50"/>
      <c r="G63" s="56"/>
      <c r="H63" s="56"/>
      <c r="I63" s="61">
        <f t="shared" si="33"/>
        <v>0</v>
      </c>
      <c r="J63" s="59"/>
      <c r="K63" s="50"/>
      <c r="L63" s="50"/>
      <c r="M63" s="56"/>
      <c r="N63" s="56"/>
      <c r="O63" s="61">
        <f t="shared" si="34"/>
        <v>0</v>
      </c>
      <c r="P63" s="59"/>
      <c r="Q63" s="50"/>
      <c r="R63" s="50"/>
      <c r="S63" s="56"/>
      <c r="T63" s="56"/>
      <c r="U63" s="61">
        <f t="shared" si="35"/>
        <v>0</v>
      </c>
      <c r="V63" s="59"/>
      <c r="W63" s="50"/>
      <c r="X63" s="50"/>
      <c r="Y63" s="50"/>
      <c r="Z63" s="56"/>
      <c r="AA63" s="61">
        <f t="shared" si="36"/>
        <v>0</v>
      </c>
      <c r="AB63" s="59"/>
      <c r="AC63" s="50"/>
      <c r="AD63" s="50"/>
      <c r="AE63" s="50"/>
      <c r="AF63" s="56"/>
      <c r="AG63" s="61">
        <f t="shared" si="37"/>
        <v>0</v>
      </c>
    </row>
    <row r="64" spans="1:33" s="39" customFormat="1" ht="15.75" hidden="1" customHeight="1">
      <c r="A64" s="43"/>
      <c r="B64" s="44"/>
      <c r="C64" s="45"/>
      <c r="D64" s="58"/>
      <c r="E64" s="3"/>
      <c r="F64" s="3"/>
      <c r="G64" s="55"/>
      <c r="H64" s="55"/>
      <c r="I64" s="61">
        <f t="shared" si="33"/>
        <v>0</v>
      </c>
      <c r="J64" s="58"/>
      <c r="K64" s="3"/>
      <c r="L64" s="3"/>
      <c r="M64" s="55"/>
      <c r="N64" s="55"/>
      <c r="O64" s="61">
        <f t="shared" si="34"/>
        <v>0</v>
      </c>
      <c r="P64" s="58"/>
      <c r="Q64" s="3"/>
      <c r="R64" s="3"/>
      <c r="S64" s="55"/>
      <c r="T64" s="55"/>
      <c r="U64" s="61">
        <f t="shared" si="35"/>
        <v>0</v>
      </c>
      <c r="V64" s="58"/>
      <c r="W64" s="3"/>
      <c r="X64" s="3"/>
      <c r="Y64" s="3"/>
      <c r="Z64" s="55"/>
      <c r="AA64" s="61">
        <f t="shared" si="36"/>
        <v>0</v>
      </c>
      <c r="AB64" s="58"/>
      <c r="AC64" s="3"/>
      <c r="AD64" s="3"/>
      <c r="AE64" s="3"/>
      <c r="AF64" s="55"/>
      <c r="AG64" s="61">
        <f t="shared" si="37"/>
        <v>0</v>
      </c>
    </row>
    <row r="65" spans="1:33" s="2" customFormat="1" ht="15.75" hidden="1" customHeight="1">
      <c r="A65" s="43"/>
      <c r="B65" s="44"/>
      <c r="C65" s="45"/>
      <c r="D65" s="58"/>
      <c r="E65" s="3"/>
      <c r="F65" s="3"/>
      <c r="G65" s="55"/>
      <c r="H65" s="55"/>
      <c r="I65" s="61">
        <f t="shared" si="33"/>
        <v>0</v>
      </c>
      <c r="J65" s="58"/>
      <c r="K65" s="3"/>
      <c r="L65" s="3"/>
      <c r="M65" s="55"/>
      <c r="N65" s="55"/>
      <c r="O65" s="61">
        <f t="shared" si="34"/>
        <v>0</v>
      </c>
      <c r="P65" s="58"/>
      <c r="Q65" s="3"/>
      <c r="R65" s="3"/>
      <c r="S65" s="55"/>
      <c r="T65" s="55"/>
      <c r="U65" s="61">
        <f t="shared" si="35"/>
        <v>0</v>
      </c>
      <c r="V65" s="58"/>
      <c r="W65" s="3"/>
      <c r="X65" s="3"/>
      <c r="Y65" s="3"/>
      <c r="Z65" s="55"/>
      <c r="AA65" s="61">
        <f t="shared" si="36"/>
        <v>0</v>
      </c>
      <c r="AB65" s="58"/>
      <c r="AC65" s="3"/>
      <c r="AD65" s="3"/>
      <c r="AE65" s="3"/>
      <c r="AF65" s="55"/>
      <c r="AG65" s="61">
        <f t="shared" si="37"/>
        <v>0</v>
      </c>
    </row>
    <row r="66" spans="1:33" s="49" customFormat="1" ht="16.5" hidden="1" customHeight="1" thickBot="1">
      <c r="A66" s="46"/>
      <c r="B66" s="47"/>
      <c r="C66" s="48"/>
      <c r="D66" s="60"/>
      <c r="E66" s="51"/>
      <c r="F66" s="51"/>
      <c r="G66" s="57"/>
      <c r="H66" s="57"/>
      <c r="I66" s="62">
        <f t="shared" si="33"/>
        <v>0</v>
      </c>
      <c r="J66" s="60"/>
      <c r="K66" s="51"/>
      <c r="L66" s="51"/>
      <c r="M66" s="57"/>
      <c r="N66" s="57"/>
      <c r="O66" s="62">
        <f t="shared" si="34"/>
        <v>0</v>
      </c>
      <c r="P66" s="60"/>
      <c r="Q66" s="51"/>
      <c r="R66" s="51"/>
      <c r="S66" s="57"/>
      <c r="T66" s="57"/>
      <c r="U66" s="62">
        <f t="shared" si="35"/>
        <v>0</v>
      </c>
      <c r="V66" s="60"/>
      <c r="W66" s="51"/>
      <c r="X66" s="51"/>
      <c r="Y66" s="51"/>
      <c r="Z66" s="57"/>
      <c r="AA66" s="62">
        <f t="shared" si="36"/>
        <v>0</v>
      </c>
      <c r="AB66" s="60"/>
      <c r="AC66" s="51"/>
      <c r="AD66" s="51"/>
      <c r="AE66" s="51"/>
      <c r="AF66" s="57"/>
      <c r="AG66" s="62">
        <f t="shared" si="37"/>
        <v>0</v>
      </c>
    </row>
    <row r="67" spans="1:33" s="2" customFormat="1" ht="15.75" hidden="1" customHeight="1">
      <c r="A67" s="41"/>
      <c r="B67" s="42"/>
      <c r="C67" s="38"/>
      <c r="D67" s="59"/>
      <c r="E67" s="50"/>
      <c r="F67" s="50"/>
      <c r="G67" s="56"/>
      <c r="H67" s="56"/>
      <c r="I67" s="61">
        <f t="shared" si="33"/>
        <v>0</v>
      </c>
      <c r="J67" s="59"/>
      <c r="K67" s="50"/>
      <c r="L67" s="50"/>
      <c r="M67" s="56"/>
      <c r="N67" s="56"/>
      <c r="O67" s="61">
        <f t="shared" si="34"/>
        <v>0</v>
      </c>
      <c r="P67" s="59"/>
      <c r="Q67" s="50"/>
      <c r="R67" s="50"/>
      <c r="S67" s="56"/>
      <c r="T67" s="56"/>
      <c r="U67" s="61">
        <f t="shared" si="35"/>
        <v>0</v>
      </c>
      <c r="V67" s="59"/>
      <c r="W67" s="50"/>
      <c r="X67" s="50"/>
      <c r="Y67" s="50"/>
      <c r="Z67" s="56"/>
      <c r="AA67" s="61">
        <f t="shared" si="36"/>
        <v>0</v>
      </c>
      <c r="AB67" s="59"/>
      <c r="AC67" s="50"/>
      <c r="AD67" s="50"/>
      <c r="AE67" s="50"/>
      <c r="AF67" s="56"/>
      <c r="AG67" s="61">
        <f t="shared" si="37"/>
        <v>0</v>
      </c>
    </row>
    <row r="68" spans="1:33" s="39" customFormat="1" ht="15.75" hidden="1" customHeight="1">
      <c r="A68" s="43"/>
      <c r="B68" s="44"/>
      <c r="C68" s="40"/>
      <c r="D68" s="58"/>
      <c r="E68" s="3"/>
      <c r="F68" s="3"/>
      <c r="G68" s="55"/>
      <c r="H68" s="55"/>
      <c r="I68" s="61">
        <f t="shared" si="33"/>
        <v>0</v>
      </c>
      <c r="J68" s="58"/>
      <c r="K68" s="3"/>
      <c r="L68" s="3"/>
      <c r="M68" s="55"/>
      <c r="N68" s="55"/>
      <c r="O68" s="61">
        <f t="shared" si="34"/>
        <v>0</v>
      </c>
      <c r="P68" s="58"/>
      <c r="Q68" s="3"/>
      <c r="R68" s="3"/>
      <c r="S68" s="55"/>
      <c r="T68" s="55"/>
      <c r="U68" s="61">
        <f t="shared" si="35"/>
        <v>0</v>
      </c>
      <c r="V68" s="58"/>
      <c r="W68" s="3"/>
      <c r="X68" s="3"/>
      <c r="Y68" s="3"/>
      <c r="Z68" s="55"/>
      <c r="AA68" s="61">
        <f t="shared" si="36"/>
        <v>0</v>
      </c>
      <c r="AB68" s="58"/>
      <c r="AC68" s="3"/>
      <c r="AD68" s="3"/>
      <c r="AE68" s="3"/>
      <c r="AF68" s="55"/>
      <c r="AG68" s="61">
        <f t="shared" si="37"/>
        <v>0</v>
      </c>
    </row>
    <row r="69" spans="1:33" s="2" customFormat="1" ht="15.75" hidden="1" customHeight="1">
      <c r="A69" s="43"/>
      <c r="B69" s="44"/>
      <c r="C69" s="40"/>
      <c r="D69" s="58"/>
      <c r="E69" s="3"/>
      <c r="F69" s="3"/>
      <c r="G69" s="55"/>
      <c r="H69" s="55"/>
      <c r="I69" s="61">
        <f t="shared" si="33"/>
        <v>0</v>
      </c>
      <c r="J69" s="58"/>
      <c r="K69" s="3"/>
      <c r="L69" s="3"/>
      <c r="M69" s="55"/>
      <c r="N69" s="55"/>
      <c r="O69" s="61">
        <f t="shared" si="34"/>
        <v>0</v>
      </c>
      <c r="P69" s="58"/>
      <c r="Q69" s="3"/>
      <c r="R69" s="3"/>
      <c r="S69" s="55"/>
      <c r="T69" s="55"/>
      <c r="U69" s="61">
        <f t="shared" si="35"/>
        <v>0</v>
      </c>
      <c r="V69" s="58"/>
      <c r="W69" s="3"/>
      <c r="X69" s="3"/>
      <c r="Y69" s="3"/>
      <c r="Z69" s="55"/>
      <c r="AA69" s="61">
        <f t="shared" si="36"/>
        <v>0</v>
      </c>
      <c r="AB69" s="58"/>
      <c r="AC69" s="3"/>
      <c r="AD69" s="3"/>
      <c r="AE69" s="3"/>
      <c r="AF69" s="55"/>
      <c r="AG69" s="61">
        <f t="shared" si="37"/>
        <v>0</v>
      </c>
    </row>
    <row r="70" spans="1:33" s="2" customFormat="1" ht="15.75" hidden="1" customHeight="1">
      <c r="A70" s="43"/>
      <c r="B70" s="44"/>
      <c r="C70" s="40"/>
      <c r="D70" s="58"/>
      <c r="E70" s="3"/>
      <c r="F70" s="3"/>
      <c r="G70" s="55"/>
      <c r="H70" s="55"/>
      <c r="I70" s="61">
        <f t="shared" si="33"/>
        <v>0</v>
      </c>
      <c r="J70" s="58"/>
      <c r="K70" s="3"/>
      <c r="L70" s="3"/>
      <c r="M70" s="55"/>
      <c r="N70" s="55"/>
      <c r="O70" s="61">
        <f t="shared" si="34"/>
        <v>0</v>
      </c>
      <c r="P70" s="58"/>
      <c r="Q70" s="3"/>
      <c r="R70" s="3"/>
      <c r="S70" s="55"/>
      <c r="T70" s="55"/>
      <c r="U70" s="61">
        <f t="shared" si="35"/>
        <v>0</v>
      </c>
      <c r="V70" s="58"/>
      <c r="W70" s="3"/>
      <c r="X70" s="3"/>
      <c r="Y70" s="3"/>
      <c r="Z70" s="55"/>
      <c r="AA70" s="61">
        <f t="shared" si="36"/>
        <v>0</v>
      </c>
      <c r="AB70" s="58"/>
      <c r="AC70" s="3"/>
      <c r="AD70" s="3"/>
      <c r="AE70" s="3"/>
      <c r="AF70" s="55"/>
      <c r="AG70" s="61">
        <f t="shared" si="37"/>
        <v>0</v>
      </c>
    </row>
    <row r="71" spans="1:33" s="2" customFormat="1" ht="15.75" hidden="1" customHeight="1">
      <c r="A71" s="43"/>
      <c r="B71" s="44"/>
      <c r="C71" s="40"/>
      <c r="D71" s="59"/>
      <c r="E71" s="50"/>
      <c r="F71" s="50"/>
      <c r="G71" s="56"/>
      <c r="H71" s="56"/>
      <c r="I71" s="61">
        <f t="shared" si="33"/>
        <v>0</v>
      </c>
      <c r="J71" s="59"/>
      <c r="K71" s="50"/>
      <c r="L71" s="50"/>
      <c r="M71" s="56"/>
      <c r="N71" s="56"/>
      <c r="O71" s="61">
        <f t="shared" si="34"/>
        <v>0</v>
      </c>
      <c r="P71" s="59"/>
      <c r="Q71" s="50"/>
      <c r="R71" s="50"/>
      <c r="S71" s="56"/>
      <c r="T71" s="56"/>
      <c r="U71" s="61">
        <f t="shared" si="35"/>
        <v>0</v>
      </c>
      <c r="V71" s="59"/>
      <c r="W71" s="50"/>
      <c r="X71" s="50"/>
      <c r="Y71" s="50"/>
      <c r="Z71" s="56"/>
      <c r="AA71" s="61">
        <f t="shared" si="36"/>
        <v>0</v>
      </c>
      <c r="AB71" s="59"/>
      <c r="AC71" s="50"/>
      <c r="AD71" s="50"/>
      <c r="AE71" s="50"/>
      <c r="AF71" s="56"/>
      <c r="AG71" s="61">
        <f t="shared" si="37"/>
        <v>0</v>
      </c>
    </row>
    <row r="72" spans="1:33" s="39" customFormat="1" ht="15.75" hidden="1" customHeight="1">
      <c r="A72" s="43"/>
      <c r="B72" s="44"/>
      <c r="C72" s="40"/>
      <c r="D72" s="58"/>
      <c r="E72" s="3"/>
      <c r="F72" s="3"/>
      <c r="G72" s="55"/>
      <c r="H72" s="55"/>
      <c r="I72" s="61">
        <f t="shared" si="33"/>
        <v>0</v>
      </c>
      <c r="J72" s="58"/>
      <c r="K72" s="3"/>
      <c r="L72" s="3"/>
      <c r="M72" s="55"/>
      <c r="N72" s="55"/>
      <c r="O72" s="61">
        <f t="shared" si="34"/>
        <v>0</v>
      </c>
      <c r="P72" s="58"/>
      <c r="Q72" s="3"/>
      <c r="R72" s="3"/>
      <c r="S72" s="55"/>
      <c r="T72" s="55"/>
      <c r="U72" s="61">
        <f t="shared" si="35"/>
        <v>0</v>
      </c>
      <c r="V72" s="58"/>
      <c r="W72" s="3"/>
      <c r="X72" s="3"/>
      <c r="Y72" s="3"/>
      <c r="Z72" s="55"/>
      <c r="AA72" s="61">
        <f t="shared" si="36"/>
        <v>0</v>
      </c>
      <c r="AB72" s="58"/>
      <c r="AC72" s="3"/>
      <c r="AD72" s="3"/>
      <c r="AE72" s="3"/>
      <c r="AF72" s="55"/>
      <c r="AG72" s="61">
        <f t="shared" si="37"/>
        <v>0</v>
      </c>
    </row>
    <row r="73" spans="1:33" s="2" customFormat="1" ht="15.75" hidden="1" customHeight="1">
      <c r="A73" s="43"/>
      <c r="B73" s="44"/>
      <c r="C73" s="40"/>
      <c r="D73" s="58"/>
      <c r="E73" s="3"/>
      <c r="F73" s="3"/>
      <c r="G73" s="55"/>
      <c r="H73" s="55"/>
      <c r="I73" s="61">
        <f t="shared" si="33"/>
        <v>0</v>
      </c>
      <c r="J73" s="58"/>
      <c r="K73" s="3"/>
      <c r="L73" s="3"/>
      <c r="M73" s="55"/>
      <c r="N73" s="55"/>
      <c r="O73" s="61">
        <f t="shared" ref="O73:O78" si="38">SUM(J73:N73)</f>
        <v>0</v>
      </c>
      <c r="P73" s="58"/>
      <c r="Q73" s="3"/>
      <c r="R73" s="3"/>
      <c r="S73" s="55"/>
      <c r="T73" s="55"/>
      <c r="U73" s="61">
        <f t="shared" ref="U73:U78" si="39">SUM(P73:T73)</f>
        <v>0</v>
      </c>
      <c r="V73" s="58"/>
      <c r="W73" s="3"/>
      <c r="X73" s="3"/>
      <c r="Y73" s="3"/>
      <c r="Z73" s="55"/>
      <c r="AA73" s="61">
        <f t="shared" ref="AA73:AA78" si="40">SUM(V73:Z73)</f>
        <v>0</v>
      </c>
      <c r="AB73" s="58"/>
      <c r="AC73" s="3"/>
      <c r="AD73" s="3"/>
      <c r="AE73" s="3"/>
      <c r="AF73" s="55"/>
      <c r="AG73" s="61">
        <f t="shared" si="37"/>
        <v>0</v>
      </c>
    </row>
    <row r="74" spans="1:33" s="2" customFormat="1" ht="15.75" hidden="1" customHeight="1">
      <c r="A74" s="43"/>
      <c r="B74" s="44"/>
      <c r="C74" s="40"/>
      <c r="D74" s="58"/>
      <c r="E74" s="3"/>
      <c r="F74" s="3"/>
      <c r="G74" s="55"/>
      <c r="H74" s="55"/>
      <c r="I74" s="61">
        <f t="shared" si="33"/>
        <v>0</v>
      </c>
      <c r="J74" s="58"/>
      <c r="K74" s="3"/>
      <c r="L74" s="3"/>
      <c r="M74" s="55"/>
      <c r="N74" s="55"/>
      <c r="O74" s="61">
        <f t="shared" si="38"/>
        <v>0</v>
      </c>
      <c r="P74" s="58"/>
      <c r="Q74" s="3"/>
      <c r="R74" s="3"/>
      <c r="S74" s="55"/>
      <c r="T74" s="55"/>
      <c r="U74" s="61">
        <f t="shared" si="39"/>
        <v>0</v>
      </c>
      <c r="V74" s="58"/>
      <c r="W74" s="3"/>
      <c r="X74" s="3"/>
      <c r="Y74" s="3"/>
      <c r="Z74" s="55"/>
      <c r="AA74" s="61">
        <f t="shared" si="40"/>
        <v>0</v>
      </c>
      <c r="AB74" s="58"/>
      <c r="AC74" s="3"/>
      <c r="AD74" s="3"/>
      <c r="AE74" s="3"/>
      <c r="AF74" s="55"/>
      <c r="AG74" s="61">
        <f t="shared" si="37"/>
        <v>0</v>
      </c>
    </row>
    <row r="75" spans="1:33" s="2" customFormat="1" ht="15.75" hidden="1" customHeight="1">
      <c r="A75" s="43"/>
      <c r="B75" s="44"/>
      <c r="C75" s="40"/>
      <c r="D75" s="59"/>
      <c r="E75" s="50"/>
      <c r="F75" s="50"/>
      <c r="G75" s="56"/>
      <c r="H75" s="56"/>
      <c r="I75" s="61">
        <f t="shared" si="33"/>
        <v>0</v>
      </c>
      <c r="J75" s="59"/>
      <c r="K75" s="50"/>
      <c r="L75" s="50"/>
      <c r="M75" s="56"/>
      <c r="N75" s="56"/>
      <c r="O75" s="61">
        <f t="shared" si="38"/>
        <v>0</v>
      </c>
      <c r="P75" s="59"/>
      <c r="Q75" s="50"/>
      <c r="R75" s="50"/>
      <c r="S75" s="56"/>
      <c r="T75" s="56"/>
      <c r="U75" s="61">
        <f t="shared" si="39"/>
        <v>0</v>
      </c>
      <c r="V75" s="59"/>
      <c r="W75" s="50"/>
      <c r="X75" s="50"/>
      <c r="Y75" s="50"/>
      <c r="Z75" s="56"/>
      <c r="AA75" s="61">
        <f t="shared" si="40"/>
        <v>0</v>
      </c>
      <c r="AB75" s="59"/>
      <c r="AC75" s="50"/>
      <c r="AD75" s="50"/>
      <c r="AE75" s="50"/>
      <c r="AF75" s="56"/>
      <c r="AG75" s="61">
        <f t="shared" si="37"/>
        <v>0</v>
      </c>
    </row>
    <row r="76" spans="1:33" s="39" customFormat="1" ht="15.75" hidden="1" customHeight="1">
      <c r="A76" s="43"/>
      <c r="B76" s="44"/>
      <c r="C76" s="40"/>
      <c r="D76" s="58"/>
      <c r="E76" s="3"/>
      <c r="F76" s="3"/>
      <c r="G76" s="55"/>
      <c r="H76" s="55"/>
      <c r="I76" s="61">
        <f t="shared" si="33"/>
        <v>0</v>
      </c>
      <c r="J76" s="58"/>
      <c r="K76" s="3"/>
      <c r="L76" s="3"/>
      <c r="M76" s="55"/>
      <c r="N76" s="55"/>
      <c r="O76" s="61">
        <f t="shared" si="38"/>
        <v>0</v>
      </c>
      <c r="P76" s="58"/>
      <c r="Q76" s="3"/>
      <c r="R76" s="3"/>
      <c r="S76" s="55"/>
      <c r="T76" s="55"/>
      <c r="U76" s="61">
        <f t="shared" si="39"/>
        <v>0</v>
      </c>
      <c r="V76" s="58"/>
      <c r="W76" s="3"/>
      <c r="X76" s="3"/>
      <c r="Y76" s="3"/>
      <c r="Z76" s="55"/>
      <c r="AA76" s="61">
        <f t="shared" si="40"/>
        <v>0</v>
      </c>
      <c r="AB76" s="58"/>
      <c r="AC76" s="3"/>
      <c r="AD76" s="3"/>
      <c r="AE76" s="3"/>
      <c r="AF76" s="55"/>
      <c r="AG76" s="61">
        <f t="shared" si="37"/>
        <v>0</v>
      </c>
    </row>
    <row r="77" spans="1:33" s="2" customFormat="1" ht="15.75" hidden="1" customHeight="1">
      <c r="A77" s="43"/>
      <c r="B77" s="44"/>
      <c r="C77" s="40"/>
      <c r="D77" s="58"/>
      <c r="E77" s="3"/>
      <c r="F77" s="3"/>
      <c r="G77" s="55"/>
      <c r="H77" s="55"/>
      <c r="I77" s="61">
        <f t="shared" si="33"/>
        <v>0</v>
      </c>
      <c r="J77" s="58"/>
      <c r="K77" s="3"/>
      <c r="L77" s="3"/>
      <c r="M77" s="55"/>
      <c r="N77" s="55"/>
      <c r="O77" s="61">
        <f t="shared" si="38"/>
        <v>0</v>
      </c>
      <c r="P77" s="58"/>
      <c r="Q77" s="3"/>
      <c r="R77" s="3"/>
      <c r="S77" s="55"/>
      <c r="T77" s="55"/>
      <c r="U77" s="61">
        <f t="shared" si="39"/>
        <v>0</v>
      </c>
      <c r="V77" s="58"/>
      <c r="W77" s="3"/>
      <c r="X77" s="3"/>
      <c r="Y77" s="3"/>
      <c r="Z77" s="55"/>
      <c r="AA77" s="61">
        <f t="shared" si="40"/>
        <v>0</v>
      </c>
      <c r="AB77" s="58"/>
      <c r="AC77" s="3"/>
      <c r="AD77" s="3"/>
      <c r="AE77" s="3"/>
      <c r="AF77" s="55"/>
      <c r="AG77" s="61">
        <f t="shared" si="37"/>
        <v>0</v>
      </c>
    </row>
    <row r="78" spans="1:33" s="49" customFormat="1" ht="16.5" hidden="1" customHeight="1" thickBot="1">
      <c r="A78" s="46"/>
      <c r="B78" s="47"/>
      <c r="C78" s="48"/>
      <c r="D78" s="60"/>
      <c r="E78" s="51"/>
      <c r="F78" s="51"/>
      <c r="G78" s="57"/>
      <c r="H78" s="57"/>
      <c r="I78" s="62">
        <f t="shared" si="33"/>
        <v>0</v>
      </c>
      <c r="J78" s="60"/>
      <c r="K78" s="51"/>
      <c r="L78" s="51"/>
      <c r="M78" s="57"/>
      <c r="N78" s="57"/>
      <c r="O78" s="62">
        <f t="shared" si="38"/>
        <v>0</v>
      </c>
      <c r="P78" s="60"/>
      <c r="Q78" s="51"/>
      <c r="R78" s="51"/>
      <c r="S78" s="57"/>
      <c r="T78" s="57"/>
      <c r="U78" s="62">
        <f t="shared" si="39"/>
        <v>0</v>
      </c>
      <c r="V78" s="60"/>
      <c r="W78" s="51"/>
      <c r="X78" s="51"/>
      <c r="Y78" s="51"/>
      <c r="Z78" s="57"/>
      <c r="AA78" s="62">
        <f t="shared" si="40"/>
        <v>0</v>
      </c>
      <c r="AB78" s="60"/>
      <c r="AC78" s="51"/>
      <c r="AD78" s="51"/>
      <c r="AE78" s="51"/>
      <c r="AF78" s="57"/>
      <c r="AG78" s="62">
        <f t="shared" si="37"/>
        <v>0</v>
      </c>
    </row>
    <row r="79" spans="1:33" s="11" customFormat="1">
      <c r="A79" s="8"/>
      <c r="B79" s="8"/>
      <c r="C79" s="70" t="s">
        <v>116</v>
      </c>
      <c r="D79" s="74">
        <f>+SUM(D30:D34)</f>
        <v>0</v>
      </c>
      <c r="E79" s="71">
        <f t="shared" ref="E79:AG79" si="41">+SUM(E30:E34)</f>
        <v>0</v>
      </c>
      <c r="F79" s="71">
        <f t="shared" si="41"/>
        <v>0</v>
      </c>
      <c r="G79" s="72">
        <f t="shared" si="41"/>
        <v>0</v>
      </c>
      <c r="H79" s="72">
        <f t="shared" si="41"/>
        <v>0</v>
      </c>
      <c r="I79" s="73">
        <f t="shared" si="41"/>
        <v>0</v>
      </c>
      <c r="J79" s="74">
        <f t="shared" si="41"/>
        <v>0</v>
      </c>
      <c r="K79" s="71">
        <f t="shared" si="41"/>
        <v>0</v>
      </c>
      <c r="L79" s="71">
        <f t="shared" si="41"/>
        <v>0</v>
      </c>
      <c r="M79" s="72">
        <f t="shared" si="41"/>
        <v>0</v>
      </c>
      <c r="N79" s="72">
        <f t="shared" si="41"/>
        <v>0</v>
      </c>
      <c r="O79" s="73">
        <f t="shared" si="41"/>
        <v>0</v>
      </c>
      <c r="P79" s="74">
        <f t="shared" si="41"/>
        <v>0</v>
      </c>
      <c r="Q79" s="71">
        <f t="shared" si="41"/>
        <v>0</v>
      </c>
      <c r="R79" s="71">
        <f t="shared" si="41"/>
        <v>0</v>
      </c>
      <c r="S79" s="72">
        <f t="shared" si="41"/>
        <v>0</v>
      </c>
      <c r="T79" s="72">
        <f t="shared" si="41"/>
        <v>0</v>
      </c>
      <c r="U79" s="73">
        <f t="shared" si="41"/>
        <v>0</v>
      </c>
      <c r="V79" s="74">
        <f t="shared" si="41"/>
        <v>0</v>
      </c>
      <c r="W79" s="71">
        <f t="shared" si="41"/>
        <v>0</v>
      </c>
      <c r="X79" s="71">
        <f t="shared" si="41"/>
        <v>0</v>
      </c>
      <c r="Y79" s="71">
        <f t="shared" si="41"/>
        <v>0</v>
      </c>
      <c r="Z79" s="72">
        <f t="shared" si="41"/>
        <v>0</v>
      </c>
      <c r="AA79" s="73">
        <f t="shared" si="41"/>
        <v>0</v>
      </c>
      <c r="AB79" s="74">
        <f t="shared" si="41"/>
        <v>0</v>
      </c>
      <c r="AC79" s="71">
        <f t="shared" si="41"/>
        <v>0</v>
      </c>
      <c r="AD79" s="71">
        <f t="shared" si="41"/>
        <v>0</v>
      </c>
      <c r="AE79" s="71">
        <f t="shared" si="41"/>
        <v>0</v>
      </c>
      <c r="AF79" s="72">
        <f t="shared" si="41"/>
        <v>0</v>
      </c>
      <c r="AG79" s="73">
        <f t="shared" si="41"/>
        <v>0</v>
      </c>
    </row>
    <row r="80" spans="1:33" s="11" customFormat="1" ht="15.75" thickBot="1">
      <c r="A80" s="8"/>
      <c r="B80" s="8"/>
      <c r="C80" s="75" t="s">
        <v>111</v>
      </c>
      <c r="D80" s="76">
        <f>+SUM(D50:D54,D56:D57)</f>
        <v>144</v>
      </c>
      <c r="E80" s="76">
        <f t="shared" ref="E80:AG80" si="42">+SUM(E50:E54,E56:E57)</f>
        <v>114</v>
      </c>
      <c r="F80" s="76">
        <f t="shared" si="42"/>
        <v>96</v>
      </c>
      <c r="G80" s="77">
        <f t="shared" si="42"/>
        <v>0</v>
      </c>
      <c r="H80" s="77">
        <f t="shared" si="42"/>
        <v>96</v>
      </c>
      <c r="I80" s="62">
        <f t="shared" si="42"/>
        <v>450</v>
      </c>
      <c r="J80" s="78">
        <f t="shared" si="42"/>
        <v>174</v>
      </c>
      <c r="K80" s="76">
        <f t="shared" si="42"/>
        <v>162</v>
      </c>
      <c r="L80" s="76">
        <f t="shared" si="42"/>
        <v>132</v>
      </c>
      <c r="M80" s="77">
        <f t="shared" si="42"/>
        <v>132</v>
      </c>
      <c r="N80" s="77">
        <f t="shared" si="42"/>
        <v>0</v>
      </c>
      <c r="O80" s="62">
        <f t="shared" si="42"/>
        <v>600</v>
      </c>
      <c r="P80" s="78">
        <f t="shared" si="42"/>
        <v>210</v>
      </c>
      <c r="Q80" s="76">
        <f t="shared" si="42"/>
        <v>204</v>
      </c>
      <c r="R80" s="76">
        <f t="shared" si="42"/>
        <v>168</v>
      </c>
      <c r="S80" s="77">
        <f t="shared" si="42"/>
        <v>162</v>
      </c>
      <c r="T80" s="77">
        <f t="shared" si="42"/>
        <v>0</v>
      </c>
      <c r="U80" s="62">
        <f t="shared" si="42"/>
        <v>744</v>
      </c>
      <c r="V80" s="78">
        <f t="shared" si="42"/>
        <v>180</v>
      </c>
      <c r="W80" s="76">
        <f t="shared" si="42"/>
        <v>174</v>
      </c>
      <c r="X80" s="76">
        <f t="shared" si="42"/>
        <v>144</v>
      </c>
      <c r="Y80" s="76">
        <f t="shared" si="42"/>
        <v>138</v>
      </c>
      <c r="Z80" s="77">
        <f t="shared" si="42"/>
        <v>138</v>
      </c>
      <c r="AA80" s="62">
        <f t="shared" si="42"/>
        <v>774</v>
      </c>
      <c r="AB80" s="78">
        <f t="shared" si="42"/>
        <v>180</v>
      </c>
      <c r="AC80" s="76">
        <f t="shared" si="42"/>
        <v>168</v>
      </c>
      <c r="AD80" s="76">
        <f t="shared" si="42"/>
        <v>144</v>
      </c>
      <c r="AE80" s="76">
        <f t="shared" si="42"/>
        <v>138</v>
      </c>
      <c r="AF80" s="77">
        <f t="shared" si="42"/>
        <v>0</v>
      </c>
      <c r="AG80" s="62">
        <f t="shared" si="42"/>
        <v>630</v>
      </c>
    </row>
    <row r="81" spans="1:65" s="11" customFormat="1">
      <c r="A81" s="8"/>
      <c r="B81" s="8"/>
      <c r="C81" s="70" t="s">
        <v>115</v>
      </c>
      <c r="D81" s="74">
        <f>+SUM(D35:D38)</f>
        <v>0</v>
      </c>
      <c r="E81" s="71">
        <f t="shared" ref="E81:AG81" si="43">+SUM(E35:E38)</f>
        <v>0</v>
      </c>
      <c r="F81" s="71">
        <f t="shared" si="43"/>
        <v>0</v>
      </c>
      <c r="G81" s="72">
        <f t="shared" si="43"/>
        <v>0</v>
      </c>
      <c r="H81" s="72">
        <f t="shared" si="43"/>
        <v>0</v>
      </c>
      <c r="I81" s="73">
        <f t="shared" si="43"/>
        <v>0</v>
      </c>
      <c r="J81" s="74">
        <f t="shared" si="43"/>
        <v>0</v>
      </c>
      <c r="K81" s="71">
        <f t="shared" si="43"/>
        <v>0</v>
      </c>
      <c r="L81" s="71">
        <f t="shared" si="43"/>
        <v>0</v>
      </c>
      <c r="M81" s="72">
        <f t="shared" si="43"/>
        <v>0</v>
      </c>
      <c r="N81" s="72">
        <f t="shared" si="43"/>
        <v>0</v>
      </c>
      <c r="O81" s="73">
        <f t="shared" si="43"/>
        <v>0</v>
      </c>
      <c r="P81" s="74">
        <f t="shared" si="43"/>
        <v>0</v>
      </c>
      <c r="Q81" s="71">
        <f t="shared" si="43"/>
        <v>0</v>
      </c>
      <c r="R81" s="71">
        <f t="shared" si="43"/>
        <v>0</v>
      </c>
      <c r="S81" s="72">
        <f t="shared" si="43"/>
        <v>0</v>
      </c>
      <c r="T81" s="72">
        <f t="shared" si="43"/>
        <v>0</v>
      </c>
      <c r="U81" s="73">
        <f t="shared" si="43"/>
        <v>0</v>
      </c>
      <c r="V81" s="74">
        <f t="shared" si="43"/>
        <v>0</v>
      </c>
      <c r="W81" s="71">
        <f t="shared" si="43"/>
        <v>0</v>
      </c>
      <c r="X81" s="71">
        <f t="shared" si="43"/>
        <v>0</v>
      </c>
      <c r="Y81" s="71">
        <f t="shared" si="43"/>
        <v>0</v>
      </c>
      <c r="Z81" s="72">
        <f t="shared" si="43"/>
        <v>0</v>
      </c>
      <c r="AA81" s="73">
        <f t="shared" si="43"/>
        <v>0</v>
      </c>
      <c r="AB81" s="74">
        <f t="shared" si="43"/>
        <v>0</v>
      </c>
      <c r="AC81" s="71">
        <f t="shared" si="43"/>
        <v>0</v>
      </c>
      <c r="AD81" s="71">
        <f t="shared" si="43"/>
        <v>0</v>
      </c>
      <c r="AE81" s="71">
        <f t="shared" si="43"/>
        <v>0</v>
      </c>
      <c r="AF81" s="72">
        <f t="shared" si="43"/>
        <v>0</v>
      </c>
      <c r="AG81" s="73">
        <f t="shared" si="43"/>
        <v>0</v>
      </c>
    </row>
    <row r="82" spans="1:65" s="11" customFormat="1" ht="15.75" thickBot="1">
      <c r="A82" s="8"/>
      <c r="B82" s="8"/>
      <c r="C82" s="75" t="s">
        <v>112</v>
      </c>
      <c r="D82" s="76">
        <f>SUM(D39:D43,D55)</f>
        <v>114</v>
      </c>
      <c r="E82" s="76">
        <f t="shared" ref="E82:AG82" si="44">SUM(E39:E43,E55)</f>
        <v>114</v>
      </c>
      <c r="F82" s="76">
        <f t="shared" si="44"/>
        <v>108</v>
      </c>
      <c r="G82" s="77">
        <f t="shared" si="44"/>
        <v>0</v>
      </c>
      <c r="H82" s="77">
        <f t="shared" si="44"/>
        <v>90</v>
      </c>
      <c r="I82" s="62">
        <f t="shared" si="44"/>
        <v>426</v>
      </c>
      <c r="J82" s="78">
        <f t="shared" si="44"/>
        <v>96</v>
      </c>
      <c r="K82" s="76">
        <f t="shared" si="44"/>
        <v>96</v>
      </c>
      <c r="L82" s="76">
        <f t="shared" si="44"/>
        <v>90</v>
      </c>
      <c r="M82" s="77">
        <f t="shared" si="44"/>
        <v>72</v>
      </c>
      <c r="N82" s="77">
        <f t="shared" si="44"/>
        <v>0</v>
      </c>
      <c r="O82" s="62">
        <f t="shared" si="44"/>
        <v>354</v>
      </c>
      <c r="P82" s="78">
        <f t="shared" si="44"/>
        <v>102</v>
      </c>
      <c r="Q82" s="76">
        <f t="shared" si="44"/>
        <v>96</v>
      </c>
      <c r="R82" s="76">
        <f t="shared" si="44"/>
        <v>78</v>
      </c>
      <c r="S82" s="77">
        <f t="shared" si="44"/>
        <v>72</v>
      </c>
      <c r="T82" s="77">
        <f t="shared" si="44"/>
        <v>0</v>
      </c>
      <c r="U82" s="62">
        <f t="shared" si="44"/>
        <v>348</v>
      </c>
      <c r="V82" s="78">
        <f t="shared" si="44"/>
        <v>102</v>
      </c>
      <c r="W82" s="76">
        <f t="shared" si="44"/>
        <v>96</v>
      </c>
      <c r="X82" s="76">
        <f t="shared" si="44"/>
        <v>72</v>
      </c>
      <c r="Y82" s="76">
        <f t="shared" si="44"/>
        <v>66</v>
      </c>
      <c r="Z82" s="77">
        <f t="shared" si="44"/>
        <v>42</v>
      </c>
      <c r="AA82" s="62">
        <f t="shared" si="44"/>
        <v>378</v>
      </c>
      <c r="AB82" s="78">
        <f t="shared" si="44"/>
        <v>90</v>
      </c>
      <c r="AC82" s="76">
        <f t="shared" si="44"/>
        <v>84</v>
      </c>
      <c r="AD82" s="76">
        <f t="shared" si="44"/>
        <v>60</v>
      </c>
      <c r="AE82" s="76">
        <f t="shared" si="44"/>
        <v>60</v>
      </c>
      <c r="AF82" s="77">
        <f t="shared" si="44"/>
        <v>0</v>
      </c>
      <c r="AG82" s="62">
        <f t="shared" si="44"/>
        <v>294</v>
      </c>
    </row>
    <row r="83" spans="1:65" s="11" customFormat="1" ht="15.75" thickBot="1">
      <c r="A83" s="8"/>
      <c r="B83" s="8"/>
      <c r="C83" s="85" t="s">
        <v>113</v>
      </c>
      <c r="D83" s="87">
        <f>+SUM(D23,D26:D29)</f>
        <v>0</v>
      </c>
      <c r="E83" s="86">
        <f t="shared" ref="E83:AG83" si="45">+SUM(E23,E26:E29)</f>
        <v>0</v>
      </c>
      <c r="F83" s="86">
        <f t="shared" si="45"/>
        <v>0</v>
      </c>
      <c r="G83" s="88">
        <f t="shared" si="45"/>
        <v>0</v>
      </c>
      <c r="H83" s="88">
        <f t="shared" si="45"/>
        <v>0</v>
      </c>
      <c r="I83" s="67">
        <f t="shared" si="45"/>
        <v>0</v>
      </c>
      <c r="J83" s="87">
        <f t="shared" si="45"/>
        <v>0</v>
      </c>
      <c r="K83" s="86">
        <f t="shared" si="45"/>
        <v>0</v>
      </c>
      <c r="L83" s="86">
        <f t="shared" si="45"/>
        <v>0</v>
      </c>
      <c r="M83" s="88">
        <f t="shared" si="45"/>
        <v>0</v>
      </c>
      <c r="N83" s="88">
        <f t="shared" si="45"/>
        <v>0</v>
      </c>
      <c r="O83" s="67">
        <f t="shared" si="45"/>
        <v>0</v>
      </c>
      <c r="P83" s="87">
        <f t="shared" si="45"/>
        <v>0</v>
      </c>
      <c r="Q83" s="86">
        <f t="shared" si="45"/>
        <v>0</v>
      </c>
      <c r="R83" s="86">
        <f t="shared" si="45"/>
        <v>0</v>
      </c>
      <c r="S83" s="88">
        <f t="shared" si="45"/>
        <v>0</v>
      </c>
      <c r="T83" s="88">
        <f t="shared" si="45"/>
        <v>0</v>
      </c>
      <c r="U83" s="67">
        <f t="shared" si="45"/>
        <v>0</v>
      </c>
      <c r="V83" s="87">
        <f t="shared" si="45"/>
        <v>0</v>
      </c>
      <c r="W83" s="86">
        <f t="shared" si="45"/>
        <v>0</v>
      </c>
      <c r="X83" s="86">
        <f t="shared" si="45"/>
        <v>0</v>
      </c>
      <c r="Y83" s="86">
        <f t="shared" si="45"/>
        <v>0</v>
      </c>
      <c r="Z83" s="88">
        <f t="shared" si="45"/>
        <v>0</v>
      </c>
      <c r="AA83" s="67">
        <f t="shared" si="45"/>
        <v>0</v>
      </c>
      <c r="AB83" s="87">
        <f t="shared" si="45"/>
        <v>0</v>
      </c>
      <c r="AC83" s="86">
        <f t="shared" si="45"/>
        <v>0</v>
      </c>
      <c r="AD83" s="86">
        <f t="shared" si="45"/>
        <v>0</v>
      </c>
      <c r="AE83" s="86">
        <f t="shared" si="45"/>
        <v>0</v>
      </c>
      <c r="AF83" s="88">
        <f t="shared" si="45"/>
        <v>0</v>
      </c>
      <c r="AG83" s="67">
        <f t="shared" si="45"/>
        <v>0</v>
      </c>
    </row>
    <row r="84" spans="1:65" s="11" customFormat="1" ht="15.75" thickBot="1">
      <c r="A84" s="8"/>
      <c r="B84" s="8"/>
      <c r="C84" s="75" t="s">
        <v>114</v>
      </c>
      <c r="D84" s="78">
        <f>+SUM(D44:D49)</f>
        <v>420</v>
      </c>
      <c r="E84" s="76">
        <f t="shared" ref="E84:AG84" si="46">+SUM(E44:E49)</f>
        <v>402</v>
      </c>
      <c r="F84" s="76">
        <f t="shared" si="46"/>
        <v>390</v>
      </c>
      <c r="G84" s="77">
        <f t="shared" si="46"/>
        <v>0</v>
      </c>
      <c r="H84" s="77">
        <f t="shared" si="46"/>
        <v>390</v>
      </c>
      <c r="I84" s="62">
        <f t="shared" si="46"/>
        <v>1602</v>
      </c>
      <c r="J84" s="78">
        <f t="shared" si="46"/>
        <v>396</v>
      </c>
      <c r="K84" s="76">
        <f t="shared" si="46"/>
        <v>378</v>
      </c>
      <c r="L84" s="76">
        <f t="shared" si="46"/>
        <v>372</v>
      </c>
      <c r="M84" s="77">
        <f t="shared" si="46"/>
        <v>360</v>
      </c>
      <c r="N84" s="77">
        <f t="shared" si="46"/>
        <v>0</v>
      </c>
      <c r="O84" s="62">
        <f t="shared" si="46"/>
        <v>1506</v>
      </c>
      <c r="P84" s="78">
        <f t="shared" si="46"/>
        <v>450</v>
      </c>
      <c r="Q84" s="76">
        <f t="shared" si="46"/>
        <v>432</v>
      </c>
      <c r="R84" s="76">
        <f t="shared" si="46"/>
        <v>414</v>
      </c>
      <c r="S84" s="77">
        <f t="shared" si="46"/>
        <v>414</v>
      </c>
      <c r="T84" s="77">
        <f t="shared" si="46"/>
        <v>0</v>
      </c>
      <c r="U84" s="62">
        <f t="shared" si="46"/>
        <v>1710</v>
      </c>
      <c r="V84" s="78">
        <f t="shared" si="46"/>
        <v>396</v>
      </c>
      <c r="W84" s="76">
        <f t="shared" si="46"/>
        <v>384</v>
      </c>
      <c r="X84" s="76">
        <f t="shared" si="46"/>
        <v>366</v>
      </c>
      <c r="Y84" s="76">
        <f t="shared" si="46"/>
        <v>366</v>
      </c>
      <c r="Z84" s="77">
        <f t="shared" si="46"/>
        <v>360</v>
      </c>
      <c r="AA84" s="62">
        <f t="shared" si="46"/>
        <v>1872</v>
      </c>
      <c r="AB84" s="78">
        <f t="shared" si="46"/>
        <v>384</v>
      </c>
      <c r="AC84" s="76">
        <f t="shared" si="46"/>
        <v>366</v>
      </c>
      <c r="AD84" s="76">
        <f t="shared" si="46"/>
        <v>360</v>
      </c>
      <c r="AE84" s="76">
        <f t="shared" si="46"/>
        <v>354</v>
      </c>
      <c r="AF84" s="77">
        <f t="shared" si="46"/>
        <v>0</v>
      </c>
      <c r="AG84" s="62">
        <f t="shared" si="46"/>
        <v>1464</v>
      </c>
    </row>
    <row r="85" spans="1:65" s="9" customFormat="1" ht="15.75" thickBot="1">
      <c r="A85" s="4"/>
      <c r="B85" s="4"/>
      <c r="C85" s="64" t="s">
        <v>117</v>
      </c>
      <c r="D85" s="68">
        <f>+SUM(D79:D84)</f>
        <v>678</v>
      </c>
      <c r="E85" s="65">
        <f t="shared" ref="E85:AG85" si="47">+SUM(E79:E84)</f>
        <v>630</v>
      </c>
      <c r="F85" s="65">
        <f t="shared" si="47"/>
        <v>594</v>
      </c>
      <c r="G85" s="66">
        <f t="shared" si="47"/>
        <v>0</v>
      </c>
      <c r="H85" s="66">
        <f t="shared" si="47"/>
        <v>576</v>
      </c>
      <c r="I85" s="67">
        <f t="shared" si="47"/>
        <v>2478</v>
      </c>
      <c r="J85" s="68">
        <f t="shared" si="47"/>
        <v>666</v>
      </c>
      <c r="K85" s="65">
        <f t="shared" si="47"/>
        <v>636</v>
      </c>
      <c r="L85" s="65">
        <f t="shared" si="47"/>
        <v>594</v>
      </c>
      <c r="M85" s="66">
        <f t="shared" si="47"/>
        <v>564</v>
      </c>
      <c r="N85" s="66">
        <f t="shared" si="47"/>
        <v>0</v>
      </c>
      <c r="O85" s="67">
        <f t="shared" si="47"/>
        <v>2460</v>
      </c>
      <c r="P85" s="68">
        <f t="shared" si="47"/>
        <v>762</v>
      </c>
      <c r="Q85" s="65">
        <f t="shared" si="47"/>
        <v>732</v>
      </c>
      <c r="R85" s="65">
        <f t="shared" si="47"/>
        <v>660</v>
      </c>
      <c r="S85" s="66">
        <f t="shared" si="47"/>
        <v>648</v>
      </c>
      <c r="T85" s="66">
        <f t="shared" si="47"/>
        <v>0</v>
      </c>
      <c r="U85" s="67">
        <f t="shared" si="47"/>
        <v>2802</v>
      </c>
      <c r="V85" s="68">
        <f t="shared" si="47"/>
        <v>678</v>
      </c>
      <c r="W85" s="65">
        <f t="shared" si="47"/>
        <v>654</v>
      </c>
      <c r="X85" s="65">
        <f t="shared" si="47"/>
        <v>582</v>
      </c>
      <c r="Y85" s="65">
        <f t="shared" si="47"/>
        <v>570</v>
      </c>
      <c r="Z85" s="66">
        <f t="shared" si="47"/>
        <v>540</v>
      </c>
      <c r="AA85" s="67">
        <f t="shared" si="47"/>
        <v>3024</v>
      </c>
      <c r="AB85" s="68">
        <f t="shared" si="47"/>
        <v>654</v>
      </c>
      <c r="AC85" s="65">
        <f t="shared" si="47"/>
        <v>618</v>
      </c>
      <c r="AD85" s="65">
        <f t="shared" si="47"/>
        <v>564</v>
      </c>
      <c r="AE85" s="65">
        <f t="shared" si="47"/>
        <v>552</v>
      </c>
      <c r="AF85" s="66">
        <f t="shared" si="47"/>
        <v>0</v>
      </c>
      <c r="AG85" s="67">
        <f t="shared" si="47"/>
        <v>2388</v>
      </c>
    </row>
    <row r="86" spans="1:65" s="2" customFormat="1" hidden="1">
      <c r="A86" s="4"/>
      <c r="B86" s="4"/>
      <c r="C86" s="36">
        <v>0</v>
      </c>
      <c r="D86" s="63">
        <v>0</v>
      </c>
      <c r="E86" s="63">
        <v>0</v>
      </c>
      <c r="F86" s="63">
        <v>0</v>
      </c>
      <c r="G86" s="63">
        <v>0</v>
      </c>
      <c r="H86" s="63">
        <v>0</v>
      </c>
      <c r="I86" s="52">
        <v>0</v>
      </c>
      <c r="J86" s="63">
        <v>0</v>
      </c>
      <c r="K86" s="63">
        <v>0</v>
      </c>
      <c r="L86" s="63">
        <v>0</v>
      </c>
      <c r="M86" s="63">
        <v>0</v>
      </c>
      <c r="N86" s="63">
        <v>0</v>
      </c>
      <c r="O86" s="52">
        <v>0</v>
      </c>
      <c r="P86" s="63">
        <v>0</v>
      </c>
      <c r="Q86" s="63">
        <v>0</v>
      </c>
      <c r="R86" s="63">
        <v>0</v>
      </c>
      <c r="S86" s="63">
        <v>0</v>
      </c>
      <c r="T86" s="63">
        <v>0</v>
      </c>
      <c r="U86" s="52">
        <v>0</v>
      </c>
      <c r="V86" s="63">
        <v>0</v>
      </c>
      <c r="W86" s="63">
        <v>0</v>
      </c>
      <c r="X86" s="63">
        <v>0</v>
      </c>
      <c r="Y86" s="63">
        <v>0</v>
      </c>
      <c r="Z86" s="63">
        <v>0</v>
      </c>
      <c r="AA86" s="52">
        <v>0</v>
      </c>
      <c r="AB86" s="63">
        <v>0</v>
      </c>
      <c r="AC86" s="63">
        <v>0</v>
      </c>
      <c r="AD86" s="63">
        <v>0</v>
      </c>
      <c r="AE86" s="63">
        <v>0</v>
      </c>
      <c r="AF86" s="63">
        <v>0</v>
      </c>
      <c r="AG86" s="52"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s="9" customFormat="1" hidden="1">
      <c r="A87" s="7"/>
      <c r="B87" s="7"/>
      <c r="C87" s="7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17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17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17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17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17">
        <v>0</v>
      </c>
    </row>
    <row r="88" spans="1:65" s="11" customFormat="1" hidden="1">
      <c r="A88" s="12"/>
      <c r="B88" s="12"/>
      <c r="C88" s="12">
        <v>0</v>
      </c>
      <c r="D88" s="53">
        <v>0</v>
      </c>
      <c r="E88" s="53">
        <v>0</v>
      </c>
      <c r="F88" s="53">
        <v>0</v>
      </c>
      <c r="G88" s="53">
        <v>0</v>
      </c>
      <c r="H88" s="53">
        <v>0</v>
      </c>
      <c r="I88" s="16">
        <v>0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16">
        <v>0</v>
      </c>
      <c r="P88" s="53">
        <v>0</v>
      </c>
      <c r="Q88" s="53">
        <v>0</v>
      </c>
      <c r="R88" s="53">
        <v>0</v>
      </c>
      <c r="S88" s="53">
        <v>0</v>
      </c>
      <c r="T88" s="53">
        <v>0</v>
      </c>
      <c r="U88" s="16">
        <v>0</v>
      </c>
      <c r="V88" s="53">
        <v>0</v>
      </c>
      <c r="W88" s="53">
        <v>0</v>
      </c>
      <c r="X88" s="53">
        <v>0</v>
      </c>
      <c r="Y88" s="53">
        <v>0</v>
      </c>
      <c r="Z88" s="53">
        <v>0</v>
      </c>
      <c r="AA88" s="16">
        <v>0</v>
      </c>
      <c r="AB88" s="53">
        <v>0</v>
      </c>
      <c r="AC88" s="53">
        <v>0</v>
      </c>
      <c r="AD88" s="53">
        <v>0</v>
      </c>
      <c r="AE88" s="53">
        <v>0</v>
      </c>
      <c r="AF88" s="53">
        <v>0</v>
      </c>
      <c r="AG88" s="16">
        <v>0</v>
      </c>
    </row>
    <row r="89" spans="1:65" s="11" customFormat="1">
      <c r="A89" s="12"/>
      <c r="B89" s="12"/>
      <c r="C89" s="12" t="s">
        <v>3</v>
      </c>
      <c r="D89" s="13">
        <f t="shared" ref="D89:I89" si="48">SUM(D23,D26:D57)</f>
        <v>678</v>
      </c>
      <c r="E89" s="13">
        <f t="shared" si="48"/>
        <v>630</v>
      </c>
      <c r="F89" s="13">
        <f t="shared" si="48"/>
        <v>594</v>
      </c>
      <c r="G89" s="13">
        <f t="shared" si="48"/>
        <v>0</v>
      </c>
      <c r="H89" s="13">
        <f t="shared" si="48"/>
        <v>576</v>
      </c>
      <c r="I89" s="13">
        <f t="shared" si="48"/>
        <v>2478</v>
      </c>
      <c r="J89" s="13">
        <f>SUM(J23,J26:J57)</f>
        <v>666</v>
      </c>
      <c r="K89" s="13">
        <f t="shared" ref="K89:O89" si="49">SUM(K23,K26:K57)</f>
        <v>636</v>
      </c>
      <c r="L89" s="13">
        <f t="shared" si="49"/>
        <v>594</v>
      </c>
      <c r="M89" s="13">
        <f t="shared" si="49"/>
        <v>564</v>
      </c>
      <c r="N89" s="13">
        <f t="shared" si="49"/>
        <v>0</v>
      </c>
      <c r="O89" s="13">
        <f t="shared" si="49"/>
        <v>2460</v>
      </c>
      <c r="P89" s="13">
        <f t="shared" ref="P89:U89" si="50">SUM(P23,P26:P57)</f>
        <v>762</v>
      </c>
      <c r="Q89" s="13">
        <f t="shared" si="50"/>
        <v>732</v>
      </c>
      <c r="R89" s="13">
        <f t="shared" si="50"/>
        <v>660</v>
      </c>
      <c r="S89" s="13">
        <f t="shared" si="50"/>
        <v>648</v>
      </c>
      <c r="T89" s="13">
        <f t="shared" si="50"/>
        <v>0</v>
      </c>
      <c r="U89" s="13">
        <f t="shared" si="50"/>
        <v>2802</v>
      </c>
      <c r="V89" s="13">
        <f t="shared" ref="V89:AA89" si="51">SUM(V23,V26:V57)</f>
        <v>678</v>
      </c>
      <c r="W89" s="13">
        <f t="shared" si="51"/>
        <v>654</v>
      </c>
      <c r="X89" s="13">
        <f t="shared" si="51"/>
        <v>582</v>
      </c>
      <c r="Y89" s="13">
        <f t="shared" si="51"/>
        <v>570</v>
      </c>
      <c r="Z89" s="13">
        <f t="shared" si="51"/>
        <v>540</v>
      </c>
      <c r="AA89" s="13">
        <f t="shared" si="51"/>
        <v>3024</v>
      </c>
      <c r="AB89" s="13">
        <f t="shared" ref="AB89:AG89" si="52">SUM(AB23,AB26:AB57)</f>
        <v>654</v>
      </c>
      <c r="AC89" s="13">
        <f t="shared" si="52"/>
        <v>618</v>
      </c>
      <c r="AD89" s="13">
        <f t="shared" si="52"/>
        <v>564</v>
      </c>
      <c r="AE89" s="13">
        <f t="shared" si="52"/>
        <v>552</v>
      </c>
      <c r="AF89" s="13">
        <f t="shared" si="52"/>
        <v>0</v>
      </c>
      <c r="AG89" s="13">
        <f t="shared" si="52"/>
        <v>2388</v>
      </c>
    </row>
    <row r="90" spans="1:65">
      <c r="A90" s="1"/>
      <c r="B90" s="1"/>
      <c r="C90" s="30" t="s">
        <v>6</v>
      </c>
      <c r="D90" s="32">
        <v>678</v>
      </c>
      <c r="E90" s="32">
        <v>630</v>
      </c>
      <c r="F90" s="32">
        <v>594</v>
      </c>
      <c r="G90" s="32">
        <v>0</v>
      </c>
      <c r="H90" s="32">
        <v>576</v>
      </c>
      <c r="I90" s="32"/>
      <c r="J90" s="32">
        <v>666</v>
      </c>
      <c r="K90" s="32">
        <v>636</v>
      </c>
      <c r="L90" s="32">
        <v>594</v>
      </c>
      <c r="M90" s="32">
        <v>564</v>
      </c>
      <c r="N90" s="32">
        <v>0</v>
      </c>
      <c r="O90" s="32"/>
      <c r="P90" s="32">
        <v>762</v>
      </c>
      <c r="Q90" s="32">
        <v>732</v>
      </c>
      <c r="R90" s="32">
        <v>660</v>
      </c>
      <c r="S90" s="32">
        <v>648</v>
      </c>
      <c r="T90" s="32">
        <v>0</v>
      </c>
      <c r="U90" s="32"/>
      <c r="V90" s="32">
        <v>678</v>
      </c>
      <c r="W90" s="32">
        <v>654</v>
      </c>
      <c r="X90" s="32">
        <v>582</v>
      </c>
      <c r="Y90" s="32">
        <v>570</v>
      </c>
      <c r="Z90" s="32">
        <v>540</v>
      </c>
      <c r="AA90" s="32"/>
      <c r="AB90" s="32">
        <v>654</v>
      </c>
      <c r="AC90" s="32">
        <v>618</v>
      </c>
      <c r="AD90" s="32">
        <v>564</v>
      </c>
      <c r="AE90" s="32">
        <v>552</v>
      </c>
      <c r="AF90" s="32">
        <v>0</v>
      </c>
      <c r="AG90" s="32"/>
    </row>
    <row r="91" spans="1:65">
      <c r="A91" s="1"/>
      <c r="B91" s="1"/>
      <c r="C91" s="29" t="s">
        <v>5</v>
      </c>
      <c r="D91" s="6">
        <f>+D90-D89</f>
        <v>0</v>
      </c>
      <c r="E91" s="6">
        <f>+E90-E89</f>
        <v>0</v>
      </c>
      <c r="F91" s="6">
        <f>+F90-F89</f>
        <v>0</v>
      </c>
      <c r="G91" s="6">
        <f>+G90-G89</f>
        <v>0</v>
      </c>
      <c r="H91" s="6">
        <f>+H90-H89</f>
        <v>0</v>
      </c>
      <c r="I91" s="6"/>
      <c r="J91" s="6">
        <f>+J90-J89</f>
        <v>0</v>
      </c>
      <c r="K91" s="6">
        <f>+K90-K89</f>
        <v>0</v>
      </c>
      <c r="L91" s="6">
        <f>+L90-L89</f>
        <v>0</v>
      </c>
      <c r="M91" s="6">
        <f>+M90-M89</f>
        <v>0</v>
      </c>
      <c r="N91" s="6">
        <f>+N90-N89</f>
        <v>0</v>
      </c>
      <c r="O91" s="6"/>
      <c r="P91" s="6">
        <f>+P90-P89</f>
        <v>0</v>
      </c>
      <c r="Q91" s="6">
        <f>+Q90-Q89</f>
        <v>0</v>
      </c>
      <c r="R91" s="6">
        <f>+R90-R89</f>
        <v>0</v>
      </c>
      <c r="S91" s="6">
        <f>+S90-S89</f>
        <v>0</v>
      </c>
      <c r="T91" s="6">
        <f>+T90-T89</f>
        <v>0</v>
      </c>
      <c r="U91" s="6"/>
      <c r="V91" s="6">
        <f>+V90-V89</f>
        <v>0</v>
      </c>
      <c r="W91" s="6">
        <f>+W90-W89</f>
        <v>0</v>
      </c>
      <c r="X91" s="6">
        <f>+X90-X89</f>
        <v>0</v>
      </c>
      <c r="Y91" s="6">
        <f>+Y90-Y89</f>
        <v>0</v>
      </c>
      <c r="Z91" s="6">
        <f>+Z90-Z89</f>
        <v>0</v>
      </c>
      <c r="AA91" s="6"/>
      <c r="AB91" s="6">
        <f>+AB90-AB89</f>
        <v>0</v>
      </c>
      <c r="AC91" s="6">
        <f>+AC90-AC89</f>
        <v>0</v>
      </c>
      <c r="AD91" s="6">
        <f>+AD90-AD89</f>
        <v>0</v>
      </c>
      <c r="AE91" s="6">
        <f>+AE90-AE89</f>
        <v>0</v>
      </c>
      <c r="AF91" s="6">
        <f>+AF90-AF89</f>
        <v>0</v>
      </c>
      <c r="AG91" s="6"/>
    </row>
    <row r="92" spans="1:65" ht="15.75">
      <c r="A92" s="1"/>
      <c r="B92" s="1"/>
      <c r="C92" s="6"/>
      <c r="D92" s="14" t="str">
        <f>+IF(D90=D89,"OK","NOT OK")</f>
        <v>OK</v>
      </c>
      <c r="E92" s="14" t="str">
        <f>+IF(E90=E89,"OK","NOT OK")</f>
        <v>OK</v>
      </c>
      <c r="F92" s="14" t="str">
        <f>+IF(F90=F89,"OK","NOT OK")</f>
        <v>OK</v>
      </c>
      <c r="G92" s="14" t="str">
        <f>+IF(G90=G89,"OK","NOT OK")</f>
        <v>OK</v>
      </c>
      <c r="H92" s="14" t="str">
        <f>+IF(H90=H89,"OK","NOT OK")</f>
        <v>OK</v>
      </c>
      <c r="I92" s="14"/>
      <c r="J92" s="14" t="str">
        <f>+IF(J90=J89,"OK","NOT OK")</f>
        <v>OK</v>
      </c>
      <c r="K92" s="14" t="str">
        <f>+IF(K90=K89,"OK","NOT OK")</f>
        <v>OK</v>
      </c>
      <c r="L92" s="14" t="str">
        <f>+IF(L90=L89,"OK","NOT OK")</f>
        <v>OK</v>
      </c>
      <c r="M92" s="14" t="str">
        <f>+IF(M90=M89,"OK","NOT OK")</f>
        <v>OK</v>
      </c>
      <c r="N92" s="14" t="str">
        <f>+IF(N90=N89,"OK","NOT OK")</f>
        <v>OK</v>
      </c>
      <c r="O92" s="14"/>
      <c r="P92" s="14" t="str">
        <f>+IF(P90=P89,"OK","NOT OK")</f>
        <v>OK</v>
      </c>
      <c r="Q92" s="14" t="str">
        <f>+IF(Q90=Q89,"OK","NOT OK")</f>
        <v>OK</v>
      </c>
      <c r="R92" s="14" t="str">
        <f>+IF(R90=R89,"OK","NOT OK")</f>
        <v>OK</v>
      </c>
      <c r="S92" s="14" t="str">
        <f>+IF(S90=S89,"OK","NOT OK")</f>
        <v>OK</v>
      </c>
      <c r="T92" s="14" t="str">
        <f>+IF(T90=T89,"OK","NOT OK")</f>
        <v>OK</v>
      </c>
      <c r="U92" s="14"/>
      <c r="V92" s="14" t="str">
        <f>+IF(V90=V89,"OK","NOT OK")</f>
        <v>OK</v>
      </c>
      <c r="W92" s="14" t="str">
        <f>+IF(W90=W89,"OK","NOT OK")</f>
        <v>OK</v>
      </c>
      <c r="X92" s="14" t="str">
        <f>+IF(X90=X89,"OK","NOT OK")</f>
        <v>OK</v>
      </c>
      <c r="Y92" s="14" t="str">
        <f>+IF(Y90=Y89,"OK","NOT OK")</f>
        <v>OK</v>
      </c>
      <c r="Z92" s="14" t="str">
        <f>+IF(Z90=Z89,"OK","NOT OK")</f>
        <v>OK</v>
      </c>
      <c r="AA92" s="14"/>
      <c r="AB92" s="14" t="str">
        <f>+IF(AB90=AB89,"OK","NOT OK")</f>
        <v>OK</v>
      </c>
      <c r="AC92" s="14" t="str">
        <f>+IF(AC90=AC89,"OK","NOT OK")</f>
        <v>OK</v>
      </c>
      <c r="AD92" s="14" t="str">
        <f>+IF(AD90=AD89,"OK","NOT OK")</f>
        <v>OK</v>
      </c>
      <c r="AE92" s="14" t="str">
        <f>+IF(AE90=AE89,"OK","NOT OK")</f>
        <v>OK</v>
      </c>
      <c r="AF92" s="14" t="str">
        <f>+IF(AF90=AF89,"OK","NOT OK")</f>
        <v>OK</v>
      </c>
      <c r="AG92" s="14"/>
    </row>
    <row r="93" spans="1:65">
      <c r="A93" s="1"/>
      <c r="B93" s="1"/>
      <c r="C93" s="33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</row>
    <row r="94" spans="1:65" ht="18.75">
      <c r="A94" s="1"/>
      <c r="B94" s="1"/>
      <c r="C94" s="33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</row>
    <row r="95" spans="1:65" ht="18.75">
      <c r="A95" s="1"/>
      <c r="B95" s="1"/>
      <c r="C95" s="10" t="s">
        <v>7</v>
      </c>
      <c r="D95" s="37">
        <f>SUM(D79:D80)</f>
        <v>144</v>
      </c>
      <c r="E95" s="37">
        <f t="shared" ref="E95:AG95" si="53">SUM(E79:E80)</f>
        <v>114</v>
      </c>
      <c r="F95" s="37">
        <f t="shared" si="53"/>
        <v>96</v>
      </c>
      <c r="G95" s="37">
        <f t="shared" si="53"/>
        <v>0</v>
      </c>
      <c r="H95" s="37">
        <f t="shared" si="53"/>
        <v>96</v>
      </c>
      <c r="I95" s="37">
        <f t="shared" si="53"/>
        <v>450</v>
      </c>
      <c r="J95" s="37">
        <f t="shared" si="53"/>
        <v>174</v>
      </c>
      <c r="K95" s="37">
        <f t="shared" si="53"/>
        <v>162</v>
      </c>
      <c r="L95" s="37">
        <f t="shared" si="53"/>
        <v>132</v>
      </c>
      <c r="M95" s="37">
        <f t="shared" si="53"/>
        <v>132</v>
      </c>
      <c r="N95" s="37">
        <f t="shared" si="53"/>
        <v>0</v>
      </c>
      <c r="O95" s="37">
        <f t="shared" si="53"/>
        <v>600</v>
      </c>
      <c r="P95" s="37">
        <f t="shared" si="53"/>
        <v>210</v>
      </c>
      <c r="Q95" s="37">
        <f t="shared" si="53"/>
        <v>204</v>
      </c>
      <c r="R95" s="37">
        <f t="shared" si="53"/>
        <v>168</v>
      </c>
      <c r="S95" s="37">
        <f t="shared" si="53"/>
        <v>162</v>
      </c>
      <c r="T95" s="37">
        <f t="shared" si="53"/>
        <v>0</v>
      </c>
      <c r="U95" s="37">
        <f t="shared" si="53"/>
        <v>744</v>
      </c>
      <c r="V95" s="37">
        <f t="shared" si="53"/>
        <v>180</v>
      </c>
      <c r="W95" s="37">
        <f t="shared" si="53"/>
        <v>174</v>
      </c>
      <c r="X95" s="37">
        <f t="shared" si="53"/>
        <v>144</v>
      </c>
      <c r="Y95" s="37">
        <f t="shared" si="53"/>
        <v>138</v>
      </c>
      <c r="Z95" s="37">
        <f t="shared" si="53"/>
        <v>138</v>
      </c>
      <c r="AA95" s="37">
        <f t="shared" si="53"/>
        <v>774</v>
      </c>
      <c r="AB95" s="37">
        <f t="shared" si="53"/>
        <v>180</v>
      </c>
      <c r="AC95" s="37">
        <f t="shared" si="53"/>
        <v>168</v>
      </c>
      <c r="AD95" s="37">
        <f t="shared" si="53"/>
        <v>144</v>
      </c>
      <c r="AE95" s="37">
        <f t="shared" si="53"/>
        <v>138</v>
      </c>
      <c r="AF95" s="37">
        <f t="shared" si="53"/>
        <v>0</v>
      </c>
      <c r="AG95" s="37">
        <f t="shared" si="53"/>
        <v>630</v>
      </c>
    </row>
    <row r="96" spans="1:65" ht="18.75">
      <c r="A96" s="1"/>
      <c r="B96" s="1"/>
      <c r="C96" s="10" t="s">
        <v>8</v>
      </c>
      <c r="D96" s="37">
        <f>SUM(D83:D84)</f>
        <v>420</v>
      </c>
      <c r="E96" s="37">
        <f t="shared" ref="E96:AG96" si="54">SUM(E83:E84)</f>
        <v>402</v>
      </c>
      <c r="F96" s="37">
        <f t="shared" si="54"/>
        <v>390</v>
      </c>
      <c r="G96" s="37">
        <f t="shared" si="54"/>
        <v>0</v>
      </c>
      <c r="H96" s="37">
        <f t="shared" si="54"/>
        <v>390</v>
      </c>
      <c r="I96" s="37">
        <f t="shared" si="54"/>
        <v>1602</v>
      </c>
      <c r="J96" s="37">
        <f t="shared" si="54"/>
        <v>396</v>
      </c>
      <c r="K96" s="37">
        <f t="shared" si="54"/>
        <v>378</v>
      </c>
      <c r="L96" s="37">
        <f t="shared" si="54"/>
        <v>372</v>
      </c>
      <c r="M96" s="37">
        <f t="shared" si="54"/>
        <v>360</v>
      </c>
      <c r="N96" s="37">
        <f t="shared" si="54"/>
        <v>0</v>
      </c>
      <c r="O96" s="37">
        <f t="shared" si="54"/>
        <v>1506</v>
      </c>
      <c r="P96" s="37">
        <f t="shared" si="54"/>
        <v>450</v>
      </c>
      <c r="Q96" s="37">
        <f t="shared" si="54"/>
        <v>432</v>
      </c>
      <c r="R96" s="37">
        <f t="shared" si="54"/>
        <v>414</v>
      </c>
      <c r="S96" s="37">
        <f t="shared" si="54"/>
        <v>414</v>
      </c>
      <c r="T96" s="37">
        <f t="shared" si="54"/>
        <v>0</v>
      </c>
      <c r="U96" s="37">
        <f t="shared" si="54"/>
        <v>1710</v>
      </c>
      <c r="V96" s="37">
        <f t="shared" si="54"/>
        <v>396</v>
      </c>
      <c r="W96" s="37">
        <f t="shared" si="54"/>
        <v>384</v>
      </c>
      <c r="X96" s="37">
        <f t="shared" si="54"/>
        <v>366</v>
      </c>
      <c r="Y96" s="37">
        <f t="shared" si="54"/>
        <v>366</v>
      </c>
      <c r="Z96" s="37">
        <f t="shared" si="54"/>
        <v>360</v>
      </c>
      <c r="AA96" s="37">
        <f t="shared" si="54"/>
        <v>1872</v>
      </c>
      <c r="AB96" s="37">
        <f t="shared" si="54"/>
        <v>384</v>
      </c>
      <c r="AC96" s="37">
        <f t="shared" si="54"/>
        <v>366</v>
      </c>
      <c r="AD96" s="37">
        <f t="shared" si="54"/>
        <v>360</v>
      </c>
      <c r="AE96" s="37">
        <f t="shared" si="54"/>
        <v>354</v>
      </c>
      <c r="AF96" s="37">
        <f t="shared" si="54"/>
        <v>0</v>
      </c>
      <c r="AG96" s="37">
        <f t="shared" si="54"/>
        <v>1464</v>
      </c>
    </row>
    <row r="97" spans="1:53" s="15" customFormat="1" ht="18.75">
      <c r="C97" s="10" t="s">
        <v>9</v>
      </c>
      <c r="D97" s="37">
        <f>SUM(D81:D82)</f>
        <v>114</v>
      </c>
      <c r="E97" s="37">
        <f t="shared" ref="E97:AG97" si="55">SUM(E81:E82)</f>
        <v>114</v>
      </c>
      <c r="F97" s="37">
        <f t="shared" si="55"/>
        <v>108</v>
      </c>
      <c r="G97" s="37">
        <f t="shared" si="55"/>
        <v>0</v>
      </c>
      <c r="H97" s="37">
        <f t="shared" si="55"/>
        <v>90</v>
      </c>
      <c r="I97" s="37">
        <f t="shared" si="55"/>
        <v>426</v>
      </c>
      <c r="J97" s="37">
        <f t="shared" si="55"/>
        <v>96</v>
      </c>
      <c r="K97" s="37">
        <f t="shared" si="55"/>
        <v>96</v>
      </c>
      <c r="L97" s="37">
        <f t="shared" si="55"/>
        <v>90</v>
      </c>
      <c r="M97" s="37">
        <f t="shared" si="55"/>
        <v>72</v>
      </c>
      <c r="N97" s="37">
        <f t="shared" si="55"/>
        <v>0</v>
      </c>
      <c r="O97" s="37">
        <f t="shared" si="55"/>
        <v>354</v>
      </c>
      <c r="P97" s="37">
        <f t="shared" si="55"/>
        <v>102</v>
      </c>
      <c r="Q97" s="37">
        <f t="shared" si="55"/>
        <v>96</v>
      </c>
      <c r="R97" s="37">
        <f t="shared" si="55"/>
        <v>78</v>
      </c>
      <c r="S97" s="37">
        <f t="shared" si="55"/>
        <v>72</v>
      </c>
      <c r="T97" s="37">
        <f t="shared" si="55"/>
        <v>0</v>
      </c>
      <c r="U97" s="37">
        <f t="shared" si="55"/>
        <v>348</v>
      </c>
      <c r="V97" s="37">
        <f t="shared" si="55"/>
        <v>102</v>
      </c>
      <c r="W97" s="37">
        <f t="shared" si="55"/>
        <v>96</v>
      </c>
      <c r="X97" s="37">
        <f t="shared" si="55"/>
        <v>72</v>
      </c>
      <c r="Y97" s="37">
        <f t="shared" si="55"/>
        <v>66</v>
      </c>
      <c r="Z97" s="37">
        <f t="shared" si="55"/>
        <v>42</v>
      </c>
      <c r="AA97" s="37">
        <f t="shared" si="55"/>
        <v>378</v>
      </c>
      <c r="AB97" s="37">
        <f t="shared" si="55"/>
        <v>90</v>
      </c>
      <c r="AC97" s="37">
        <f t="shared" si="55"/>
        <v>84</v>
      </c>
      <c r="AD97" s="37">
        <f t="shared" si="55"/>
        <v>60</v>
      </c>
      <c r="AE97" s="37">
        <f t="shared" si="55"/>
        <v>60</v>
      </c>
      <c r="AF97" s="37">
        <f t="shared" si="55"/>
        <v>0</v>
      </c>
      <c r="AG97" s="37">
        <f t="shared" si="55"/>
        <v>294</v>
      </c>
    </row>
    <row r="98" spans="1:53">
      <c r="A98" s="1"/>
      <c r="B98" s="1"/>
      <c r="C98" s="1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spans="1:53" ht="21">
      <c r="A99" s="1"/>
      <c r="B99" s="1"/>
      <c r="C99" s="79" t="s">
        <v>131</v>
      </c>
      <c r="D99" s="80">
        <f>+D96+D95</f>
        <v>564</v>
      </c>
      <c r="E99" s="80">
        <f t="shared" ref="E99:AG99" si="56">+E96+E95</f>
        <v>516</v>
      </c>
      <c r="F99" s="80">
        <f t="shared" si="56"/>
        <v>486</v>
      </c>
      <c r="G99" s="80">
        <f t="shared" si="56"/>
        <v>0</v>
      </c>
      <c r="H99" s="80">
        <f t="shared" si="56"/>
        <v>486</v>
      </c>
      <c r="I99" s="80">
        <f t="shared" si="56"/>
        <v>2052</v>
      </c>
      <c r="J99" s="80">
        <f t="shared" si="56"/>
        <v>570</v>
      </c>
      <c r="K99" s="80">
        <f t="shared" si="56"/>
        <v>540</v>
      </c>
      <c r="L99" s="80">
        <f t="shared" si="56"/>
        <v>504</v>
      </c>
      <c r="M99" s="80">
        <f t="shared" si="56"/>
        <v>492</v>
      </c>
      <c r="N99" s="80">
        <f t="shared" si="56"/>
        <v>0</v>
      </c>
      <c r="O99" s="80">
        <f t="shared" si="56"/>
        <v>2106</v>
      </c>
      <c r="P99" s="80">
        <f t="shared" si="56"/>
        <v>660</v>
      </c>
      <c r="Q99" s="80">
        <f t="shared" si="56"/>
        <v>636</v>
      </c>
      <c r="R99" s="80">
        <f t="shared" si="56"/>
        <v>582</v>
      </c>
      <c r="S99" s="80">
        <f t="shared" si="56"/>
        <v>576</v>
      </c>
      <c r="T99" s="80">
        <f t="shared" si="56"/>
        <v>0</v>
      </c>
      <c r="U99" s="80">
        <f t="shared" si="56"/>
        <v>2454</v>
      </c>
      <c r="V99" s="80">
        <f t="shared" si="56"/>
        <v>576</v>
      </c>
      <c r="W99" s="80">
        <f t="shared" si="56"/>
        <v>558</v>
      </c>
      <c r="X99" s="80">
        <f t="shared" si="56"/>
        <v>510</v>
      </c>
      <c r="Y99" s="80">
        <f t="shared" si="56"/>
        <v>504</v>
      </c>
      <c r="Z99" s="80">
        <f t="shared" si="56"/>
        <v>498</v>
      </c>
      <c r="AA99" s="80">
        <f t="shared" si="56"/>
        <v>2646</v>
      </c>
      <c r="AB99" s="80">
        <f t="shared" si="56"/>
        <v>564</v>
      </c>
      <c r="AC99" s="80">
        <f t="shared" si="56"/>
        <v>534</v>
      </c>
      <c r="AD99" s="80">
        <f t="shared" si="56"/>
        <v>504</v>
      </c>
      <c r="AE99" s="80">
        <f t="shared" si="56"/>
        <v>492</v>
      </c>
      <c r="AF99" s="80">
        <f t="shared" si="56"/>
        <v>0</v>
      </c>
      <c r="AG99" s="80">
        <f t="shared" si="56"/>
        <v>2094</v>
      </c>
      <c r="AH99" s="80"/>
    </row>
    <row r="100" spans="1:53" ht="21">
      <c r="A100" s="1"/>
      <c r="B100" s="1"/>
      <c r="C100" s="79" t="s">
        <v>132</v>
      </c>
      <c r="D100" s="80">
        <f>+D97</f>
        <v>114</v>
      </c>
      <c r="E100" s="80">
        <f t="shared" ref="E100:AG100" si="57">+E97</f>
        <v>114</v>
      </c>
      <c r="F100" s="80">
        <f t="shared" si="57"/>
        <v>108</v>
      </c>
      <c r="G100" s="80">
        <f t="shared" si="57"/>
        <v>0</v>
      </c>
      <c r="H100" s="80">
        <f t="shared" si="57"/>
        <v>90</v>
      </c>
      <c r="I100" s="80">
        <f t="shared" si="57"/>
        <v>426</v>
      </c>
      <c r="J100" s="80">
        <f t="shared" si="57"/>
        <v>96</v>
      </c>
      <c r="K100" s="80">
        <f t="shared" si="57"/>
        <v>96</v>
      </c>
      <c r="L100" s="80">
        <f t="shared" si="57"/>
        <v>90</v>
      </c>
      <c r="M100" s="80">
        <f t="shared" si="57"/>
        <v>72</v>
      </c>
      <c r="N100" s="80">
        <f t="shared" si="57"/>
        <v>0</v>
      </c>
      <c r="O100" s="80">
        <f t="shared" si="57"/>
        <v>354</v>
      </c>
      <c r="P100" s="80">
        <f t="shared" si="57"/>
        <v>102</v>
      </c>
      <c r="Q100" s="80">
        <f t="shared" si="57"/>
        <v>96</v>
      </c>
      <c r="R100" s="80">
        <f t="shared" si="57"/>
        <v>78</v>
      </c>
      <c r="S100" s="80">
        <f t="shared" si="57"/>
        <v>72</v>
      </c>
      <c r="T100" s="80">
        <f t="shared" si="57"/>
        <v>0</v>
      </c>
      <c r="U100" s="80">
        <f t="shared" si="57"/>
        <v>348</v>
      </c>
      <c r="V100" s="80">
        <f t="shared" si="57"/>
        <v>102</v>
      </c>
      <c r="W100" s="80">
        <f t="shared" si="57"/>
        <v>96</v>
      </c>
      <c r="X100" s="80">
        <f t="shared" si="57"/>
        <v>72</v>
      </c>
      <c r="Y100" s="80">
        <f t="shared" si="57"/>
        <v>66</v>
      </c>
      <c r="Z100" s="80">
        <f t="shared" si="57"/>
        <v>42</v>
      </c>
      <c r="AA100" s="80">
        <f t="shared" si="57"/>
        <v>378</v>
      </c>
      <c r="AB100" s="80">
        <f t="shared" si="57"/>
        <v>90</v>
      </c>
      <c r="AC100" s="80">
        <f t="shared" si="57"/>
        <v>84</v>
      </c>
      <c r="AD100" s="80">
        <f t="shared" si="57"/>
        <v>60</v>
      </c>
      <c r="AE100" s="80">
        <f t="shared" si="57"/>
        <v>60</v>
      </c>
      <c r="AF100" s="80">
        <f t="shared" si="57"/>
        <v>0</v>
      </c>
      <c r="AG100" s="80">
        <f t="shared" si="57"/>
        <v>294</v>
      </c>
      <c r="AH100" s="80"/>
    </row>
    <row r="101" spans="1:53" ht="21">
      <c r="A101" s="1"/>
      <c r="B101" s="1"/>
      <c r="C101" s="79" t="s">
        <v>13</v>
      </c>
      <c r="D101" s="80">
        <f>SUM(D99:D100)</f>
        <v>678</v>
      </c>
      <c r="E101" s="80">
        <f t="shared" ref="E101:AG101" si="58">SUM(E99:E100)</f>
        <v>630</v>
      </c>
      <c r="F101" s="80">
        <f t="shared" si="58"/>
        <v>594</v>
      </c>
      <c r="G101" s="80">
        <f t="shared" si="58"/>
        <v>0</v>
      </c>
      <c r="H101" s="80">
        <f t="shared" si="58"/>
        <v>576</v>
      </c>
      <c r="I101" s="80">
        <f t="shared" si="58"/>
        <v>2478</v>
      </c>
      <c r="J101" s="80">
        <f t="shared" si="58"/>
        <v>666</v>
      </c>
      <c r="K101" s="80">
        <f t="shared" si="58"/>
        <v>636</v>
      </c>
      <c r="L101" s="80">
        <f t="shared" si="58"/>
        <v>594</v>
      </c>
      <c r="M101" s="80">
        <f t="shared" si="58"/>
        <v>564</v>
      </c>
      <c r="N101" s="80">
        <f t="shared" si="58"/>
        <v>0</v>
      </c>
      <c r="O101" s="80">
        <f t="shared" si="58"/>
        <v>2460</v>
      </c>
      <c r="P101" s="80">
        <f t="shared" si="58"/>
        <v>762</v>
      </c>
      <c r="Q101" s="80">
        <f t="shared" si="58"/>
        <v>732</v>
      </c>
      <c r="R101" s="80">
        <f t="shared" si="58"/>
        <v>660</v>
      </c>
      <c r="S101" s="80">
        <f t="shared" si="58"/>
        <v>648</v>
      </c>
      <c r="T101" s="80">
        <f t="shared" si="58"/>
        <v>0</v>
      </c>
      <c r="U101" s="80">
        <f t="shared" si="58"/>
        <v>2802</v>
      </c>
      <c r="V101" s="80">
        <f t="shared" si="58"/>
        <v>678</v>
      </c>
      <c r="W101" s="80">
        <f t="shared" si="58"/>
        <v>654</v>
      </c>
      <c r="X101" s="80">
        <f t="shared" si="58"/>
        <v>582</v>
      </c>
      <c r="Y101" s="80">
        <f t="shared" si="58"/>
        <v>570</v>
      </c>
      <c r="Z101" s="80">
        <f t="shared" si="58"/>
        <v>540</v>
      </c>
      <c r="AA101" s="80">
        <f t="shared" si="58"/>
        <v>3024</v>
      </c>
      <c r="AB101" s="80">
        <f t="shared" si="58"/>
        <v>654</v>
      </c>
      <c r="AC101" s="80">
        <f t="shared" si="58"/>
        <v>618</v>
      </c>
      <c r="AD101" s="80">
        <f t="shared" si="58"/>
        <v>564</v>
      </c>
      <c r="AE101" s="80">
        <f t="shared" si="58"/>
        <v>552</v>
      </c>
      <c r="AF101" s="80">
        <f t="shared" si="58"/>
        <v>0</v>
      </c>
      <c r="AG101" s="80">
        <f t="shared" si="58"/>
        <v>2388</v>
      </c>
      <c r="AH101" s="80"/>
    </row>
    <row r="102" spans="1:53" s="20" customFormat="1"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21"/>
      <c r="AI102" s="21"/>
      <c r="AJ102" s="21"/>
      <c r="AK102" s="21"/>
      <c r="AL102" s="21"/>
      <c r="AM102" s="21"/>
    </row>
    <row r="103" spans="1:53" s="83" customFormat="1">
      <c r="D103" s="84" t="str">
        <f>IF(D101=D89,"OK","NG")</f>
        <v>OK</v>
      </c>
      <c r="E103" s="84" t="str">
        <f t="shared" ref="E103:X103" si="59">IF(E101=E89,"OK","NG")</f>
        <v>OK</v>
      </c>
      <c r="F103" s="84" t="str">
        <f t="shared" si="59"/>
        <v>OK</v>
      </c>
      <c r="G103" s="84" t="str">
        <f>IF(G101=G89,"OK","NG")</f>
        <v>OK</v>
      </c>
      <c r="H103" s="84" t="str">
        <f>IF(H101=H89,"OK","NG")</f>
        <v>OK</v>
      </c>
      <c r="I103" s="84" t="str">
        <f t="shared" si="59"/>
        <v>OK</v>
      </c>
      <c r="J103" s="84" t="str">
        <f t="shared" si="59"/>
        <v>OK</v>
      </c>
      <c r="K103" s="84" t="str">
        <f t="shared" si="59"/>
        <v>OK</v>
      </c>
      <c r="L103" s="84" t="str">
        <f t="shared" si="59"/>
        <v>OK</v>
      </c>
      <c r="M103" s="84" t="str">
        <f>IF(M101=M89,"OK","NG")</f>
        <v>OK</v>
      </c>
      <c r="N103" s="84" t="str">
        <f>IF(N101=N89,"OK","NG")</f>
        <v>OK</v>
      </c>
      <c r="O103" s="84" t="str">
        <f t="shared" si="59"/>
        <v>OK</v>
      </c>
      <c r="P103" s="84" t="str">
        <f t="shared" si="59"/>
        <v>OK</v>
      </c>
      <c r="Q103" s="84" t="str">
        <f t="shared" si="59"/>
        <v>OK</v>
      </c>
      <c r="R103" s="84" t="str">
        <f t="shared" si="59"/>
        <v>OK</v>
      </c>
      <c r="S103" s="84" t="str">
        <f>IF(S101=S89,"OK","NG")</f>
        <v>OK</v>
      </c>
      <c r="T103" s="84" t="str">
        <f>IF(T101=T89,"OK","NG")</f>
        <v>OK</v>
      </c>
      <c r="U103" s="84" t="str">
        <f t="shared" si="59"/>
        <v>OK</v>
      </c>
      <c r="V103" s="84" t="str">
        <f t="shared" si="59"/>
        <v>OK</v>
      </c>
      <c r="W103" s="84" t="str">
        <f t="shared" si="59"/>
        <v>OK</v>
      </c>
      <c r="X103" s="84" t="str">
        <f t="shared" si="59"/>
        <v>OK</v>
      </c>
      <c r="Y103" s="84" t="str">
        <f>IF(Y101=Y89,"OK","NG")</f>
        <v>OK</v>
      </c>
      <c r="Z103" s="84" t="str">
        <f>IF(Z101=Z89,"OK","NG")</f>
        <v>OK</v>
      </c>
      <c r="AA103" s="84" t="str">
        <f t="shared" ref="AA103:AG103" si="60">IF(AA101=AA89,"OK","NG")</f>
        <v>OK</v>
      </c>
      <c r="AB103" s="84" t="str">
        <f t="shared" si="60"/>
        <v>OK</v>
      </c>
      <c r="AC103" s="84" t="str">
        <f t="shared" si="60"/>
        <v>OK</v>
      </c>
      <c r="AD103" s="84" t="str">
        <f t="shared" si="60"/>
        <v>OK</v>
      </c>
      <c r="AE103" s="84" t="str">
        <f>IF(AE101=AE89,"OK","NG")</f>
        <v>OK</v>
      </c>
      <c r="AF103" s="84" t="str">
        <f>IF(AF101=AF89,"OK","NG")</f>
        <v>OK</v>
      </c>
      <c r="AG103" s="84" t="str">
        <f t="shared" si="60"/>
        <v>OK</v>
      </c>
      <c r="AH103" s="84"/>
      <c r="AI103" s="84"/>
      <c r="AJ103" s="84"/>
      <c r="AK103" s="84"/>
    </row>
    <row r="104" spans="1:53" s="20" customFormat="1"/>
    <row r="105" spans="1:53" s="20" customFormat="1"/>
    <row r="106" spans="1:53" s="20" customFormat="1"/>
    <row r="107" spans="1:53" s="20" customFormat="1"/>
    <row r="108" spans="1:53">
      <c r="A108" s="1"/>
      <c r="B108" s="1"/>
      <c r="C108" s="1"/>
    </row>
    <row r="109" spans="1:53">
      <c r="A109" s="1"/>
      <c r="B109" s="1"/>
      <c r="C109" s="1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8"/>
      <c r="AI109" s="18"/>
      <c r="AJ109" s="18"/>
      <c r="AK109" s="18"/>
      <c r="AL109" s="19"/>
      <c r="AM109" s="19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</row>
    <row r="110" spans="1:53" s="22" customFormat="1"/>
    <row r="111" spans="1:53" s="20" customFormat="1">
      <c r="AH111" s="23"/>
      <c r="AI111" s="23"/>
      <c r="AJ111" s="23"/>
      <c r="AK111" s="23"/>
    </row>
    <row r="112" spans="1:53" s="6" customFormat="1"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/>
      <c r="B205" s="1"/>
      <c r="C205" s="1"/>
    </row>
    <row r="206" spans="1:3">
      <c r="A206" s="1"/>
      <c r="B206" s="1"/>
      <c r="C206" s="1"/>
    </row>
    <row r="207" spans="1:3">
      <c r="A207" s="1"/>
      <c r="B207" s="1"/>
      <c r="C207" s="1"/>
    </row>
    <row r="208" spans="1:3">
      <c r="A208" s="1"/>
      <c r="B208" s="1"/>
      <c r="C208" s="1"/>
    </row>
    <row r="209" spans="1:3">
      <c r="A209" s="1"/>
      <c r="B209" s="1"/>
      <c r="C209" s="1"/>
    </row>
    <row r="210" spans="1:3">
      <c r="A210" s="1"/>
      <c r="B210" s="1"/>
      <c r="C210" s="1"/>
    </row>
    <row r="211" spans="1:3">
      <c r="A211" s="1"/>
      <c r="B211" s="1"/>
      <c r="C211" s="1"/>
    </row>
    <row r="212" spans="1:3">
      <c r="A212" s="1"/>
      <c r="B212" s="1"/>
      <c r="C212" s="1"/>
    </row>
    <row r="213" spans="1:3">
      <c r="A213" s="1"/>
      <c r="B213" s="1"/>
      <c r="C213" s="1"/>
    </row>
    <row r="214" spans="1:3">
      <c r="A214" s="1"/>
      <c r="B214" s="1"/>
      <c r="C214" s="1"/>
    </row>
    <row r="215" spans="1:3">
      <c r="A215" s="1"/>
      <c r="B215" s="1"/>
      <c r="C215" s="1"/>
    </row>
    <row r="216" spans="1:3">
      <c r="A216" s="1"/>
      <c r="B216" s="1"/>
      <c r="C216" s="1"/>
    </row>
    <row r="217" spans="1:3">
      <c r="A217" s="1"/>
      <c r="B217" s="1"/>
      <c r="C217" s="1"/>
    </row>
    <row r="218" spans="1:3">
      <c r="A218" s="1"/>
      <c r="B218" s="1"/>
      <c r="C218" s="1"/>
    </row>
    <row r="219" spans="1:3">
      <c r="A219" s="1"/>
      <c r="B219" s="1"/>
      <c r="C219" s="1"/>
    </row>
    <row r="220" spans="1:3">
      <c r="A220" s="1"/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/>
      <c r="B223" s="1"/>
      <c r="C223" s="1"/>
    </row>
    <row r="224" spans="1:3">
      <c r="A224" s="1"/>
      <c r="B224" s="1"/>
      <c r="C224" s="1"/>
    </row>
    <row r="225" spans="1:3">
      <c r="A225" s="1"/>
      <c r="B225" s="1"/>
      <c r="C225" s="1"/>
    </row>
    <row r="226" spans="1:3">
      <c r="A226" s="1"/>
      <c r="B226" s="1"/>
      <c r="C226" s="1"/>
    </row>
    <row r="227" spans="1:3">
      <c r="A227" s="1"/>
      <c r="B227" s="1"/>
      <c r="C227" s="1"/>
    </row>
    <row r="228" spans="1:3">
      <c r="A228" s="1"/>
      <c r="B228" s="1"/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/>
      <c r="B231" s="1"/>
      <c r="C231" s="1"/>
    </row>
    <row r="232" spans="1:3">
      <c r="A232" s="1"/>
      <c r="B232" s="1"/>
      <c r="C232" s="1"/>
    </row>
    <row r="233" spans="1:3">
      <c r="A233" s="1"/>
      <c r="B233" s="1"/>
      <c r="C233" s="1"/>
    </row>
    <row r="234" spans="1:3">
      <c r="A234" s="1"/>
      <c r="B234" s="1"/>
      <c r="C234" s="1"/>
    </row>
    <row r="235" spans="1:3">
      <c r="A235" s="1"/>
      <c r="B235" s="1"/>
      <c r="C235" s="1"/>
    </row>
    <row r="236" spans="1:3">
      <c r="A236" s="1"/>
      <c r="B236" s="1"/>
      <c r="C236" s="1"/>
    </row>
    <row r="237" spans="1:3">
      <c r="A237" s="1"/>
      <c r="B237" s="1"/>
      <c r="C237" s="1"/>
    </row>
    <row r="238" spans="1:3">
      <c r="A238" s="1"/>
      <c r="B238" s="1"/>
      <c r="C238" s="1"/>
    </row>
    <row r="239" spans="1:3">
      <c r="A239" s="1"/>
      <c r="B239" s="1"/>
      <c r="C239" s="1"/>
    </row>
    <row r="240" spans="1:3">
      <c r="A240" s="1"/>
      <c r="B240" s="1"/>
      <c r="C240" s="1"/>
    </row>
    <row r="241" spans="1:3">
      <c r="A241" s="1"/>
      <c r="B241" s="1"/>
      <c r="C241" s="1"/>
    </row>
    <row r="242" spans="1:3">
      <c r="A242" s="1"/>
      <c r="B242" s="1"/>
      <c r="C242" s="1"/>
    </row>
    <row r="243" spans="1:3">
      <c r="A243" s="1"/>
      <c r="B243" s="1"/>
      <c r="C243" s="1"/>
    </row>
    <row r="244" spans="1:3">
      <c r="A244" s="1"/>
      <c r="B244" s="1"/>
      <c r="C244" s="1"/>
    </row>
    <row r="245" spans="1:3">
      <c r="A245" s="1"/>
      <c r="B245" s="1"/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/>
      <c r="B249" s="1"/>
      <c r="C249" s="1"/>
    </row>
    <row r="250" spans="1:3">
      <c r="A250" s="1"/>
      <c r="B250" s="1"/>
      <c r="C250" s="1"/>
    </row>
    <row r="251" spans="1:3">
      <c r="A251" s="1"/>
      <c r="B251" s="1"/>
      <c r="C251" s="1"/>
    </row>
    <row r="252" spans="1:3">
      <c r="A252" s="1"/>
      <c r="B252" s="1"/>
      <c r="C252" s="1"/>
    </row>
    <row r="253" spans="1:3">
      <c r="A253" s="1"/>
      <c r="B253" s="1"/>
      <c r="C253" s="1"/>
    </row>
    <row r="254" spans="1:3">
      <c r="A254" s="1"/>
      <c r="B254" s="1"/>
      <c r="C254" s="1"/>
    </row>
    <row r="255" spans="1:3">
      <c r="A255" s="1"/>
      <c r="B255" s="1"/>
      <c r="C255" s="1"/>
    </row>
    <row r="256" spans="1:3">
      <c r="A256" s="1"/>
      <c r="B256" s="1"/>
      <c r="C256" s="1"/>
    </row>
    <row r="257" spans="1:3">
      <c r="A257" s="1"/>
      <c r="B257" s="1"/>
      <c r="C257" s="1"/>
    </row>
    <row r="258" spans="1:3">
      <c r="A258" s="1"/>
      <c r="B258" s="1"/>
      <c r="C258" s="1"/>
    </row>
    <row r="259" spans="1:3">
      <c r="A259" s="1"/>
      <c r="B259" s="1"/>
      <c r="C259" s="1"/>
    </row>
    <row r="260" spans="1:3">
      <c r="A260" s="1"/>
      <c r="B260" s="1"/>
      <c r="C260" s="1"/>
    </row>
    <row r="261" spans="1:3">
      <c r="A261" s="1"/>
      <c r="B261" s="1"/>
      <c r="C261" s="1"/>
    </row>
    <row r="262" spans="1:3">
      <c r="A262" s="1"/>
      <c r="B262" s="1"/>
      <c r="C262" s="1"/>
    </row>
    <row r="263" spans="1:3">
      <c r="A263" s="1"/>
      <c r="B263" s="1"/>
      <c r="C263" s="1"/>
    </row>
    <row r="264" spans="1:3">
      <c r="A264" s="1"/>
      <c r="B264" s="1"/>
      <c r="C264" s="1"/>
    </row>
    <row r="265" spans="1:3">
      <c r="A265" s="1"/>
      <c r="B265" s="1"/>
      <c r="C265" s="1"/>
    </row>
    <row r="266" spans="1:3">
      <c r="A266" s="1"/>
      <c r="B266" s="1"/>
      <c r="C266" s="1"/>
    </row>
    <row r="267" spans="1:3">
      <c r="A267" s="1"/>
      <c r="B267" s="1"/>
      <c r="C267" s="1"/>
    </row>
    <row r="268" spans="1:3">
      <c r="A268" s="1"/>
      <c r="B268" s="1"/>
      <c r="C268" s="1"/>
    </row>
    <row r="269" spans="1:3">
      <c r="A269" s="1"/>
      <c r="B269" s="1"/>
      <c r="C269" s="1"/>
    </row>
    <row r="270" spans="1:3">
      <c r="A270" s="1"/>
      <c r="B270" s="1"/>
      <c r="C270" s="1"/>
    </row>
    <row r="271" spans="1:3">
      <c r="A271" s="1"/>
      <c r="B271" s="1"/>
      <c r="C271" s="1"/>
    </row>
    <row r="272" spans="1:3">
      <c r="A272" s="1"/>
      <c r="B272" s="1"/>
      <c r="C272" s="1"/>
    </row>
    <row r="273" spans="1:3">
      <c r="A273" s="1"/>
      <c r="B273" s="1"/>
      <c r="C273" s="1"/>
    </row>
    <row r="274" spans="1:3">
      <c r="A274" s="1"/>
      <c r="B274" s="1"/>
      <c r="C274" s="1"/>
    </row>
    <row r="275" spans="1:3">
      <c r="A275" s="1"/>
      <c r="B275" s="1"/>
      <c r="C275" s="1"/>
    </row>
    <row r="276" spans="1:3">
      <c r="A276" s="1"/>
      <c r="B276" s="1"/>
      <c r="C276" s="1"/>
    </row>
    <row r="277" spans="1:3">
      <c r="A277" s="1"/>
      <c r="B277" s="1"/>
      <c r="C277" s="1"/>
    </row>
    <row r="278" spans="1:3">
      <c r="A278" s="1"/>
      <c r="B278" s="1"/>
      <c r="C278" s="1"/>
    </row>
    <row r="279" spans="1:3">
      <c r="A279" s="1"/>
      <c r="B279" s="1"/>
      <c r="C279" s="1"/>
    </row>
    <row r="280" spans="1:3">
      <c r="A280" s="1"/>
      <c r="B280" s="1"/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/>
      <c r="B283" s="1"/>
      <c r="C283" s="1"/>
    </row>
    <row r="284" spans="1:3">
      <c r="A284" s="1"/>
      <c r="B284" s="1"/>
      <c r="C284" s="1"/>
    </row>
    <row r="285" spans="1:3">
      <c r="A285" s="1"/>
      <c r="B285" s="1"/>
      <c r="C285" s="1"/>
    </row>
    <row r="286" spans="1:3">
      <c r="A286" s="1"/>
      <c r="B286" s="1"/>
      <c r="C286" s="1"/>
    </row>
    <row r="287" spans="1:3">
      <c r="A287" s="1"/>
      <c r="B287" s="1"/>
      <c r="C287" s="1"/>
    </row>
    <row r="288" spans="1:3">
      <c r="A288" s="1"/>
      <c r="B288" s="1"/>
      <c r="C288" s="1"/>
    </row>
    <row r="289" spans="1:3">
      <c r="A289" s="1"/>
      <c r="B289" s="1"/>
      <c r="C289" s="1"/>
    </row>
    <row r="290" spans="1:3">
      <c r="A290" s="1"/>
      <c r="B290" s="1"/>
      <c r="C290" s="1"/>
    </row>
    <row r="291" spans="1:3">
      <c r="A291" s="1"/>
      <c r="B291" s="1"/>
      <c r="C291" s="1"/>
    </row>
    <row r="292" spans="1:3">
      <c r="A292" s="1"/>
      <c r="B292" s="1"/>
      <c r="C292" s="1"/>
    </row>
    <row r="293" spans="1:3">
      <c r="A293" s="1"/>
      <c r="B293" s="1"/>
      <c r="C293" s="1"/>
    </row>
    <row r="294" spans="1:3">
      <c r="A294" s="1"/>
      <c r="B294" s="1"/>
      <c r="C294" s="1"/>
    </row>
    <row r="295" spans="1:3">
      <c r="A295" s="1"/>
      <c r="B295" s="1"/>
      <c r="C295" s="1"/>
    </row>
    <row r="296" spans="1:3">
      <c r="A296" s="1"/>
      <c r="B296" s="1"/>
      <c r="C296" s="1"/>
    </row>
    <row r="297" spans="1:3">
      <c r="A297" s="1"/>
      <c r="B297" s="1"/>
      <c r="C297" s="1"/>
    </row>
    <row r="298" spans="1:3">
      <c r="A298" s="1"/>
      <c r="B298" s="1"/>
      <c r="C298" s="1"/>
    </row>
    <row r="299" spans="1:3">
      <c r="A299" s="1"/>
      <c r="B299" s="1"/>
      <c r="C299" s="1"/>
    </row>
    <row r="300" spans="1:3">
      <c r="A300" s="1"/>
      <c r="B300" s="1"/>
      <c r="C300" s="1"/>
    </row>
    <row r="301" spans="1:3">
      <c r="A301" s="1"/>
      <c r="B301" s="1"/>
      <c r="C301" s="1"/>
    </row>
    <row r="302" spans="1:3">
      <c r="A302" s="1"/>
      <c r="B302" s="1"/>
      <c r="C302" s="1"/>
    </row>
    <row r="303" spans="1:3">
      <c r="A303" s="1"/>
      <c r="B303" s="1"/>
      <c r="C303" s="1"/>
    </row>
    <row r="304" spans="1:3">
      <c r="A304" s="1"/>
      <c r="B304" s="1"/>
      <c r="C304" s="1"/>
    </row>
    <row r="305" spans="1:3">
      <c r="A305" s="1"/>
      <c r="B305" s="1"/>
      <c r="C305" s="1"/>
    </row>
    <row r="306" spans="1:3">
      <c r="A306" s="1"/>
      <c r="B306" s="1"/>
      <c r="C306" s="1"/>
    </row>
    <row r="307" spans="1:3">
      <c r="A307" s="1"/>
      <c r="B307" s="1"/>
      <c r="C307" s="1"/>
    </row>
    <row r="308" spans="1:3">
      <c r="A308" s="1"/>
      <c r="B308" s="1"/>
      <c r="C308" s="1"/>
    </row>
    <row r="309" spans="1:3">
      <c r="A309" s="1"/>
      <c r="B309" s="1"/>
      <c r="C309" s="1"/>
    </row>
  </sheetData>
  <mergeCells count="13">
    <mergeCell ref="AB3:AF3"/>
    <mergeCell ref="J3:N3"/>
    <mergeCell ref="P3:T3"/>
    <mergeCell ref="A6:A7"/>
    <mergeCell ref="B6:B7"/>
    <mergeCell ref="C6:C7"/>
    <mergeCell ref="D3:H3"/>
    <mergeCell ref="V3:Z3"/>
    <mergeCell ref="P6:T6"/>
    <mergeCell ref="D6:H6"/>
    <mergeCell ref="J6:N6"/>
    <mergeCell ref="V6:Z6"/>
    <mergeCell ref="AB6:AF6"/>
  </mergeCells>
  <conditionalFormatting sqref="AG1:IV3 A1:B3 C1:F2 I1:L2 U1:X2 O1:R2 AA1:AD2">
    <cfRule type="cellIs" dxfId="53" priority="110" stopIfTrue="1" operator="lessThan">
      <formula>0</formula>
    </cfRule>
  </conditionalFormatting>
  <conditionalFormatting sqref="Z1:Z2">
    <cfRule type="cellIs" dxfId="52" priority="56" stopIfTrue="1" operator="lessThan">
      <formula>0</formula>
    </cfRule>
  </conditionalFormatting>
  <conditionalFormatting sqref="O3">
    <cfRule type="cellIs" dxfId="51" priority="53" stopIfTrue="1" operator="lessThan">
      <formula>0</formula>
    </cfRule>
  </conditionalFormatting>
  <conditionalFormatting sqref="T1:T2">
    <cfRule type="cellIs" dxfId="50" priority="52" stopIfTrue="1" operator="lessThan">
      <formula>0</formula>
    </cfRule>
  </conditionalFormatting>
  <conditionalFormatting sqref="U3">
    <cfRule type="cellIs" dxfId="49" priority="51" stopIfTrue="1" operator="lessThan">
      <formula>0</formula>
    </cfRule>
  </conditionalFormatting>
  <conditionalFormatting sqref="AA3">
    <cfRule type="cellIs" dxfId="48" priority="50" stopIfTrue="1" operator="lessThan">
      <formula>0</formula>
    </cfRule>
  </conditionalFormatting>
  <conditionalFormatting sqref="N1:N2">
    <cfRule type="cellIs" dxfId="47" priority="49" stopIfTrue="1" operator="lessThan">
      <formula>0</formula>
    </cfRule>
  </conditionalFormatting>
  <conditionalFormatting sqref="H1:H2">
    <cfRule type="cellIs" dxfId="46" priority="47" stopIfTrue="1" operator="lessThan">
      <formula>0</formula>
    </cfRule>
  </conditionalFormatting>
  <conditionalFormatting sqref="I3">
    <cfRule type="cellIs" dxfId="45" priority="46" stopIfTrue="1" operator="lessThan">
      <formula>0</formula>
    </cfRule>
  </conditionalFormatting>
  <conditionalFormatting sqref="AF1:AF2">
    <cfRule type="cellIs" dxfId="44" priority="45" stopIfTrue="1" operator="lessThan">
      <formula>0</formula>
    </cfRule>
  </conditionalFormatting>
  <conditionalFormatting sqref="Y1:Y2">
    <cfRule type="cellIs" dxfId="43" priority="44" stopIfTrue="1" operator="lessThan">
      <formula>0</formula>
    </cfRule>
  </conditionalFormatting>
  <conditionalFormatting sqref="G1:G2">
    <cfRule type="cellIs" dxfId="42" priority="43" stopIfTrue="1" operator="lessThan">
      <formula>0</formula>
    </cfRule>
  </conditionalFormatting>
  <conditionalFormatting sqref="M1:M2">
    <cfRule type="cellIs" dxfId="41" priority="42" stopIfTrue="1" operator="lessThan">
      <formula>0</formula>
    </cfRule>
  </conditionalFormatting>
  <conditionalFormatting sqref="S1:S2">
    <cfRule type="cellIs" dxfId="40" priority="41" stopIfTrue="1" operator="lessThan">
      <formula>0</formula>
    </cfRule>
  </conditionalFormatting>
  <conditionalFormatting sqref="AE1:AE2">
    <cfRule type="cellIs" dxfId="39" priority="40" stopIfTrue="1" operator="lessThan">
      <formula>0</formula>
    </cfRule>
  </conditionalFormatting>
  <conditionalFormatting sqref="AA3">
    <cfRule type="cellIs" dxfId="38" priority="39" stopIfTrue="1" operator="lessThan">
      <formula>0</formula>
    </cfRule>
  </conditionalFormatting>
  <conditionalFormatting sqref="I3">
    <cfRule type="cellIs" dxfId="37" priority="38" stopIfTrue="1" operator="lessThan">
      <formula>0</formula>
    </cfRule>
  </conditionalFormatting>
  <conditionalFormatting sqref="O3">
    <cfRule type="cellIs" dxfId="36" priority="37" stopIfTrue="1" operator="lessThan">
      <formula>0</formula>
    </cfRule>
  </conditionalFormatting>
  <conditionalFormatting sqref="U3">
    <cfRule type="cellIs" dxfId="35" priority="36" stopIfTrue="1" operator="lessThan">
      <formula>0</formula>
    </cfRule>
  </conditionalFormatting>
  <conditionalFormatting sqref="I3">
    <cfRule type="cellIs" dxfId="34" priority="35" stopIfTrue="1" operator="lessThan">
      <formula>0</formula>
    </cfRule>
  </conditionalFormatting>
  <conditionalFormatting sqref="O3">
    <cfRule type="cellIs" dxfId="33" priority="34" stopIfTrue="1" operator="lessThan">
      <formula>0</formula>
    </cfRule>
  </conditionalFormatting>
  <conditionalFormatting sqref="U3">
    <cfRule type="cellIs" dxfId="32" priority="33" stopIfTrue="1" operator="lessThan">
      <formula>0</formula>
    </cfRule>
  </conditionalFormatting>
  <conditionalFormatting sqref="U3">
    <cfRule type="cellIs" dxfId="31" priority="32" stopIfTrue="1" operator="lessThan">
      <formula>0</formula>
    </cfRule>
  </conditionalFormatting>
  <conditionalFormatting sqref="I3">
    <cfRule type="cellIs" dxfId="30" priority="31" stopIfTrue="1" operator="lessThan">
      <formula>0</formula>
    </cfRule>
  </conditionalFormatting>
  <conditionalFormatting sqref="O3">
    <cfRule type="cellIs" dxfId="29" priority="30" stopIfTrue="1" operator="lessThan">
      <formula>0</formula>
    </cfRule>
  </conditionalFormatting>
  <conditionalFormatting sqref="AA3">
    <cfRule type="cellIs" dxfId="28" priority="29" stopIfTrue="1" operator="lessThan">
      <formula>0</formula>
    </cfRule>
  </conditionalFormatting>
  <conditionalFormatting sqref="I3">
    <cfRule type="cellIs" dxfId="27" priority="28" stopIfTrue="1" operator="lessThan">
      <formula>0</formula>
    </cfRule>
  </conditionalFormatting>
  <conditionalFormatting sqref="O3">
    <cfRule type="cellIs" dxfId="26" priority="27" stopIfTrue="1" operator="lessThan">
      <formula>0</formula>
    </cfRule>
  </conditionalFormatting>
  <conditionalFormatting sqref="U3">
    <cfRule type="cellIs" dxfId="25" priority="26" stopIfTrue="1" operator="lessThan">
      <formula>0</formula>
    </cfRule>
  </conditionalFormatting>
  <conditionalFormatting sqref="U3">
    <cfRule type="cellIs" dxfId="24" priority="25" stopIfTrue="1" operator="lessThan">
      <formula>0</formula>
    </cfRule>
  </conditionalFormatting>
  <conditionalFormatting sqref="I3">
    <cfRule type="cellIs" dxfId="23" priority="24" stopIfTrue="1" operator="lessThan">
      <formula>0</formula>
    </cfRule>
  </conditionalFormatting>
  <conditionalFormatting sqref="O3">
    <cfRule type="cellIs" dxfId="22" priority="23" stopIfTrue="1" operator="lessThan">
      <formula>0</formula>
    </cfRule>
  </conditionalFormatting>
  <conditionalFormatting sqref="I3">
    <cfRule type="cellIs" dxfId="21" priority="22" stopIfTrue="1" operator="lessThan">
      <formula>0</formula>
    </cfRule>
  </conditionalFormatting>
  <conditionalFormatting sqref="O3">
    <cfRule type="cellIs" dxfId="20" priority="21" stopIfTrue="1" operator="lessThan">
      <formula>0</formula>
    </cfRule>
  </conditionalFormatting>
  <conditionalFormatting sqref="O3">
    <cfRule type="cellIs" dxfId="19" priority="20" stopIfTrue="1" operator="lessThan">
      <formula>0</formula>
    </cfRule>
  </conditionalFormatting>
  <conditionalFormatting sqref="I3">
    <cfRule type="cellIs" dxfId="18" priority="19" stopIfTrue="1" operator="lessThan">
      <formula>0</formula>
    </cfRule>
  </conditionalFormatting>
  <conditionalFormatting sqref="AA3">
    <cfRule type="cellIs" dxfId="17" priority="18" stopIfTrue="1" operator="lessThan">
      <formula>0</formula>
    </cfRule>
  </conditionalFormatting>
  <conditionalFormatting sqref="I3">
    <cfRule type="cellIs" dxfId="16" priority="17" stopIfTrue="1" operator="lessThan">
      <formula>0</formula>
    </cfRule>
  </conditionalFormatting>
  <conditionalFormatting sqref="O3">
    <cfRule type="cellIs" dxfId="15" priority="16" stopIfTrue="1" operator="lessThan">
      <formula>0</formula>
    </cfRule>
  </conditionalFormatting>
  <conditionalFormatting sqref="U3">
    <cfRule type="cellIs" dxfId="14" priority="15" stopIfTrue="1" operator="lessThan">
      <formula>0</formula>
    </cfRule>
  </conditionalFormatting>
  <conditionalFormatting sqref="U3">
    <cfRule type="cellIs" dxfId="13" priority="14" stopIfTrue="1" operator="lessThan">
      <formula>0</formula>
    </cfRule>
  </conditionalFormatting>
  <conditionalFormatting sqref="I3">
    <cfRule type="cellIs" dxfId="12" priority="13" stopIfTrue="1" operator="lessThan">
      <formula>0</formula>
    </cfRule>
  </conditionalFormatting>
  <conditionalFormatting sqref="O3">
    <cfRule type="cellIs" dxfId="11" priority="12" stopIfTrue="1" operator="lessThan">
      <formula>0</formula>
    </cfRule>
  </conditionalFormatting>
  <conditionalFormatting sqref="I3">
    <cfRule type="cellIs" dxfId="10" priority="11" stopIfTrue="1" operator="lessThan">
      <formula>0</formula>
    </cfRule>
  </conditionalFormatting>
  <conditionalFormatting sqref="O3">
    <cfRule type="cellIs" dxfId="9" priority="10" stopIfTrue="1" operator="lessThan">
      <formula>0</formula>
    </cfRule>
  </conditionalFormatting>
  <conditionalFormatting sqref="O3">
    <cfRule type="cellIs" dxfId="8" priority="9" stopIfTrue="1" operator="lessThan">
      <formula>0</formula>
    </cfRule>
  </conditionalFormatting>
  <conditionalFormatting sqref="I3">
    <cfRule type="cellIs" dxfId="7" priority="8" stopIfTrue="1" operator="lessThan">
      <formula>0</formula>
    </cfRule>
  </conditionalFormatting>
  <conditionalFormatting sqref="U3">
    <cfRule type="cellIs" dxfId="6" priority="7" stopIfTrue="1" operator="lessThan">
      <formula>0</formula>
    </cfRule>
  </conditionalFormatting>
  <conditionalFormatting sqref="I3">
    <cfRule type="cellIs" dxfId="5" priority="6" stopIfTrue="1" operator="lessThan">
      <formula>0</formula>
    </cfRule>
  </conditionalFormatting>
  <conditionalFormatting sqref="O3">
    <cfRule type="cellIs" dxfId="4" priority="5" stopIfTrue="1" operator="lessThan">
      <formula>0</formula>
    </cfRule>
  </conditionalFormatting>
  <conditionalFormatting sqref="O3">
    <cfRule type="cellIs" dxfId="3" priority="4" stopIfTrue="1" operator="lessThan">
      <formula>0</formula>
    </cfRule>
  </conditionalFormatting>
  <conditionalFormatting sqref="I3">
    <cfRule type="cellIs" dxfId="2" priority="3" stopIfTrue="1" operator="lessThan">
      <formula>0</formula>
    </cfRule>
  </conditionalFormatting>
  <conditionalFormatting sqref="I3">
    <cfRule type="cellIs" dxfId="1" priority="2" stopIfTrue="1" operator="lessThan">
      <formula>0</formula>
    </cfRule>
  </conditionalFormatting>
  <conditionalFormatting sqref="I3">
    <cfRule type="cellIs" dxfId="0" priority="1" stopIfTrue="1" operator="lessThan">
      <formula>0</formula>
    </cfRule>
  </conditionalFormatting>
  <pageMargins left="0.7" right="0.7" top="0.75" bottom="0.75" header="0.3" footer="0.3"/>
  <pageSetup paperSize="9" scale="1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widyastuti.s</dc:creator>
  <cp:lastModifiedBy>Meyta A. R.</cp:lastModifiedBy>
  <cp:lastPrinted>2018-10-02T03:46:45Z</cp:lastPrinted>
  <dcterms:created xsi:type="dcterms:W3CDTF">2012-04-17T08:35:51Z</dcterms:created>
  <dcterms:modified xsi:type="dcterms:W3CDTF">2026-02-25T04:10:11Z</dcterms:modified>
</cp:coreProperties>
</file>