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PPC\PPC Department\BC SAI\SR\MASSPRO\2026\4. APR\"/>
    </mc:Choice>
  </mc:AlternateContent>
  <bookViews>
    <workbookView xWindow="0" yWindow="0" windowWidth="21600" windowHeight="8910" tabRatio="607" activeTab="1"/>
  </bookViews>
  <sheets>
    <sheet name="PO" sheetId="8" r:id="rId1"/>
    <sheet name="List Order" sheetId="2" r:id="rId2"/>
    <sheet name="Sheet2" sheetId="11" state="hidden" r:id="rId3"/>
    <sheet name="QTY PACKING" sheetId="9" state="hidden" r:id="rId4"/>
    <sheet name="Sheet1" sheetId="10" state="hidden" r:id="rId5"/>
  </sheets>
  <definedNames>
    <definedName name="_xlnm._FilterDatabase" localSheetId="1" hidden="1">'List Order'!$A$11:$BK$124</definedName>
    <definedName name="_xlnm._FilterDatabase" localSheetId="3" hidden="1">'QTY PACKING'!$A$2:$E$60</definedName>
    <definedName name="_xlnm.Print_Area" localSheetId="1">'List Order'!$A$1:$BH$126</definedName>
    <definedName name="_xlnm.Print_Area" localSheetId="0">PO!$A$1:$AI$55</definedName>
    <definedName name="_xlnm.Print_Titles" localSheetId="1">'List Order'!$A:$C,'List Order'!$1:$11</definedName>
  </definedNames>
  <calcPr calcId="162913"/>
</workbook>
</file>

<file path=xl/calcChain.xml><?xml version="1.0" encoding="utf-8"?>
<calcChain xmlns="http://schemas.openxmlformats.org/spreadsheetml/2006/main">
  <c r="D2" i="2" l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C2" i="2"/>
  <c r="AE1" i="2" l="1"/>
  <c r="Y55" i="2"/>
  <c r="Y49" i="2"/>
  <c r="Y51" i="2"/>
  <c r="E58" i="9" l="1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3" i="9"/>
  <c r="D3" i="9"/>
  <c r="Y119" i="2"/>
  <c r="Y89" i="2"/>
  <c r="Y57" i="2"/>
  <c r="Y21" i="2"/>
  <c r="X37" i="2"/>
  <c r="X41" i="2"/>
  <c r="X65" i="2"/>
  <c r="X45" i="2"/>
  <c r="X83" i="2"/>
  <c r="Y31" i="2"/>
  <c r="X31" i="2"/>
  <c r="Y29" i="2"/>
  <c r="X29" i="2"/>
  <c r="D59" i="9" l="1"/>
  <c r="D60" i="9" s="1"/>
  <c r="E59" i="9"/>
  <c r="E60" i="9" s="1"/>
  <c r="BG1" i="2" l="1"/>
  <c r="BE123" i="2" l="1"/>
  <c r="BE121" i="2"/>
  <c r="BE119" i="2"/>
  <c r="BE117" i="2"/>
  <c r="BE115" i="2"/>
  <c r="BE113" i="2"/>
  <c r="BE111" i="2"/>
  <c r="BE109" i="2"/>
  <c r="BE107" i="2"/>
  <c r="BE105" i="2"/>
  <c r="BE103" i="2"/>
  <c r="BE101" i="2"/>
  <c r="BE99" i="2"/>
  <c r="BE97" i="2"/>
  <c r="BE95" i="2"/>
  <c r="BE93" i="2"/>
  <c r="BE91" i="2"/>
  <c r="BE89" i="2"/>
  <c r="BE87" i="2"/>
  <c r="BE85" i="2"/>
  <c r="BE83" i="2"/>
  <c r="BE81" i="2"/>
  <c r="BE79" i="2"/>
  <c r="BE77" i="2"/>
  <c r="BE75" i="2"/>
  <c r="BE73" i="2"/>
  <c r="BE71" i="2"/>
  <c r="BE69" i="2"/>
  <c r="BE67" i="2"/>
  <c r="BE65" i="2"/>
  <c r="BE63" i="2"/>
  <c r="BE61" i="2"/>
  <c r="BE59" i="2"/>
  <c r="BE57" i="2"/>
  <c r="BE55" i="2"/>
  <c r="BE53" i="2"/>
  <c r="BE51" i="2"/>
  <c r="BE49" i="2"/>
  <c r="BE47" i="2"/>
  <c r="BE45" i="2"/>
  <c r="BE43" i="2"/>
  <c r="BE41" i="2"/>
  <c r="BE39" i="2"/>
  <c r="BE37" i="2"/>
  <c r="BE35" i="2"/>
  <c r="BE33" i="2"/>
  <c r="BE31" i="2"/>
  <c r="BE29" i="2"/>
  <c r="BE27" i="2"/>
  <c r="BE25" i="2"/>
  <c r="BE23" i="2"/>
  <c r="BE21" i="2"/>
  <c r="BE19" i="2"/>
  <c r="BE17" i="2"/>
  <c r="BE15" i="2"/>
  <c r="BE13" i="2"/>
  <c r="AR10" i="2"/>
  <c r="AS10" i="2" s="1"/>
  <c r="AU10" i="2" s="1"/>
  <c r="AW10" i="2" s="1"/>
  <c r="AY10" i="2" s="1"/>
  <c r="AQ10" i="2"/>
  <c r="AR9" i="2"/>
  <c r="AT9" i="2" s="1"/>
  <c r="AV9" i="2" s="1"/>
  <c r="AX9" i="2" s="1"/>
  <c r="AQ9" i="2"/>
  <c r="AQ126" i="2"/>
  <c r="AP126" i="2"/>
  <c r="AS126" i="2"/>
  <c r="AR126" i="2"/>
  <c r="AU126" i="2"/>
  <c r="AT126" i="2"/>
  <c r="AW126" i="2"/>
  <c r="AV126" i="2"/>
  <c r="AY126" i="2"/>
  <c r="AX126" i="2"/>
  <c r="AT10" i="2" l="1"/>
  <c r="AV10" i="2" s="1"/>
  <c r="AX10" i="2" s="1"/>
  <c r="AS9" i="2"/>
  <c r="AU9" i="2" s="1"/>
  <c r="AW9" i="2" s="1"/>
  <c r="AY9" i="2" s="1"/>
  <c r="U119" i="2" l="1"/>
  <c r="U95" i="2"/>
  <c r="U89" i="2"/>
  <c r="T121" i="2" l="1"/>
  <c r="T119" i="2"/>
  <c r="T57" i="2"/>
  <c r="T49" i="2"/>
  <c r="BE126" i="2"/>
  <c r="AZ126" i="2"/>
  <c r="V126" i="2"/>
  <c r="U126" i="2"/>
  <c r="S126" i="2"/>
  <c r="R126" i="2"/>
  <c r="Q126" i="2"/>
  <c r="X126" i="2"/>
  <c r="T126" i="2" l="1"/>
  <c r="W126" i="2" l="1"/>
  <c r="Y126" i="2" l="1"/>
  <c r="Z126" i="2" l="1"/>
  <c r="P39" i="2" l="1"/>
  <c r="P37" i="2"/>
  <c r="P35" i="2"/>
  <c r="P95" i="2"/>
  <c r="P55" i="2"/>
  <c r="P49" i="2"/>
  <c r="P43" i="2"/>
  <c r="P83" i="2"/>
  <c r="P31" i="2"/>
  <c r="P29" i="2"/>
  <c r="P21" i="2"/>
  <c r="BD109" i="2" l="1"/>
  <c r="BD107" i="2"/>
  <c r="BD105" i="2"/>
  <c r="BD103" i="2"/>
  <c r="BD101" i="2"/>
  <c r="BD23" i="2"/>
  <c r="D124" i="2" l="1"/>
  <c r="D122" i="2"/>
  <c r="D120" i="2"/>
  <c r="D118" i="2"/>
  <c r="D116" i="2"/>
  <c r="D114" i="2"/>
  <c r="D112" i="2"/>
  <c r="D110" i="2"/>
  <c r="D108" i="2"/>
  <c r="D106" i="2"/>
  <c r="D104" i="2"/>
  <c r="D102" i="2"/>
  <c r="D100" i="2"/>
  <c r="D98" i="2"/>
  <c r="D96" i="2"/>
  <c r="D94" i="2"/>
  <c r="D92" i="2"/>
  <c r="D90" i="2"/>
  <c r="D88" i="2"/>
  <c r="D86" i="2"/>
  <c r="D84" i="2"/>
  <c r="D82" i="2"/>
  <c r="D80" i="2"/>
  <c r="D78" i="2"/>
  <c r="D76" i="2"/>
  <c r="D74" i="2"/>
  <c r="D72" i="2"/>
  <c r="D70" i="2"/>
  <c r="D68" i="2"/>
  <c r="D66" i="2"/>
  <c r="D64" i="2"/>
  <c r="D62" i="2"/>
  <c r="D60" i="2"/>
  <c r="D58" i="2"/>
  <c r="D56" i="2"/>
  <c r="D54" i="2"/>
  <c r="D52" i="2"/>
  <c r="D50" i="2"/>
  <c r="D48" i="2"/>
  <c r="D46" i="2"/>
  <c r="D44" i="2"/>
  <c r="D42" i="2"/>
  <c r="D40" i="2"/>
  <c r="D38" i="2"/>
  <c r="D36" i="2"/>
  <c r="D34" i="2"/>
  <c r="D32" i="2"/>
  <c r="D30" i="2"/>
  <c r="D28" i="2"/>
  <c r="D26" i="2"/>
  <c r="D24" i="2"/>
  <c r="D22" i="2"/>
  <c r="D20" i="2"/>
  <c r="D18" i="2"/>
  <c r="D16" i="2"/>
  <c r="D14" i="2"/>
  <c r="BC109" i="2" l="1"/>
  <c r="BC107" i="2"/>
  <c r="BC105" i="2"/>
  <c r="BC103" i="2"/>
  <c r="BC101" i="2"/>
  <c r="BC23" i="2"/>
  <c r="H115" i="2" l="1"/>
  <c r="H113" i="2"/>
  <c r="H31" i="2"/>
  <c r="H29" i="2"/>
  <c r="H27" i="2"/>
  <c r="F14" i="2" l="1"/>
  <c r="G14" i="2" s="1"/>
  <c r="H14" i="2" s="1"/>
  <c r="I14" i="2" s="1"/>
  <c r="J14" i="2" s="1"/>
  <c r="BB109" i="2"/>
  <c r="BB107" i="2"/>
  <c r="BB105" i="2"/>
  <c r="BB103" i="2"/>
  <c r="BB101" i="2"/>
  <c r="BB23" i="2"/>
  <c r="F122" i="2"/>
  <c r="G122" i="2" s="1"/>
  <c r="H122" i="2" s="1"/>
  <c r="I122" i="2" s="1"/>
  <c r="J122" i="2" s="1"/>
  <c r="BA23" i="2"/>
  <c r="BA101" i="2"/>
  <c r="BA103" i="2"/>
  <c r="BA105" i="2"/>
  <c r="BA107" i="2"/>
  <c r="BA109" i="2"/>
  <c r="J126" i="2"/>
  <c r="I126" i="2"/>
  <c r="H126" i="2"/>
  <c r="G126" i="2"/>
  <c r="F126" i="2"/>
  <c r="E126" i="2"/>
  <c r="A15" i="2"/>
  <c r="A17" i="2" s="1"/>
  <c r="A19" i="2" s="1"/>
  <c r="V11" i="8"/>
  <c r="A21" i="2" l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K14" i="2"/>
  <c r="F82" i="2"/>
  <c r="G82" i="2" s="1"/>
  <c r="H82" i="2" s="1"/>
  <c r="I82" i="2" s="1"/>
  <c r="J82" i="2" s="1"/>
  <c r="F94" i="2"/>
  <c r="G94" i="2" s="1"/>
  <c r="H94" i="2" s="1"/>
  <c r="I94" i="2" s="1"/>
  <c r="J94" i="2" s="1"/>
  <c r="F66" i="2"/>
  <c r="G66" i="2" s="1"/>
  <c r="H66" i="2" s="1"/>
  <c r="I66" i="2" s="1"/>
  <c r="J66" i="2" s="1"/>
  <c r="F20" i="2"/>
  <c r="G20" i="2" s="1"/>
  <c r="H20" i="2" s="1"/>
  <c r="I20" i="2" s="1"/>
  <c r="J20" i="2" s="1"/>
  <c r="K20" i="2" s="1"/>
  <c r="F34" i="2"/>
  <c r="G34" i="2" s="1"/>
  <c r="H34" i="2" s="1"/>
  <c r="I34" i="2" s="1"/>
  <c r="J34" i="2" s="1"/>
  <c r="F44" i="2"/>
  <c r="G44" i="2" s="1"/>
  <c r="H44" i="2" s="1"/>
  <c r="I44" i="2" s="1"/>
  <c r="J44" i="2" s="1"/>
  <c r="F88" i="2"/>
  <c r="G88" i="2" s="1"/>
  <c r="H88" i="2" s="1"/>
  <c r="I88" i="2" s="1"/>
  <c r="J88" i="2" s="1"/>
  <c r="K88" i="2" s="1"/>
  <c r="F120" i="2"/>
  <c r="G120" i="2" s="1"/>
  <c r="H120" i="2" s="1"/>
  <c r="I120" i="2" s="1"/>
  <c r="J120" i="2" s="1"/>
  <c r="F56" i="2"/>
  <c r="G56" i="2" s="1"/>
  <c r="H56" i="2" s="1"/>
  <c r="I56" i="2" s="1"/>
  <c r="J56" i="2" s="1"/>
  <c r="F26" i="2"/>
  <c r="G26" i="2" s="1"/>
  <c r="H26" i="2" s="1"/>
  <c r="I26" i="2" s="1"/>
  <c r="J26" i="2" s="1"/>
  <c r="F98" i="2"/>
  <c r="G98" i="2" s="1"/>
  <c r="H98" i="2" s="1"/>
  <c r="I98" i="2" s="1"/>
  <c r="J98" i="2" s="1"/>
  <c r="F18" i="2"/>
  <c r="G18" i="2" s="1"/>
  <c r="H18" i="2" s="1"/>
  <c r="I18" i="2" s="1"/>
  <c r="J18" i="2" s="1"/>
  <c r="F24" i="2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F52" i="2"/>
  <c r="G52" i="2" s="1"/>
  <c r="H52" i="2" s="1"/>
  <c r="I52" i="2" s="1"/>
  <c r="J52" i="2" s="1"/>
  <c r="F64" i="2"/>
  <c r="G64" i="2" s="1"/>
  <c r="H64" i="2" s="1"/>
  <c r="I64" i="2" s="1"/>
  <c r="J64" i="2" s="1"/>
  <c r="F70" i="2"/>
  <c r="G70" i="2" s="1"/>
  <c r="H70" i="2" s="1"/>
  <c r="I70" i="2" s="1"/>
  <c r="J70" i="2" s="1"/>
  <c r="F58" i="2"/>
  <c r="G58" i="2" s="1"/>
  <c r="H58" i="2" s="1"/>
  <c r="I58" i="2" s="1"/>
  <c r="J58" i="2" s="1"/>
  <c r="F86" i="2"/>
  <c r="G86" i="2" s="1"/>
  <c r="H86" i="2" s="1"/>
  <c r="I86" i="2" s="1"/>
  <c r="J86" i="2" s="1"/>
  <c r="F114" i="2"/>
  <c r="G114" i="2" s="1"/>
  <c r="H114" i="2" s="1"/>
  <c r="I114" i="2" s="1"/>
  <c r="J114" i="2" s="1"/>
  <c r="F74" i="2"/>
  <c r="G74" i="2" s="1"/>
  <c r="H74" i="2" s="1"/>
  <c r="I74" i="2" s="1"/>
  <c r="J74" i="2" s="1"/>
  <c r="F72" i="2"/>
  <c r="G72" i="2" s="1"/>
  <c r="H72" i="2" s="1"/>
  <c r="I72" i="2" s="1"/>
  <c r="J72" i="2" s="1"/>
  <c r="F40" i="2"/>
  <c r="G40" i="2" s="1"/>
  <c r="H40" i="2" s="1"/>
  <c r="I40" i="2" s="1"/>
  <c r="J40" i="2" s="1"/>
  <c r="F80" i="2"/>
  <c r="G80" i="2" s="1"/>
  <c r="H80" i="2" s="1"/>
  <c r="I80" i="2" s="1"/>
  <c r="J80" i="2" s="1"/>
  <c r="F102" i="2"/>
  <c r="G102" i="2" s="1"/>
  <c r="H102" i="2" s="1"/>
  <c r="I102" i="2" s="1"/>
  <c r="J102" i="2" s="1"/>
  <c r="K102" i="2" s="1"/>
  <c r="L102" i="2" s="1"/>
  <c r="M102" i="2" s="1"/>
  <c r="N102" i="2" s="1"/>
  <c r="O102" i="2" s="1"/>
  <c r="P102" i="2" s="1"/>
  <c r="F124" i="2"/>
  <c r="G124" i="2" s="1"/>
  <c r="H124" i="2" s="1"/>
  <c r="I124" i="2" s="1"/>
  <c r="J124" i="2" s="1"/>
  <c r="K124" i="2" s="1"/>
  <c r="F78" i="2"/>
  <c r="G78" i="2" s="1"/>
  <c r="H78" i="2" s="1"/>
  <c r="I78" i="2" s="1"/>
  <c r="J78" i="2" s="1"/>
  <c r="F116" i="2"/>
  <c r="G116" i="2" s="1"/>
  <c r="H116" i="2" s="1"/>
  <c r="I116" i="2" s="1"/>
  <c r="J116" i="2" s="1"/>
  <c r="F110" i="2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F108" i="2"/>
  <c r="G108" i="2" s="1"/>
  <c r="H108" i="2" s="1"/>
  <c r="I108" i="2" s="1"/>
  <c r="J108" i="2" s="1"/>
  <c r="K108" i="2" s="1"/>
  <c r="L108" i="2" s="1"/>
  <c r="M108" i="2" s="1"/>
  <c r="N108" i="2" s="1"/>
  <c r="O108" i="2" s="1"/>
  <c r="P108" i="2" s="1"/>
  <c r="A59" i="2" l="1"/>
  <c r="A61" i="2" s="1"/>
  <c r="A63" i="2" s="1"/>
  <c r="A65" i="2" s="1"/>
  <c r="A67" i="2" s="1"/>
  <c r="A69" i="2" s="1"/>
  <c r="A71" i="2" s="1"/>
  <c r="A73" i="2" s="1"/>
  <c r="Q108" i="2"/>
  <c r="R108" i="2" s="1"/>
  <c r="S108" i="2" s="1"/>
  <c r="T108" i="2" s="1"/>
  <c r="U108" i="2" s="1"/>
  <c r="V108" i="2" s="1"/>
  <c r="W108" i="2" s="1"/>
  <c r="X108" i="2" s="1"/>
  <c r="Y108" i="2" s="1"/>
  <c r="Z108" i="2" s="1"/>
  <c r="AA108" i="2" s="1"/>
  <c r="AB108" i="2" s="1"/>
  <c r="AC108" i="2" s="1"/>
  <c r="AD108" i="2" s="1"/>
  <c r="AE108" i="2" s="1"/>
  <c r="Q24" i="2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Q110" i="2"/>
  <c r="R110" i="2" s="1"/>
  <c r="S110" i="2" s="1"/>
  <c r="T110" i="2" s="1"/>
  <c r="U110" i="2" s="1"/>
  <c r="V110" i="2" s="1"/>
  <c r="W110" i="2" s="1"/>
  <c r="X110" i="2" s="1"/>
  <c r="Y110" i="2" s="1"/>
  <c r="Z110" i="2" s="1"/>
  <c r="AA110" i="2" s="1"/>
  <c r="AB110" i="2" s="1"/>
  <c r="AC110" i="2" s="1"/>
  <c r="AD110" i="2" s="1"/>
  <c r="AE110" i="2" s="1"/>
  <c r="Q102" i="2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K120" i="2"/>
  <c r="K116" i="2"/>
  <c r="K94" i="2"/>
  <c r="K40" i="2"/>
  <c r="K78" i="2"/>
  <c r="K44" i="2"/>
  <c r="L44" i="2" s="1"/>
  <c r="K66" i="2"/>
  <c r="K64" i="2"/>
  <c r="K80" i="2"/>
  <c r="K34" i="2"/>
  <c r="K18" i="2"/>
  <c r="K86" i="2"/>
  <c r="L124" i="2"/>
  <c r="K58" i="2"/>
  <c r="K98" i="2"/>
  <c r="K72" i="2"/>
  <c r="K70" i="2"/>
  <c r="K122" i="2"/>
  <c r="K82" i="2"/>
  <c r="K114" i="2"/>
  <c r="K56" i="2"/>
  <c r="K26" i="2"/>
  <c r="K74" i="2"/>
  <c r="K52" i="2"/>
  <c r="K126" i="2"/>
  <c r="F50" i="2"/>
  <c r="G50" i="2" s="1"/>
  <c r="H50" i="2" s="1"/>
  <c r="I50" i="2" s="1"/>
  <c r="J50" i="2" s="1"/>
  <c r="K50" i="2" s="1"/>
  <c r="F46" i="2"/>
  <c r="G46" i="2" s="1"/>
  <c r="H46" i="2" s="1"/>
  <c r="I46" i="2" s="1"/>
  <c r="J46" i="2" s="1"/>
  <c r="K46" i="2" s="1"/>
  <c r="F76" i="2"/>
  <c r="G76" i="2" s="1"/>
  <c r="H76" i="2" s="1"/>
  <c r="I76" i="2" s="1"/>
  <c r="J76" i="2" s="1"/>
  <c r="K76" i="2" s="1"/>
  <c r="F36" i="2"/>
  <c r="G36" i="2" s="1"/>
  <c r="H36" i="2" s="1"/>
  <c r="I36" i="2" s="1"/>
  <c r="J36" i="2" s="1"/>
  <c r="K36" i="2" s="1"/>
  <c r="F106" i="2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F104" i="2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F54" i="2"/>
  <c r="G54" i="2" s="1"/>
  <c r="H54" i="2" s="1"/>
  <c r="I54" i="2" s="1"/>
  <c r="J54" i="2" s="1"/>
  <c r="K54" i="2" s="1"/>
  <c r="F96" i="2"/>
  <c r="G96" i="2" s="1"/>
  <c r="H96" i="2" s="1"/>
  <c r="I96" i="2" s="1"/>
  <c r="J96" i="2" s="1"/>
  <c r="K96" i="2" s="1"/>
  <c r="F90" i="2"/>
  <c r="G90" i="2" s="1"/>
  <c r="H90" i="2" s="1"/>
  <c r="I90" i="2" s="1"/>
  <c r="J90" i="2" s="1"/>
  <c r="K90" i="2" s="1"/>
  <c r="F92" i="2"/>
  <c r="G92" i="2" s="1"/>
  <c r="H92" i="2" s="1"/>
  <c r="I92" i="2" s="1"/>
  <c r="J92" i="2" s="1"/>
  <c r="K92" i="2" s="1"/>
  <c r="F112" i="2"/>
  <c r="G112" i="2" s="1"/>
  <c r="H112" i="2" s="1"/>
  <c r="I112" i="2" s="1"/>
  <c r="J112" i="2" s="1"/>
  <c r="K112" i="2" s="1"/>
  <c r="F118" i="2"/>
  <c r="G118" i="2" s="1"/>
  <c r="H118" i="2" s="1"/>
  <c r="I118" i="2" s="1"/>
  <c r="J118" i="2" s="1"/>
  <c r="K118" i="2" s="1"/>
  <c r="F62" i="2"/>
  <c r="G62" i="2" s="1"/>
  <c r="H62" i="2" s="1"/>
  <c r="I62" i="2" s="1"/>
  <c r="J62" i="2" s="1"/>
  <c r="K62" i="2" s="1"/>
  <c r="BA102" i="2"/>
  <c r="BB102" i="2" s="1"/>
  <c r="BC102" i="2" s="1"/>
  <c r="BD102" i="2" s="1"/>
  <c r="BE102" i="2" s="1"/>
  <c r="BF102" i="2" s="1"/>
  <c r="BG102" i="2" s="1"/>
  <c r="BA24" i="2"/>
  <c r="BB24" i="2" s="1"/>
  <c r="BC24" i="2" s="1"/>
  <c r="BD24" i="2" s="1"/>
  <c r="BE24" i="2" s="1"/>
  <c r="BF24" i="2" s="1"/>
  <c r="BG24" i="2" s="1"/>
  <c r="F38" i="2"/>
  <c r="G38" i="2" s="1"/>
  <c r="H38" i="2" s="1"/>
  <c r="I38" i="2" s="1"/>
  <c r="J38" i="2" s="1"/>
  <c r="K38" i="2" s="1"/>
  <c r="F28" i="2"/>
  <c r="G28" i="2" s="1"/>
  <c r="H28" i="2" s="1"/>
  <c r="I28" i="2" s="1"/>
  <c r="J28" i="2" s="1"/>
  <c r="K28" i="2" s="1"/>
  <c r="F32" i="2"/>
  <c r="G32" i="2" s="1"/>
  <c r="H32" i="2" s="1"/>
  <c r="I32" i="2" s="1"/>
  <c r="J32" i="2" s="1"/>
  <c r="K32" i="2" s="1"/>
  <c r="F16" i="2"/>
  <c r="G16" i="2" s="1"/>
  <c r="H16" i="2" s="1"/>
  <c r="I16" i="2" s="1"/>
  <c r="J16" i="2" s="1"/>
  <c r="K16" i="2" s="1"/>
  <c r="F84" i="2"/>
  <c r="G84" i="2" s="1"/>
  <c r="H84" i="2" s="1"/>
  <c r="I84" i="2" s="1"/>
  <c r="J84" i="2" s="1"/>
  <c r="K84" i="2" s="1"/>
  <c r="F42" i="2"/>
  <c r="G42" i="2" s="1"/>
  <c r="H42" i="2" s="1"/>
  <c r="I42" i="2" s="1"/>
  <c r="J42" i="2" s="1"/>
  <c r="K42" i="2" s="1"/>
  <c r="F60" i="2"/>
  <c r="G60" i="2" s="1"/>
  <c r="H60" i="2" s="1"/>
  <c r="I60" i="2" s="1"/>
  <c r="J60" i="2" s="1"/>
  <c r="K60" i="2" s="1"/>
  <c r="BA108" i="2"/>
  <c r="BB108" i="2" s="1"/>
  <c r="BC108" i="2" s="1"/>
  <c r="BD108" i="2" s="1"/>
  <c r="BE108" i="2" s="1"/>
  <c r="BF108" i="2" s="1"/>
  <c r="BG108" i="2" s="1"/>
  <c r="F100" i="2"/>
  <c r="G100" i="2" s="1"/>
  <c r="H100" i="2" s="1"/>
  <c r="I100" i="2" s="1"/>
  <c r="J100" i="2" s="1"/>
  <c r="K100" i="2" s="1"/>
  <c r="BA110" i="2"/>
  <c r="BB110" i="2" s="1"/>
  <c r="BC110" i="2" s="1"/>
  <c r="BD110" i="2" s="1"/>
  <c r="BE110" i="2" s="1"/>
  <c r="BF110" i="2" s="1"/>
  <c r="BG110" i="2" s="1"/>
  <c r="F48" i="2"/>
  <c r="G48" i="2" s="1"/>
  <c r="H48" i="2" s="1"/>
  <c r="I48" i="2" s="1"/>
  <c r="J48" i="2" s="1"/>
  <c r="K48" i="2" s="1"/>
  <c r="F22" i="2"/>
  <c r="G22" i="2" s="1"/>
  <c r="H22" i="2" s="1"/>
  <c r="I22" i="2" s="1"/>
  <c r="J22" i="2" s="1"/>
  <c r="K22" i="2" s="1"/>
  <c r="F30" i="2"/>
  <c r="G30" i="2" s="1"/>
  <c r="H30" i="2" s="1"/>
  <c r="I30" i="2" s="1"/>
  <c r="J30" i="2" s="1"/>
  <c r="K30" i="2" s="1"/>
  <c r="F68" i="2"/>
  <c r="G68" i="2" s="1"/>
  <c r="H68" i="2" s="1"/>
  <c r="I68" i="2" s="1"/>
  <c r="J68" i="2" s="1"/>
  <c r="K68" i="2" s="1"/>
  <c r="A75" i="2" l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F102" i="2"/>
  <c r="AG102" i="2" s="1"/>
  <c r="AF110" i="2"/>
  <c r="AG110" i="2" s="1"/>
  <c r="AF24" i="2"/>
  <c r="AG24" i="2" s="1"/>
  <c r="AF108" i="2"/>
  <c r="AG108" i="2" s="1"/>
  <c r="Q106" i="2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Q104" i="2"/>
  <c r="R104" i="2" s="1"/>
  <c r="S104" i="2" s="1"/>
  <c r="T104" i="2" s="1"/>
  <c r="U104" i="2" s="1"/>
  <c r="V104" i="2" s="1"/>
  <c r="L120" i="2"/>
  <c r="L40" i="2"/>
  <c r="L72" i="2"/>
  <c r="M72" i="2" s="1"/>
  <c r="L96" i="2"/>
  <c r="L34" i="2"/>
  <c r="L114" i="2"/>
  <c r="L80" i="2"/>
  <c r="L88" i="2"/>
  <c r="L94" i="2"/>
  <c r="L58" i="2"/>
  <c r="L116" i="2"/>
  <c r="L76" i="2"/>
  <c r="L30" i="2"/>
  <c r="L48" i="2"/>
  <c r="L86" i="2"/>
  <c r="L56" i="2"/>
  <c r="L54" i="2"/>
  <c r="L50" i="2"/>
  <c r="L118" i="2"/>
  <c r="L66" i="2"/>
  <c r="L98" i="2"/>
  <c r="L122" i="2"/>
  <c r="L112" i="2"/>
  <c r="L100" i="2"/>
  <c r="L62" i="2"/>
  <c r="L84" i="2"/>
  <c r="L78" i="2"/>
  <c r="L92" i="2"/>
  <c r="L68" i="2"/>
  <c r="L90" i="2"/>
  <c r="L74" i="2"/>
  <c r="L82" i="2"/>
  <c r="L60" i="2"/>
  <c r="L26" i="2"/>
  <c r="L64" i="2"/>
  <c r="L38" i="2"/>
  <c r="L36" i="2"/>
  <c r="L70" i="2"/>
  <c r="L16" i="2"/>
  <c r="L46" i="2"/>
  <c r="L20" i="2"/>
  <c r="L32" i="2"/>
  <c r="L18" i="2"/>
  <c r="L22" i="2"/>
  <c r="L52" i="2"/>
  <c r="L126" i="2"/>
  <c r="L42" i="2"/>
  <c r="M44" i="2"/>
  <c r="L28" i="2"/>
  <c r="L14" i="2"/>
  <c r="BA106" i="2"/>
  <c r="BB106" i="2" s="1"/>
  <c r="BC106" i="2" s="1"/>
  <c r="BD106" i="2" s="1"/>
  <c r="BE106" i="2" s="1"/>
  <c r="BF106" i="2" s="1"/>
  <c r="BG106" i="2" s="1"/>
  <c r="AH24" i="2" l="1"/>
  <c r="AI24" i="2" s="1"/>
  <c r="AP24" i="2"/>
  <c r="AQ24" i="2" s="1"/>
  <c r="AH108" i="2"/>
  <c r="AI108" i="2" s="1"/>
  <c r="AP108" i="2"/>
  <c r="AQ108" i="2" s="1"/>
  <c r="AH110" i="2"/>
  <c r="AI110" i="2" s="1"/>
  <c r="AP110" i="2"/>
  <c r="AQ110" i="2" s="1"/>
  <c r="AH102" i="2"/>
  <c r="AI102" i="2" s="1"/>
  <c r="AP102" i="2"/>
  <c r="AQ102" i="2" s="1"/>
  <c r="AF106" i="2"/>
  <c r="AG106" i="2" s="1"/>
  <c r="BA104" i="2"/>
  <c r="BB104" i="2" s="1"/>
  <c r="BC104" i="2" s="1"/>
  <c r="BD104" i="2" s="1"/>
  <c r="BE104" i="2" s="1"/>
  <c r="BF104" i="2" s="1"/>
  <c r="BG104" i="2" s="1"/>
  <c r="W104" i="2"/>
  <c r="X104" i="2" s="1"/>
  <c r="Y104" i="2" s="1"/>
  <c r="Z104" i="2" s="1"/>
  <c r="AA104" i="2" s="1"/>
  <c r="AB104" i="2" s="1"/>
  <c r="AC104" i="2" s="1"/>
  <c r="AD104" i="2" s="1"/>
  <c r="AE104" i="2" s="1"/>
  <c r="M96" i="2"/>
  <c r="M114" i="2"/>
  <c r="M34" i="2"/>
  <c r="M48" i="2"/>
  <c r="M76" i="2"/>
  <c r="M100" i="2"/>
  <c r="M94" i="2"/>
  <c r="M112" i="2"/>
  <c r="M82" i="2"/>
  <c r="M92" i="2"/>
  <c r="M66" i="2"/>
  <c r="M56" i="2"/>
  <c r="M74" i="2"/>
  <c r="M118" i="2"/>
  <c r="M90" i="2"/>
  <c r="M68" i="2"/>
  <c r="M116" i="2"/>
  <c r="M84" i="2"/>
  <c r="M120" i="2"/>
  <c r="M122" i="2"/>
  <c r="M124" i="2"/>
  <c r="M64" i="2"/>
  <c r="M88" i="2"/>
  <c r="M78" i="2"/>
  <c r="M80" i="2"/>
  <c r="M38" i="2"/>
  <c r="M98" i="2"/>
  <c r="M86" i="2"/>
  <c r="N72" i="2"/>
  <c r="M26" i="2"/>
  <c r="M52" i="2"/>
  <c r="M70" i="2"/>
  <c r="M60" i="2"/>
  <c r="M54" i="2"/>
  <c r="M18" i="2"/>
  <c r="M62" i="2"/>
  <c r="M58" i="2"/>
  <c r="M28" i="2"/>
  <c r="M36" i="2"/>
  <c r="M22" i="2"/>
  <c r="M32" i="2"/>
  <c r="M46" i="2"/>
  <c r="N44" i="2"/>
  <c r="M42" i="2"/>
  <c r="M20" i="2"/>
  <c r="M50" i="2"/>
  <c r="M16" i="2"/>
  <c r="M30" i="2"/>
  <c r="M40" i="2"/>
  <c r="M126" i="2"/>
  <c r="M14" i="2"/>
  <c r="AH106" i="2" l="1"/>
  <c r="AI106" i="2" s="1"/>
  <c r="AP106" i="2"/>
  <c r="AQ106" i="2" s="1"/>
  <c r="AJ102" i="2"/>
  <c r="AK102" i="2" s="1"/>
  <c r="AR102" i="2"/>
  <c r="AS102" i="2" s="1"/>
  <c r="AJ110" i="2"/>
  <c r="AK110" i="2" s="1"/>
  <c r="AR110" i="2"/>
  <c r="AS110" i="2" s="1"/>
  <c r="AJ108" i="2"/>
  <c r="AK108" i="2" s="1"/>
  <c r="AR108" i="2"/>
  <c r="AS108" i="2" s="1"/>
  <c r="AJ24" i="2"/>
  <c r="AK24" i="2" s="1"/>
  <c r="AR24" i="2"/>
  <c r="AS24" i="2" s="1"/>
  <c r="AF104" i="2"/>
  <c r="AG104" i="2" s="1"/>
  <c r="N96" i="2"/>
  <c r="N48" i="2"/>
  <c r="N114" i="2"/>
  <c r="N34" i="2"/>
  <c r="N112" i="2"/>
  <c r="N84" i="2"/>
  <c r="N92" i="2"/>
  <c r="N76" i="2"/>
  <c r="N94" i="2"/>
  <c r="N100" i="2"/>
  <c r="N74" i="2"/>
  <c r="N66" i="2"/>
  <c r="N98" i="2"/>
  <c r="N118" i="2"/>
  <c r="N54" i="2"/>
  <c r="N38" i="2"/>
  <c r="N58" i="2"/>
  <c r="N14" i="2"/>
  <c r="N122" i="2"/>
  <c r="N120" i="2"/>
  <c r="N124" i="2"/>
  <c r="N116" i="2"/>
  <c r="N78" i="2"/>
  <c r="N86" i="2"/>
  <c r="N68" i="2"/>
  <c r="N88" i="2"/>
  <c r="N20" i="2"/>
  <c r="N90" i="2"/>
  <c r="N60" i="2"/>
  <c r="N82" i="2"/>
  <c r="N18" i="2"/>
  <c r="N80" i="2"/>
  <c r="N26" i="2"/>
  <c r="N36" i="2"/>
  <c r="N56" i="2"/>
  <c r="N70" i="2"/>
  <c r="N40" i="2"/>
  <c r="N64" i="2"/>
  <c r="N126" i="2"/>
  <c r="N30" i="2"/>
  <c r="N46" i="2"/>
  <c r="N62" i="2"/>
  <c r="N16" i="2"/>
  <c r="N50" i="2"/>
  <c r="O44" i="2"/>
  <c r="N52" i="2"/>
  <c r="N32" i="2"/>
  <c r="N42" i="2"/>
  <c r="N28" i="2"/>
  <c r="N22" i="2"/>
  <c r="AL24" i="2" l="1"/>
  <c r="AM24" i="2" s="1"/>
  <c r="AT24" i="2"/>
  <c r="AU24" i="2" s="1"/>
  <c r="AL108" i="2"/>
  <c r="AM108" i="2" s="1"/>
  <c r="AT108" i="2"/>
  <c r="AU108" i="2" s="1"/>
  <c r="AH104" i="2"/>
  <c r="AI104" i="2" s="1"/>
  <c r="AP104" i="2"/>
  <c r="AQ104" i="2" s="1"/>
  <c r="AL110" i="2"/>
  <c r="AM110" i="2" s="1"/>
  <c r="AT110" i="2"/>
  <c r="AU110" i="2" s="1"/>
  <c r="AL102" i="2"/>
  <c r="AM102" i="2" s="1"/>
  <c r="AT102" i="2"/>
  <c r="AU102" i="2" s="1"/>
  <c r="AJ106" i="2"/>
  <c r="AK106" i="2" s="1"/>
  <c r="AR106" i="2"/>
  <c r="AS106" i="2" s="1"/>
  <c r="O112" i="2"/>
  <c r="P112" i="2" s="1"/>
  <c r="Q112" i="2" s="1"/>
  <c r="R112" i="2" s="1"/>
  <c r="S112" i="2" s="1"/>
  <c r="T112" i="2" s="1"/>
  <c r="O96" i="2"/>
  <c r="O36" i="2"/>
  <c r="P36" i="2" s="1"/>
  <c r="Q36" i="2" s="1"/>
  <c r="R36" i="2" s="1"/>
  <c r="S36" i="2" s="1"/>
  <c r="T36" i="2" s="1"/>
  <c r="O114" i="2"/>
  <c r="O48" i="2"/>
  <c r="O20" i="2"/>
  <c r="O34" i="2"/>
  <c r="O38" i="2"/>
  <c r="O66" i="2"/>
  <c r="O122" i="2"/>
  <c r="O80" i="2"/>
  <c r="O68" i="2"/>
  <c r="O90" i="2"/>
  <c r="O74" i="2"/>
  <c r="O54" i="2"/>
  <c r="O124" i="2"/>
  <c r="O116" i="2"/>
  <c r="O86" i="2"/>
  <c r="O78" i="2"/>
  <c r="O40" i="2"/>
  <c r="O50" i="2"/>
  <c r="O70" i="2"/>
  <c r="O120" i="2"/>
  <c r="O16" i="2"/>
  <c r="O64" i="2"/>
  <c r="O118" i="2"/>
  <c r="O82" i="2"/>
  <c r="O100" i="2"/>
  <c r="O98" i="2"/>
  <c r="O94" i="2"/>
  <c r="O22" i="2"/>
  <c r="O60" i="2"/>
  <c r="O84" i="2"/>
  <c r="O76" i="2"/>
  <c r="O92" i="2"/>
  <c r="O88" i="2"/>
  <c r="O52" i="2"/>
  <c r="O26" i="2"/>
  <c r="O56" i="2"/>
  <c r="O72" i="2"/>
  <c r="O58" i="2"/>
  <c r="O62" i="2"/>
  <c r="O126" i="2"/>
  <c r="P44" i="2"/>
  <c r="Q44" i="2" s="1"/>
  <c r="R44" i="2" s="1"/>
  <c r="S44" i="2" s="1"/>
  <c r="T44" i="2" s="1"/>
  <c r="O30" i="2"/>
  <c r="O28" i="2"/>
  <c r="O42" i="2"/>
  <c r="O46" i="2"/>
  <c r="O18" i="2"/>
  <c r="O32" i="2"/>
  <c r="O14" i="2"/>
  <c r="AN110" i="2" l="1"/>
  <c r="AO110" i="2" s="1"/>
  <c r="AX110" i="2" s="1"/>
  <c r="AY110" i="2" s="1"/>
  <c r="AV110" i="2"/>
  <c r="AW110" i="2" s="1"/>
  <c r="AL106" i="2"/>
  <c r="AM106" i="2" s="1"/>
  <c r="AT106" i="2"/>
  <c r="AU106" i="2" s="1"/>
  <c r="AN102" i="2"/>
  <c r="AO102" i="2" s="1"/>
  <c r="AX102" i="2" s="1"/>
  <c r="AY102" i="2" s="1"/>
  <c r="AV102" i="2"/>
  <c r="AW102" i="2" s="1"/>
  <c r="AJ104" i="2"/>
  <c r="AK104" i="2" s="1"/>
  <c r="AR104" i="2"/>
  <c r="AS104" i="2" s="1"/>
  <c r="AN108" i="2"/>
  <c r="AO108" i="2" s="1"/>
  <c r="AX108" i="2" s="1"/>
  <c r="AY108" i="2" s="1"/>
  <c r="AV108" i="2"/>
  <c r="AW108" i="2" s="1"/>
  <c r="AN24" i="2"/>
  <c r="AO24" i="2" s="1"/>
  <c r="AX24" i="2" s="1"/>
  <c r="AY24" i="2" s="1"/>
  <c r="AV24" i="2"/>
  <c r="AW24" i="2" s="1"/>
  <c r="P96" i="2"/>
  <c r="Q96" i="2" s="1"/>
  <c r="R96" i="2" s="1"/>
  <c r="S96" i="2" s="1"/>
  <c r="T96" i="2" s="1"/>
  <c r="P114" i="2"/>
  <c r="Q114" i="2" s="1"/>
  <c r="R114" i="2" s="1"/>
  <c r="S114" i="2" s="1"/>
  <c r="T114" i="2" s="1"/>
  <c r="P48" i="2"/>
  <c r="Q48" i="2" s="1"/>
  <c r="R48" i="2" s="1"/>
  <c r="S48" i="2" s="1"/>
  <c r="T48" i="2" s="1"/>
  <c r="P20" i="2"/>
  <c r="Q20" i="2" s="1"/>
  <c r="R20" i="2" s="1"/>
  <c r="S20" i="2" s="1"/>
  <c r="T20" i="2" s="1"/>
  <c r="P38" i="2"/>
  <c r="Q38" i="2" s="1"/>
  <c r="R38" i="2" s="1"/>
  <c r="S38" i="2" s="1"/>
  <c r="T38" i="2" s="1"/>
  <c r="P34" i="2"/>
  <c r="Q34" i="2" s="1"/>
  <c r="R34" i="2" s="1"/>
  <c r="S34" i="2" s="1"/>
  <c r="T34" i="2" s="1"/>
  <c r="P54" i="2"/>
  <c r="Q54" i="2" s="1"/>
  <c r="R54" i="2" s="1"/>
  <c r="S54" i="2" s="1"/>
  <c r="T54" i="2" s="1"/>
  <c r="P66" i="2"/>
  <c r="Q66" i="2" s="1"/>
  <c r="R66" i="2" s="1"/>
  <c r="S66" i="2" s="1"/>
  <c r="T66" i="2" s="1"/>
  <c r="P80" i="2"/>
  <c r="Q80" i="2" s="1"/>
  <c r="R80" i="2" s="1"/>
  <c r="S80" i="2" s="1"/>
  <c r="T80" i="2" s="1"/>
  <c r="P50" i="2"/>
  <c r="Q50" i="2" s="1"/>
  <c r="R50" i="2" s="1"/>
  <c r="S50" i="2" s="1"/>
  <c r="T50" i="2" s="1"/>
  <c r="P58" i="2"/>
  <c r="Q58" i="2" s="1"/>
  <c r="R58" i="2" s="1"/>
  <c r="S58" i="2" s="1"/>
  <c r="T58" i="2" s="1"/>
  <c r="P68" i="2"/>
  <c r="Q68" i="2" s="1"/>
  <c r="R68" i="2" s="1"/>
  <c r="S68" i="2" s="1"/>
  <c r="T68" i="2" s="1"/>
  <c r="P122" i="2"/>
  <c r="Q122" i="2" s="1"/>
  <c r="R122" i="2" s="1"/>
  <c r="S122" i="2" s="1"/>
  <c r="T122" i="2" s="1"/>
  <c r="P90" i="2"/>
  <c r="Q90" i="2" s="1"/>
  <c r="R90" i="2" s="1"/>
  <c r="S90" i="2" s="1"/>
  <c r="T90" i="2" s="1"/>
  <c r="P74" i="2"/>
  <c r="Q74" i="2" s="1"/>
  <c r="R74" i="2" s="1"/>
  <c r="S74" i="2" s="1"/>
  <c r="T74" i="2" s="1"/>
  <c r="P64" i="2"/>
  <c r="Q64" i="2" s="1"/>
  <c r="R64" i="2" s="1"/>
  <c r="S64" i="2" s="1"/>
  <c r="T64" i="2" s="1"/>
  <c r="P26" i="2"/>
  <c r="Q26" i="2" s="1"/>
  <c r="R26" i="2" s="1"/>
  <c r="S26" i="2" s="1"/>
  <c r="T26" i="2" s="1"/>
  <c r="P86" i="2"/>
  <c r="Q86" i="2" s="1"/>
  <c r="R86" i="2" s="1"/>
  <c r="S86" i="2" s="1"/>
  <c r="T86" i="2" s="1"/>
  <c r="P116" i="2"/>
  <c r="Q116" i="2" s="1"/>
  <c r="R116" i="2" s="1"/>
  <c r="S116" i="2" s="1"/>
  <c r="T116" i="2" s="1"/>
  <c r="P118" i="2"/>
  <c r="Q118" i="2" s="1"/>
  <c r="R118" i="2" s="1"/>
  <c r="S118" i="2" s="1"/>
  <c r="T118" i="2" s="1"/>
  <c r="P98" i="2"/>
  <c r="Q98" i="2" s="1"/>
  <c r="R98" i="2" s="1"/>
  <c r="S98" i="2" s="1"/>
  <c r="T98" i="2" s="1"/>
  <c r="P52" i="2"/>
  <c r="Q52" i="2" s="1"/>
  <c r="R52" i="2" s="1"/>
  <c r="S52" i="2" s="1"/>
  <c r="T52" i="2" s="1"/>
  <c r="P124" i="2"/>
  <c r="Q124" i="2" s="1"/>
  <c r="R124" i="2" s="1"/>
  <c r="S124" i="2" s="1"/>
  <c r="T124" i="2" s="1"/>
  <c r="P42" i="2"/>
  <c r="Q42" i="2" s="1"/>
  <c r="R42" i="2" s="1"/>
  <c r="S42" i="2" s="1"/>
  <c r="T42" i="2" s="1"/>
  <c r="P16" i="2"/>
  <c r="Q16" i="2" s="1"/>
  <c r="R16" i="2" s="1"/>
  <c r="S16" i="2" s="1"/>
  <c r="T16" i="2" s="1"/>
  <c r="P40" i="2"/>
  <c r="Q40" i="2" s="1"/>
  <c r="R40" i="2" s="1"/>
  <c r="S40" i="2" s="1"/>
  <c r="T40" i="2" s="1"/>
  <c r="P70" i="2"/>
  <c r="Q70" i="2" s="1"/>
  <c r="R70" i="2" s="1"/>
  <c r="S70" i="2" s="1"/>
  <c r="T70" i="2" s="1"/>
  <c r="P92" i="2"/>
  <c r="Q92" i="2" s="1"/>
  <c r="R92" i="2" s="1"/>
  <c r="S92" i="2" s="1"/>
  <c r="T92" i="2" s="1"/>
  <c r="P76" i="2"/>
  <c r="Q76" i="2" s="1"/>
  <c r="R76" i="2" s="1"/>
  <c r="S76" i="2" s="1"/>
  <c r="T76" i="2" s="1"/>
  <c r="P30" i="2"/>
  <c r="Q30" i="2" s="1"/>
  <c r="R30" i="2" s="1"/>
  <c r="S30" i="2" s="1"/>
  <c r="T30" i="2" s="1"/>
  <c r="P82" i="2"/>
  <c r="Q82" i="2" s="1"/>
  <c r="R82" i="2" s="1"/>
  <c r="S82" i="2" s="1"/>
  <c r="T82" i="2" s="1"/>
  <c r="P120" i="2"/>
  <c r="Q120" i="2" s="1"/>
  <c r="R120" i="2" s="1"/>
  <c r="S120" i="2" s="1"/>
  <c r="T120" i="2" s="1"/>
  <c r="P78" i="2"/>
  <c r="Q78" i="2" s="1"/>
  <c r="R78" i="2" s="1"/>
  <c r="S78" i="2" s="1"/>
  <c r="T78" i="2" s="1"/>
  <c r="P88" i="2"/>
  <c r="Q88" i="2" s="1"/>
  <c r="R88" i="2" s="1"/>
  <c r="S88" i="2" s="1"/>
  <c r="T88" i="2" s="1"/>
  <c r="P100" i="2"/>
  <c r="Q100" i="2" s="1"/>
  <c r="R100" i="2" s="1"/>
  <c r="S100" i="2" s="1"/>
  <c r="T100" i="2" s="1"/>
  <c r="P84" i="2"/>
  <c r="Q84" i="2" s="1"/>
  <c r="R84" i="2" s="1"/>
  <c r="S84" i="2" s="1"/>
  <c r="T84" i="2" s="1"/>
  <c r="P62" i="2"/>
  <c r="Q62" i="2" s="1"/>
  <c r="R62" i="2" s="1"/>
  <c r="S62" i="2" s="1"/>
  <c r="T62" i="2" s="1"/>
  <c r="P94" i="2"/>
  <c r="Q94" i="2" s="1"/>
  <c r="R94" i="2" s="1"/>
  <c r="S94" i="2" s="1"/>
  <c r="T94" i="2" s="1"/>
  <c r="P46" i="2"/>
  <c r="Q46" i="2" s="1"/>
  <c r="R46" i="2" s="1"/>
  <c r="S46" i="2" s="1"/>
  <c r="T46" i="2" s="1"/>
  <c r="P56" i="2"/>
  <c r="Q56" i="2" s="1"/>
  <c r="R56" i="2" s="1"/>
  <c r="S56" i="2" s="1"/>
  <c r="T56" i="2" s="1"/>
  <c r="P60" i="2"/>
  <c r="Q60" i="2" s="1"/>
  <c r="R60" i="2" s="1"/>
  <c r="S60" i="2" s="1"/>
  <c r="T60" i="2" s="1"/>
  <c r="P32" i="2"/>
  <c r="Q32" i="2" s="1"/>
  <c r="R32" i="2" s="1"/>
  <c r="S32" i="2" s="1"/>
  <c r="T32" i="2" s="1"/>
  <c r="P18" i="2"/>
  <c r="Q18" i="2" s="1"/>
  <c r="R18" i="2" s="1"/>
  <c r="S18" i="2" s="1"/>
  <c r="T18" i="2" s="1"/>
  <c r="P72" i="2"/>
  <c r="Q72" i="2" s="1"/>
  <c r="R72" i="2" s="1"/>
  <c r="S72" i="2" s="1"/>
  <c r="T72" i="2" s="1"/>
  <c r="P22" i="2"/>
  <c r="Q22" i="2" s="1"/>
  <c r="R22" i="2" s="1"/>
  <c r="S22" i="2" s="1"/>
  <c r="T22" i="2" s="1"/>
  <c r="P28" i="2"/>
  <c r="Q28" i="2" s="1"/>
  <c r="R28" i="2" s="1"/>
  <c r="S28" i="2" s="1"/>
  <c r="T28" i="2" s="1"/>
  <c r="P14" i="2"/>
  <c r="P126" i="2"/>
  <c r="AL104" i="2" l="1"/>
  <c r="AM104" i="2" s="1"/>
  <c r="AT104" i="2"/>
  <c r="AU104" i="2" s="1"/>
  <c r="AN106" i="2"/>
  <c r="AO106" i="2" s="1"/>
  <c r="AX106" i="2" s="1"/>
  <c r="AY106" i="2" s="1"/>
  <c r="AV106" i="2"/>
  <c r="AW106" i="2" s="1"/>
  <c r="Q14" i="2"/>
  <c r="R14" i="2" s="1"/>
  <c r="S14" i="2" s="1"/>
  <c r="T14" i="2" s="1"/>
  <c r="AN104" i="2" l="1"/>
  <c r="AO104" i="2" s="1"/>
  <c r="AX104" i="2" s="1"/>
  <c r="AY104" i="2" s="1"/>
  <c r="AV104" i="2"/>
  <c r="AW104" i="2" s="1"/>
  <c r="BA111" i="2"/>
  <c r="BA99" i="2"/>
  <c r="BA95" i="2"/>
  <c r="BA119" i="2"/>
  <c r="BA113" i="2"/>
  <c r="BA93" i="2"/>
  <c r="BA121" i="2"/>
  <c r="BA115" i="2"/>
  <c r="BA97" i="2"/>
  <c r="BA91" i="2"/>
  <c r="BA89" i="2"/>
  <c r="BA83" i="2"/>
  <c r="BA77" i="2"/>
  <c r="BA87" i="2"/>
  <c r="BA75" i="2"/>
  <c r="BA85" i="2"/>
  <c r="BA79" i="2"/>
  <c r="BA81" i="2"/>
  <c r="BA61" i="2"/>
  <c r="BA73" i="2"/>
  <c r="BA67" i="2"/>
  <c r="BA69" i="2"/>
  <c r="BA63" i="2"/>
  <c r="BA71" i="2"/>
  <c r="BA59" i="2"/>
  <c r="BA53" i="2"/>
  <c r="BA57" i="2"/>
  <c r="BA55" i="2"/>
  <c r="BA43" i="2"/>
  <c r="BA51" i="2"/>
  <c r="BA45" i="2"/>
  <c r="BA49" i="2"/>
  <c r="BA39" i="2"/>
  <c r="BA37" i="2"/>
  <c r="BA47" i="2"/>
  <c r="BA41" i="2"/>
  <c r="BA35" i="2"/>
  <c r="BA33" i="2"/>
  <c r="BA21" i="2"/>
  <c r="BA31" i="2"/>
  <c r="BA25" i="2"/>
  <c r="BA19" i="2"/>
  <c r="BA29" i="2"/>
  <c r="BA17" i="2"/>
  <c r="BA27" i="2"/>
  <c r="BA15" i="2"/>
  <c r="BA123" i="2"/>
  <c r="BA117" i="2"/>
  <c r="BA65" i="2"/>
  <c r="BA13" i="2" l="1"/>
  <c r="BA126" i="2" s="1"/>
  <c r="U94" i="2" l="1"/>
  <c r="U60" i="2"/>
  <c r="U64" i="2"/>
  <c r="U56" i="2"/>
  <c r="U28" i="2"/>
  <c r="U74" i="2"/>
  <c r="U118" i="2"/>
  <c r="U116" i="2"/>
  <c r="U68" i="2"/>
  <c r="U54" i="2"/>
  <c r="U66" i="2"/>
  <c r="U100" i="2"/>
  <c r="U40" i="2"/>
  <c r="U26" i="2"/>
  <c r="U122" i="2"/>
  <c r="U30" i="2"/>
  <c r="U70" i="2"/>
  <c r="U96" i="2"/>
  <c r="U76" i="2"/>
  <c r="U124" i="2"/>
  <c r="U36" i="2"/>
  <c r="U120" i="2"/>
  <c r="U98" i="2"/>
  <c r="U112" i="2"/>
  <c r="U46" i="2"/>
  <c r="U38" i="2"/>
  <c r="U82" i="2"/>
  <c r="U86" i="2"/>
  <c r="U114" i="2"/>
  <c r="U78" i="2"/>
  <c r="U90" i="2"/>
  <c r="U80" i="2"/>
  <c r="U88" i="2"/>
  <c r="U92" i="2"/>
  <c r="U84" i="2"/>
  <c r="U14" i="2"/>
  <c r="U48" i="2"/>
  <c r="U58" i="2"/>
  <c r="U62" i="2"/>
  <c r="U72" i="2"/>
  <c r="U42" i="2"/>
  <c r="U52" i="2"/>
  <c r="U32" i="2"/>
  <c r="U50" i="2"/>
  <c r="U18" i="2"/>
  <c r="U44" i="2"/>
  <c r="U16" i="2"/>
  <c r="U22" i="2"/>
  <c r="U34" i="2"/>
  <c r="V34" i="2" l="1"/>
  <c r="BA34" i="2" s="1"/>
  <c r="V94" i="2"/>
  <c r="BA94" i="2" s="1"/>
  <c r="V60" i="2"/>
  <c r="BA60" i="2" s="1"/>
  <c r="V64" i="2"/>
  <c r="BA64" i="2" s="1"/>
  <c r="V28" i="2"/>
  <c r="BA28" i="2" s="1"/>
  <c r="V56" i="2"/>
  <c r="BA56" i="2" s="1"/>
  <c r="V68" i="2"/>
  <c r="BA68" i="2" s="1"/>
  <c r="V74" i="2"/>
  <c r="BA74" i="2" s="1"/>
  <c r="V116" i="2"/>
  <c r="BA116" i="2" s="1"/>
  <c r="V76" i="2"/>
  <c r="BA76" i="2" s="1"/>
  <c r="V26" i="2"/>
  <c r="BA26" i="2" s="1"/>
  <c r="V96" i="2"/>
  <c r="BA96" i="2" s="1"/>
  <c r="V118" i="2"/>
  <c r="BA118" i="2" s="1"/>
  <c r="V86" i="2"/>
  <c r="BA86" i="2" s="1"/>
  <c r="V122" i="2"/>
  <c r="BA122" i="2" s="1"/>
  <c r="V100" i="2"/>
  <c r="BA100" i="2" s="1"/>
  <c r="V66" i="2"/>
  <c r="BA66" i="2" s="1"/>
  <c r="V124" i="2"/>
  <c r="BA124" i="2" s="1"/>
  <c r="V30" i="2"/>
  <c r="BA30" i="2" s="1"/>
  <c r="V98" i="2"/>
  <c r="BA98" i="2" s="1"/>
  <c r="V46" i="2"/>
  <c r="BA46" i="2" s="1"/>
  <c r="V78" i="2"/>
  <c r="BA78" i="2" s="1"/>
  <c r="V58" i="2"/>
  <c r="BA58" i="2" s="1"/>
  <c r="V114" i="2"/>
  <c r="BA114" i="2" s="1"/>
  <c r="V38" i="2"/>
  <c r="BA38" i="2" s="1"/>
  <c r="V36" i="2"/>
  <c r="BA36" i="2" s="1"/>
  <c r="V80" i="2"/>
  <c r="BA80" i="2" s="1"/>
  <c r="V120" i="2"/>
  <c r="V82" i="2"/>
  <c r="BA82" i="2" s="1"/>
  <c r="V84" i="2"/>
  <c r="V92" i="2"/>
  <c r="V48" i="2"/>
  <c r="BA48" i="2" s="1"/>
  <c r="V44" i="2"/>
  <c r="BA44" i="2" s="1"/>
  <c r="V88" i="2"/>
  <c r="V112" i="2"/>
  <c r="V90" i="2"/>
  <c r="V72" i="2"/>
  <c r="V54" i="2"/>
  <c r="V70" i="2"/>
  <c r="V62" i="2"/>
  <c r="V18" i="2"/>
  <c r="V52" i="2"/>
  <c r="V22" i="2"/>
  <c r="V50" i="2"/>
  <c r="V42" i="2"/>
  <c r="V16" i="2"/>
  <c r="V40" i="2"/>
  <c r="V32" i="2"/>
  <c r="V14" i="2"/>
  <c r="W34" i="2" l="1"/>
  <c r="W60" i="2"/>
  <c r="W74" i="2"/>
  <c r="W96" i="2"/>
  <c r="W46" i="2"/>
  <c r="W116" i="2"/>
  <c r="W28" i="2"/>
  <c r="W76" i="2"/>
  <c r="W26" i="2"/>
  <c r="W86" i="2"/>
  <c r="W38" i="2"/>
  <c r="W122" i="2"/>
  <c r="W58" i="2"/>
  <c r="W100" i="2"/>
  <c r="W114" i="2"/>
  <c r="W124" i="2"/>
  <c r="W30" i="2"/>
  <c r="W66" i="2"/>
  <c r="W82" i="2"/>
  <c r="W48" i="2"/>
  <c r="W120" i="2"/>
  <c r="BA120" i="2"/>
  <c r="W118" i="2"/>
  <c r="W112" i="2"/>
  <c r="BA112" i="2"/>
  <c r="W44" i="2"/>
  <c r="W78" i="2"/>
  <c r="W88" i="2"/>
  <c r="BA88" i="2"/>
  <c r="BA90" i="2"/>
  <c r="W90" i="2"/>
  <c r="W80" i="2"/>
  <c r="BA92" i="2"/>
  <c r="W92" i="2"/>
  <c r="W98" i="2"/>
  <c r="W94" i="2"/>
  <c r="BA84" i="2"/>
  <c r="W84" i="2"/>
  <c r="W56" i="2"/>
  <c r="W72" i="2"/>
  <c r="BA72" i="2"/>
  <c r="W70" i="2"/>
  <c r="BA70" i="2"/>
  <c r="W68" i="2"/>
  <c r="W64" i="2"/>
  <c r="BA54" i="2"/>
  <c r="W54" i="2"/>
  <c r="W62" i="2"/>
  <c r="BA62" i="2"/>
  <c r="W32" i="2"/>
  <c r="BA32" i="2"/>
  <c r="BA22" i="2"/>
  <c r="W22" i="2"/>
  <c r="W18" i="2"/>
  <c r="BA18" i="2"/>
  <c r="W52" i="2"/>
  <c r="BA52" i="2"/>
  <c r="W36" i="2"/>
  <c r="BA40" i="2"/>
  <c r="W40" i="2"/>
  <c r="W16" i="2"/>
  <c r="BA16" i="2"/>
  <c r="W42" i="2"/>
  <c r="BA42" i="2"/>
  <c r="BA50" i="2"/>
  <c r="W50" i="2"/>
  <c r="W14" i="2"/>
  <c r="BA14" i="2"/>
  <c r="X116" i="2" l="1"/>
  <c r="X74" i="2"/>
  <c r="X60" i="2"/>
  <c r="X96" i="2"/>
  <c r="X46" i="2"/>
  <c r="X26" i="2"/>
  <c r="X28" i="2"/>
  <c r="X86" i="2"/>
  <c r="X122" i="2"/>
  <c r="X38" i="2"/>
  <c r="X44" i="2"/>
  <c r="X114" i="2"/>
  <c r="X66" i="2"/>
  <c r="X30" i="2"/>
  <c r="X48" i="2"/>
  <c r="X64" i="2"/>
  <c r="X82" i="2"/>
  <c r="X88" i="2"/>
  <c r="X120" i="2"/>
  <c r="X118" i="2"/>
  <c r="X80" i="2"/>
  <c r="X56" i="2"/>
  <c r="X124" i="2"/>
  <c r="X98" i="2"/>
  <c r="X78" i="2"/>
  <c r="X100" i="2"/>
  <c r="X84" i="2"/>
  <c r="X112" i="2"/>
  <c r="X62" i="2"/>
  <c r="X54" i="2"/>
  <c r="X92" i="2"/>
  <c r="X90" i="2"/>
  <c r="X94" i="2"/>
  <c r="X76" i="2"/>
  <c r="X50" i="2"/>
  <c r="X68" i="2"/>
  <c r="X70" i="2"/>
  <c r="X72" i="2"/>
  <c r="X58" i="2"/>
  <c r="X32" i="2"/>
  <c r="X36" i="2"/>
  <c r="X52" i="2"/>
  <c r="X34" i="2"/>
  <c r="X16" i="2"/>
  <c r="X18" i="2"/>
  <c r="X40" i="2"/>
  <c r="X42" i="2"/>
  <c r="X22" i="2"/>
  <c r="X14" i="2"/>
  <c r="BB117" i="2" l="1"/>
  <c r="BB118" i="2" s="1"/>
  <c r="BB93" i="2"/>
  <c r="BB94" i="2" s="1"/>
  <c r="BB81" i="2"/>
  <c r="BB82" i="2" s="1"/>
  <c r="BB119" i="2"/>
  <c r="BB120" i="2" s="1"/>
  <c r="BB95" i="2"/>
  <c r="BB96" i="2" s="1"/>
  <c r="BB79" i="2"/>
  <c r="BB80" i="2" s="1"/>
  <c r="BB121" i="2"/>
  <c r="BB122" i="2" s="1"/>
  <c r="BB97" i="2"/>
  <c r="BB98" i="2" s="1"/>
  <c r="BB75" i="2"/>
  <c r="BB76" i="2" s="1"/>
  <c r="BB123" i="2"/>
  <c r="BB124" i="2" s="1"/>
  <c r="BB99" i="2"/>
  <c r="BB100" i="2" s="1"/>
  <c r="BB77" i="2"/>
  <c r="BB78" i="2" s="1"/>
  <c r="BB91" i="2"/>
  <c r="BB92" i="2" s="1"/>
  <c r="BB115" i="2"/>
  <c r="BB116" i="2" s="1"/>
  <c r="BB89" i="2"/>
  <c r="BB90" i="2" s="1"/>
  <c r="BB87" i="2"/>
  <c r="BB88" i="2" s="1"/>
  <c r="BB111" i="2"/>
  <c r="BB112" i="2" s="1"/>
  <c r="BB113" i="2"/>
  <c r="BB114" i="2" s="1"/>
  <c r="BB83" i="2"/>
  <c r="BB84" i="2" s="1"/>
  <c r="BB69" i="2"/>
  <c r="BB70" i="2" s="1"/>
  <c r="BB61" i="2"/>
  <c r="BB62" i="2" s="1"/>
  <c r="BB65" i="2"/>
  <c r="BB66" i="2" s="1"/>
  <c r="BB71" i="2"/>
  <c r="BB72" i="2" s="1"/>
  <c r="BB73" i="2"/>
  <c r="BB74" i="2" s="1"/>
  <c r="BB53" i="2"/>
  <c r="BB54" i="2" s="1"/>
  <c r="BB55" i="2"/>
  <c r="BB56" i="2" s="1"/>
  <c r="BB57" i="2"/>
  <c r="BB58" i="2" s="1"/>
  <c r="BB59" i="2"/>
  <c r="BB60" i="2" s="1"/>
  <c r="BB67" i="2"/>
  <c r="BB68" i="2" s="1"/>
  <c r="BB45" i="2"/>
  <c r="BB46" i="2" s="1"/>
  <c r="BB21" i="2"/>
  <c r="BB22" i="2" s="1"/>
  <c r="BB27" i="2"/>
  <c r="BB28" i="2" s="1"/>
  <c r="BB29" i="2"/>
  <c r="BB30" i="2" s="1"/>
  <c r="BB47" i="2"/>
  <c r="BB48" i="2" s="1"/>
  <c r="BB51" i="2"/>
  <c r="BB52" i="2" s="1"/>
  <c r="BB31" i="2"/>
  <c r="BB32" i="2" s="1"/>
  <c r="BB35" i="2"/>
  <c r="BB36" i="2" s="1"/>
  <c r="BB49" i="2"/>
  <c r="BB50" i="2" s="1"/>
  <c r="BB33" i="2"/>
  <c r="BB34" i="2" s="1"/>
  <c r="BB15" i="2"/>
  <c r="BB17" i="2"/>
  <c r="BB18" i="2" s="1"/>
  <c r="BB39" i="2"/>
  <c r="BB40" i="2" s="1"/>
  <c r="BB41" i="2"/>
  <c r="BB42" i="2" s="1"/>
  <c r="BB37" i="2"/>
  <c r="BB38" i="2" s="1"/>
  <c r="Y82" i="2"/>
  <c r="Y60" i="2"/>
  <c r="Y116" i="2"/>
  <c r="Y74" i="2"/>
  <c r="Y28" i="2"/>
  <c r="Y26" i="2"/>
  <c r="Y46" i="2"/>
  <c r="Y38" i="2"/>
  <c r="Y86" i="2"/>
  <c r="Y122" i="2"/>
  <c r="Y30" i="2"/>
  <c r="Y44" i="2"/>
  <c r="Y48" i="2"/>
  <c r="Y66" i="2"/>
  <c r="Y114" i="2"/>
  <c r="Y64" i="2"/>
  <c r="Y94" i="2"/>
  <c r="Y88" i="2"/>
  <c r="Y120" i="2"/>
  <c r="Y62" i="2"/>
  <c r="Y34" i="2"/>
  <c r="Y50" i="2"/>
  <c r="Y76" i="2"/>
  <c r="Y118" i="2"/>
  <c r="Y40" i="2"/>
  <c r="Y90" i="2"/>
  <c r="Y92" i="2"/>
  <c r="Y80" i="2"/>
  <c r="Y56" i="2"/>
  <c r="Y78" i="2"/>
  <c r="Y32" i="2"/>
  <c r="Y58" i="2"/>
  <c r="Y54" i="2"/>
  <c r="Y72" i="2"/>
  <c r="Y112" i="2"/>
  <c r="Y124" i="2"/>
  <c r="Y98" i="2"/>
  <c r="Y84" i="2"/>
  <c r="Y96" i="2"/>
  <c r="Y68" i="2"/>
  <c r="Y100" i="2"/>
  <c r="Y70" i="2"/>
  <c r="Y52" i="2"/>
  <c r="Y36" i="2"/>
  <c r="Y18" i="2"/>
  <c r="Y16" i="2"/>
  <c r="Y22" i="2"/>
  <c r="Y42" i="2"/>
  <c r="Y14" i="2"/>
  <c r="BB16" i="2" l="1"/>
  <c r="Z124" i="2"/>
  <c r="Z120" i="2"/>
  <c r="Z92" i="2"/>
  <c r="Z116" i="2"/>
  <c r="Z114" i="2"/>
  <c r="Z76" i="2"/>
  <c r="Z60" i="2"/>
  <c r="Z80" i="2"/>
  <c r="Z112" i="2"/>
  <c r="Z118" i="2"/>
  <c r="Z68" i="2"/>
  <c r="Z32" i="2"/>
  <c r="Z90" i="2"/>
  <c r="Z34" i="2"/>
  <c r="Z72" i="2"/>
  <c r="Z96" i="2"/>
  <c r="Z50" i="2"/>
  <c r="Z70" i="2"/>
  <c r="Z22" i="2"/>
  <c r="Z56" i="2"/>
  <c r="Z94" i="2"/>
  <c r="Z86" i="2"/>
  <c r="Z100" i="2"/>
  <c r="Z84" i="2"/>
  <c r="Z122" i="2"/>
  <c r="Z58" i="2"/>
  <c r="Z98" i="2"/>
  <c r="Z78" i="2"/>
  <c r="Z88" i="2"/>
  <c r="Z38" i="2"/>
  <c r="Z82" i="2"/>
  <c r="Z62" i="2"/>
  <c r="Z66" i="2"/>
  <c r="Z42" i="2"/>
  <c r="Z74" i="2"/>
  <c r="Z54" i="2"/>
  <c r="Z64" i="2"/>
  <c r="Z28" i="2"/>
  <c r="Z44" i="2"/>
  <c r="Z30" i="2"/>
  <c r="Z16" i="2"/>
  <c r="Z40" i="2"/>
  <c r="Z48" i="2"/>
  <c r="Z46" i="2"/>
  <c r="Z18" i="2"/>
  <c r="Z36" i="2"/>
  <c r="Z52" i="2"/>
  <c r="Z26" i="2"/>
  <c r="Z14" i="2"/>
  <c r="BB85" i="2"/>
  <c r="BB86" i="2" s="1"/>
  <c r="BB43" i="2"/>
  <c r="BB44" i="2" s="1"/>
  <c r="BB63" i="2"/>
  <c r="BB64" i="2" s="1"/>
  <c r="BB25" i="2"/>
  <c r="BB26" i="2" s="1"/>
  <c r="BB14" i="2"/>
  <c r="BB126" i="2" l="1"/>
  <c r="AA126" i="2"/>
  <c r="AA124" i="2"/>
  <c r="AA120" i="2"/>
  <c r="AA116" i="2"/>
  <c r="AA92" i="2"/>
  <c r="AA38" i="2"/>
  <c r="AA90" i="2"/>
  <c r="AA80" i="2"/>
  <c r="AA32" i="2"/>
  <c r="AA66" i="2"/>
  <c r="AA96" i="2"/>
  <c r="AA72" i="2"/>
  <c r="AA50" i="2"/>
  <c r="AA84" i="2"/>
  <c r="AA22" i="2"/>
  <c r="AA56" i="2"/>
  <c r="AA82" i="2"/>
  <c r="AA88" i="2"/>
  <c r="AA78" i="2"/>
  <c r="AA98" i="2"/>
  <c r="AA122" i="2"/>
  <c r="AA118" i="2"/>
  <c r="AA94" i="2"/>
  <c r="AA58" i="2"/>
  <c r="AA76" i="2"/>
  <c r="AA100" i="2"/>
  <c r="AA112" i="2"/>
  <c r="AA86" i="2"/>
  <c r="AA114" i="2"/>
  <c r="AA28" i="2"/>
  <c r="AA54" i="2"/>
  <c r="AA74" i="2"/>
  <c r="AA68" i="2"/>
  <c r="AA60" i="2"/>
  <c r="AA42" i="2"/>
  <c r="AA62" i="2"/>
  <c r="AA64" i="2"/>
  <c r="AA70" i="2"/>
  <c r="AA40" i="2"/>
  <c r="AA44" i="2"/>
  <c r="AA18" i="2"/>
  <c r="AA46" i="2"/>
  <c r="AA34" i="2"/>
  <c r="AA26" i="2"/>
  <c r="AA52" i="2"/>
  <c r="AA16" i="2"/>
  <c r="AA36" i="2"/>
  <c r="AA30" i="2"/>
  <c r="AA48" i="2"/>
  <c r="AA14" i="2"/>
  <c r="AB126" i="2" l="1"/>
  <c r="AB124" i="2"/>
  <c r="AB120" i="2"/>
  <c r="AB80" i="2"/>
  <c r="AB92" i="2"/>
  <c r="AB116" i="2"/>
  <c r="AB88" i="2"/>
  <c r="AB90" i="2"/>
  <c r="AB38" i="2"/>
  <c r="AB66" i="2"/>
  <c r="AB32" i="2"/>
  <c r="AB50" i="2"/>
  <c r="AB72" i="2"/>
  <c r="AB96" i="2"/>
  <c r="AB22" i="2"/>
  <c r="AB56" i="2"/>
  <c r="AB82" i="2"/>
  <c r="AB98" i="2"/>
  <c r="AB46" i="2"/>
  <c r="AB94" i="2"/>
  <c r="AB112" i="2"/>
  <c r="AB118" i="2"/>
  <c r="AB122" i="2"/>
  <c r="AB34" i="2"/>
  <c r="AB54" i="2"/>
  <c r="AB84" i="2"/>
  <c r="AB78" i="2"/>
  <c r="AB100" i="2"/>
  <c r="AB42" i="2"/>
  <c r="AB114" i="2"/>
  <c r="AB86" i="2"/>
  <c r="AB76" i="2"/>
  <c r="AB60" i="2"/>
  <c r="AB62" i="2"/>
  <c r="AB74" i="2"/>
  <c r="AB68" i="2"/>
  <c r="AB70" i="2"/>
  <c r="AB64" i="2"/>
  <c r="AB40" i="2"/>
  <c r="AB26" i="2"/>
  <c r="AB14" i="2"/>
  <c r="AB30" i="2"/>
  <c r="AB58" i="2"/>
  <c r="AB48" i="2"/>
  <c r="AB18" i="2"/>
  <c r="AB44" i="2"/>
  <c r="AB36" i="2"/>
  <c r="AB28" i="2"/>
  <c r="AB16" i="2"/>
  <c r="AB52" i="2"/>
  <c r="AC126" i="2" l="1"/>
  <c r="AC120" i="2"/>
  <c r="AC124" i="2"/>
  <c r="AC80" i="2"/>
  <c r="AC116" i="2"/>
  <c r="AC88" i="2"/>
  <c r="AC90" i="2"/>
  <c r="AC72" i="2"/>
  <c r="AC38" i="2"/>
  <c r="AC66" i="2"/>
  <c r="AC50" i="2"/>
  <c r="AC22" i="2"/>
  <c r="AC118" i="2"/>
  <c r="AC56" i="2"/>
  <c r="AC34" i="2"/>
  <c r="AC112" i="2"/>
  <c r="AC42" i="2"/>
  <c r="AC64" i="2"/>
  <c r="AC84" i="2"/>
  <c r="AC92" i="2"/>
  <c r="AC78" i="2"/>
  <c r="AC96" i="2"/>
  <c r="AC86" i="2"/>
  <c r="AC98" i="2"/>
  <c r="AC122" i="2"/>
  <c r="AC76" i="2"/>
  <c r="AC60" i="2"/>
  <c r="AC18" i="2"/>
  <c r="AC114" i="2"/>
  <c r="AC54" i="2"/>
  <c r="AC94" i="2"/>
  <c r="AC14" i="2"/>
  <c r="AC100" i="2"/>
  <c r="AC82" i="2"/>
  <c r="AC68" i="2"/>
  <c r="AC74" i="2"/>
  <c r="AC70" i="2"/>
  <c r="AC62" i="2"/>
  <c r="AC30" i="2"/>
  <c r="AC26" i="2"/>
  <c r="AC58" i="2"/>
  <c r="AC52" i="2"/>
  <c r="AC36" i="2"/>
  <c r="AC16" i="2"/>
  <c r="AC44" i="2"/>
  <c r="AC48" i="2"/>
  <c r="AC40" i="2"/>
  <c r="AC46" i="2"/>
  <c r="AC32" i="2"/>
  <c r="AC28" i="2"/>
  <c r="AD126" i="2" l="1"/>
  <c r="AD80" i="2"/>
  <c r="AD124" i="2"/>
  <c r="AD116" i="2"/>
  <c r="AD66" i="2"/>
  <c r="AD88" i="2"/>
  <c r="AD54" i="2"/>
  <c r="AD90" i="2"/>
  <c r="AD72" i="2"/>
  <c r="AD38" i="2"/>
  <c r="AD112" i="2"/>
  <c r="AD22" i="2"/>
  <c r="AD50" i="2"/>
  <c r="AD62" i="2"/>
  <c r="AD42" i="2"/>
  <c r="AD30" i="2"/>
  <c r="AD74" i="2"/>
  <c r="AD64" i="2"/>
  <c r="AD122" i="2"/>
  <c r="AD78" i="2"/>
  <c r="AD98" i="2"/>
  <c r="AD100" i="2"/>
  <c r="AD76" i="2"/>
  <c r="AD68" i="2"/>
  <c r="AD86" i="2"/>
  <c r="AD92" i="2"/>
  <c r="AD60" i="2"/>
  <c r="AD70" i="2"/>
  <c r="AD114" i="2"/>
  <c r="AD118" i="2"/>
  <c r="AD82" i="2"/>
  <c r="AD96" i="2"/>
  <c r="AD94" i="2"/>
  <c r="AD120" i="2"/>
  <c r="AD14" i="2"/>
  <c r="AD84" i="2"/>
  <c r="AD58" i="2"/>
  <c r="AD52" i="2"/>
  <c r="AD36" i="2"/>
  <c r="AD26" i="2"/>
  <c r="AD40" i="2"/>
  <c r="AD16" i="2"/>
  <c r="AD28" i="2"/>
  <c r="AD48" i="2"/>
  <c r="AD56" i="2"/>
  <c r="AD46" i="2"/>
  <c r="AD18" i="2"/>
  <c r="AD34" i="2"/>
  <c r="AD32" i="2"/>
  <c r="AD44" i="2"/>
  <c r="AF1" i="2"/>
  <c r="AE126" i="2" l="1"/>
  <c r="AE88" i="2"/>
  <c r="AE124" i="2"/>
  <c r="AE90" i="2"/>
  <c r="AE116" i="2"/>
  <c r="AE38" i="2"/>
  <c r="AE54" i="2"/>
  <c r="AE112" i="2"/>
  <c r="AE72" i="2"/>
  <c r="AE14" i="2"/>
  <c r="AE30" i="2"/>
  <c r="AE58" i="2"/>
  <c r="AE50" i="2"/>
  <c r="AE62" i="2"/>
  <c r="AE42" i="2"/>
  <c r="AE74" i="2"/>
  <c r="AE64" i="2"/>
  <c r="AE122" i="2"/>
  <c r="AE78" i="2"/>
  <c r="AE84" i="2"/>
  <c r="AE118" i="2"/>
  <c r="AE68" i="2"/>
  <c r="AE52" i="2"/>
  <c r="AE86" i="2"/>
  <c r="AE114" i="2"/>
  <c r="AE60" i="2"/>
  <c r="AE76" i="2"/>
  <c r="AE92" i="2"/>
  <c r="AE100" i="2"/>
  <c r="AE70" i="2"/>
  <c r="AE82" i="2"/>
  <c r="AE120" i="2"/>
  <c r="AE98" i="2"/>
  <c r="AE96" i="2"/>
  <c r="AE80" i="2"/>
  <c r="AE28" i="2"/>
  <c r="AE94" i="2"/>
  <c r="AE36" i="2"/>
  <c r="AE44" i="2"/>
  <c r="AE66" i="2"/>
  <c r="AE16" i="2"/>
  <c r="AE40" i="2"/>
  <c r="AE56" i="2"/>
  <c r="AE48" i="2"/>
  <c r="AE32" i="2"/>
  <c r="AE34" i="2"/>
  <c r="AE22" i="2"/>
  <c r="AE18" i="2"/>
  <c r="AE26" i="2"/>
  <c r="AE46" i="2"/>
  <c r="AG1" i="2"/>
  <c r="AF88" i="2" l="1"/>
  <c r="AF126" i="2"/>
  <c r="AF124" i="2"/>
  <c r="AF90" i="2"/>
  <c r="AF116" i="2"/>
  <c r="AF54" i="2"/>
  <c r="AF38" i="2"/>
  <c r="AF30" i="2"/>
  <c r="AF112" i="2"/>
  <c r="AF50" i="2"/>
  <c r="AF40" i="2"/>
  <c r="AF72" i="2"/>
  <c r="AF42" i="2"/>
  <c r="AF64" i="2"/>
  <c r="AF60" i="2"/>
  <c r="AF58" i="2"/>
  <c r="AF62" i="2"/>
  <c r="AF122" i="2"/>
  <c r="AF78" i="2"/>
  <c r="AF74" i="2"/>
  <c r="AF52" i="2"/>
  <c r="AF68" i="2"/>
  <c r="AF84" i="2"/>
  <c r="AF114" i="2"/>
  <c r="AF56" i="2"/>
  <c r="AF76" i="2"/>
  <c r="AF70" i="2"/>
  <c r="AF118" i="2"/>
  <c r="AF100" i="2"/>
  <c r="AF28" i="2"/>
  <c r="AF86" i="2"/>
  <c r="AF34" i="2"/>
  <c r="AF92" i="2"/>
  <c r="AF94" i="2"/>
  <c r="AF80" i="2"/>
  <c r="AF82" i="2"/>
  <c r="AF98" i="2"/>
  <c r="AF96" i="2"/>
  <c r="AF120" i="2"/>
  <c r="AF36" i="2"/>
  <c r="AF66" i="2"/>
  <c r="AF44" i="2"/>
  <c r="AF16" i="2"/>
  <c r="AF48" i="2"/>
  <c r="AF46" i="2"/>
  <c r="AF32" i="2"/>
  <c r="AF22" i="2"/>
  <c r="AF26" i="2"/>
  <c r="AF18" i="2"/>
  <c r="AH1" i="2"/>
  <c r="AF14" i="2"/>
  <c r="AG88" i="2" l="1"/>
  <c r="AG126" i="2"/>
  <c r="AG124" i="2"/>
  <c r="AP124" i="2" s="1"/>
  <c r="AQ124" i="2" s="1"/>
  <c r="AG90" i="2"/>
  <c r="AP90" i="2" s="1"/>
  <c r="AQ90" i="2" s="1"/>
  <c r="AG116" i="2"/>
  <c r="AP116" i="2" s="1"/>
  <c r="AQ116" i="2" s="1"/>
  <c r="AG38" i="2"/>
  <c r="AP38" i="2" s="1"/>
  <c r="AQ38" i="2" s="1"/>
  <c r="AG50" i="2"/>
  <c r="AP50" i="2" s="1"/>
  <c r="AQ50" i="2" s="1"/>
  <c r="AG112" i="2"/>
  <c r="AP112" i="2" s="1"/>
  <c r="AQ112" i="2" s="1"/>
  <c r="AG54" i="2"/>
  <c r="AP54" i="2" s="1"/>
  <c r="AQ54" i="2" s="1"/>
  <c r="AG40" i="2"/>
  <c r="AP40" i="2" s="1"/>
  <c r="AQ40" i="2" s="1"/>
  <c r="AG30" i="2"/>
  <c r="AP30" i="2" s="1"/>
  <c r="AQ30" i="2" s="1"/>
  <c r="AG64" i="2"/>
  <c r="AP64" i="2" s="1"/>
  <c r="AQ64" i="2" s="1"/>
  <c r="AG42" i="2"/>
  <c r="AP42" i="2" s="1"/>
  <c r="AQ42" i="2" s="1"/>
  <c r="AG72" i="2"/>
  <c r="AP72" i="2" s="1"/>
  <c r="AQ72" i="2" s="1"/>
  <c r="AG68" i="2"/>
  <c r="AP68" i="2" s="1"/>
  <c r="AQ68" i="2" s="1"/>
  <c r="AG122" i="2"/>
  <c r="AP122" i="2" s="1"/>
  <c r="AQ122" i="2" s="1"/>
  <c r="AG60" i="2"/>
  <c r="AP60" i="2" s="1"/>
  <c r="AQ60" i="2" s="1"/>
  <c r="AG58" i="2"/>
  <c r="AP58" i="2" s="1"/>
  <c r="AQ58" i="2" s="1"/>
  <c r="AG78" i="2"/>
  <c r="AP78" i="2" s="1"/>
  <c r="AQ78" i="2" s="1"/>
  <c r="AG62" i="2"/>
  <c r="AP62" i="2" s="1"/>
  <c r="AQ62" i="2" s="1"/>
  <c r="AG52" i="2"/>
  <c r="AP52" i="2" s="1"/>
  <c r="AQ52" i="2" s="1"/>
  <c r="AG84" i="2"/>
  <c r="AP84" i="2" s="1"/>
  <c r="AQ84" i="2" s="1"/>
  <c r="AG100" i="2"/>
  <c r="AP100" i="2" s="1"/>
  <c r="AQ100" i="2" s="1"/>
  <c r="AG56" i="2"/>
  <c r="AP56" i="2" s="1"/>
  <c r="AQ56" i="2" s="1"/>
  <c r="AG74" i="2"/>
  <c r="AP74" i="2" s="1"/>
  <c r="AQ74" i="2" s="1"/>
  <c r="AG114" i="2"/>
  <c r="AP114" i="2" s="1"/>
  <c r="AQ114" i="2" s="1"/>
  <c r="AG70" i="2"/>
  <c r="AP70" i="2" s="1"/>
  <c r="AQ70" i="2" s="1"/>
  <c r="AG76" i="2"/>
  <c r="AP76" i="2" s="1"/>
  <c r="AQ76" i="2" s="1"/>
  <c r="AG86" i="2"/>
  <c r="AP86" i="2" s="1"/>
  <c r="AQ86" i="2" s="1"/>
  <c r="AG118" i="2"/>
  <c r="AP118" i="2" s="1"/>
  <c r="AQ118" i="2" s="1"/>
  <c r="AG34" i="2"/>
  <c r="AP34" i="2" s="1"/>
  <c r="AQ34" i="2" s="1"/>
  <c r="AG80" i="2"/>
  <c r="AP80" i="2" s="1"/>
  <c r="AQ80" i="2" s="1"/>
  <c r="AG28" i="2"/>
  <c r="AP28" i="2" s="1"/>
  <c r="AQ28" i="2" s="1"/>
  <c r="AG92" i="2"/>
  <c r="AP92" i="2" s="1"/>
  <c r="AQ92" i="2" s="1"/>
  <c r="AG94" i="2"/>
  <c r="AP94" i="2" s="1"/>
  <c r="AQ94" i="2" s="1"/>
  <c r="AG36" i="2"/>
  <c r="AP36" i="2" s="1"/>
  <c r="AQ36" i="2" s="1"/>
  <c r="AG82" i="2"/>
  <c r="AP82" i="2" s="1"/>
  <c r="AQ82" i="2" s="1"/>
  <c r="AG66" i="2"/>
  <c r="AP66" i="2" s="1"/>
  <c r="AQ66" i="2" s="1"/>
  <c r="AG96" i="2"/>
  <c r="AP96" i="2" s="1"/>
  <c r="AQ96" i="2" s="1"/>
  <c r="AG120" i="2"/>
  <c r="AP120" i="2" s="1"/>
  <c r="AQ120" i="2" s="1"/>
  <c r="AG98" i="2"/>
  <c r="AP98" i="2" s="1"/>
  <c r="AQ98" i="2" s="1"/>
  <c r="AG14" i="2"/>
  <c r="AP14" i="2" s="1"/>
  <c r="AQ14" i="2" s="1"/>
  <c r="AG44" i="2"/>
  <c r="AP44" i="2" s="1"/>
  <c r="AQ44" i="2" s="1"/>
  <c r="AG46" i="2"/>
  <c r="AP46" i="2" s="1"/>
  <c r="AQ46" i="2" s="1"/>
  <c r="AG16" i="2"/>
  <c r="AP16" i="2" s="1"/>
  <c r="AQ16" i="2" s="1"/>
  <c r="AG18" i="2"/>
  <c r="AP18" i="2" s="1"/>
  <c r="AQ18" i="2" s="1"/>
  <c r="AG48" i="2"/>
  <c r="AP48" i="2" s="1"/>
  <c r="AQ48" i="2" s="1"/>
  <c r="AG32" i="2"/>
  <c r="AP32" i="2" s="1"/>
  <c r="AQ32" i="2" s="1"/>
  <c r="AG26" i="2"/>
  <c r="AP26" i="2" s="1"/>
  <c r="AQ26" i="2" s="1"/>
  <c r="AG22" i="2"/>
  <c r="AP22" i="2" s="1"/>
  <c r="AQ22" i="2" s="1"/>
  <c r="AI1" i="2"/>
  <c r="AH88" i="2" l="1"/>
  <c r="AP88" i="2"/>
  <c r="AQ88" i="2" s="1"/>
  <c r="BC111" i="2"/>
  <c r="BC112" i="2" s="1"/>
  <c r="BC113" i="2"/>
  <c r="BC114" i="2" s="1"/>
  <c r="BC119" i="2"/>
  <c r="BC120" i="2" s="1"/>
  <c r="BC121" i="2"/>
  <c r="BC122" i="2" s="1"/>
  <c r="BC117" i="2"/>
  <c r="BC118" i="2" s="1"/>
  <c r="BC93" i="2"/>
  <c r="BC94" i="2" s="1"/>
  <c r="BC99" i="2"/>
  <c r="BC100" i="2" s="1"/>
  <c r="BC95" i="2"/>
  <c r="BC96" i="2" s="1"/>
  <c r="AH124" i="2"/>
  <c r="BC73" i="2"/>
  <c r="BC74" i="2" s="1"/>
  <c r="BC75" i="2"/>
  <c r="BC76" i="2" s="1"/>
  <c r="BC61" i="2"/>
  <c r="BC62" i="2" s="1"/>
  <c r="BC71" i="2"/>
  <c r="BC72" i="2" s="1"/>
  <c r="BC83" i="2"/>
  <c r="BC84" i="2" s="1"/>
  <c r="BC59" i="2"/>
  <c r="BC60" i="2" s="1"/>
  <c r="BC69" i="2"/>
  <c r="BC70" i="2" s="1"/>
  <c r="BC65" i="2"/>
  <c r="BC66" i="2" s="1"/>
  <c r="BC79" i="2"/>
  <c r="BC80" i="2" s="1"/>
  <c r="BC55" i="2"/>
  <c r="BC56" i="2" s="1"/>
  <c r="BC85" i="2"/>
  <c r="BC86" i="2" s="1"/>
  <c r="BC81" i="2"/>
  <c r="BC82" i="2" s="1"/>
  <c r="BC63" i="2"/>
  <c r="BC64" i="2" s="1"/>
  <c r="BC77" i="2"/>
  <c r="BC78" i="2" s="1"/>
  <c r="BC67" i="2"/>
  <c r="BC68" i="2" s="1"/>
  <c r="BC57" i="2"/>
  <c r="BC58" i="2" s="1"/>
  <c r="BC41" i="2"/>
  <c r="BC42" i="2" s="1"/>
  <c r="BC51" i="2"/>
  <c r="BC52" i="2" s="1"/>
  <c r="BC39" i="2"/>
  <c r="BC40" i="2" s="1"/>
  <c r="BC53" i="2"/>
  <c r="BC54" i="2" s="1"/>
  <c r="BC49" i="2"/>
  <c r="BC50" i="2" s="1"/>
  <c r="BC35" i="2"/>
  <c r="BC36" i="2" s="1"/>
  <c r="BC45" i="2"/>
  <c r="BC46" i="2" s="1"/>
  <c r="BC47" i="2"/>
  <c r="BC48" i="2" s="1"/>
  <c r="BC43" i="2"/>
  <c r="BC44" i="2" s="1"/>
  <c r="BC21" i="2"/>
  <c r="BC22" i="2" s="1"/>
  <c r="BC29" i="2"/>
  <c r="BC30" i="2" s="1"/>
  <c r="BC31" i="2"/>
  <c r="BC32" i="2" s="1"/>
  <c r="BC17" i="2"/>
  <c r="BC18" i="2" s="1"/>
  <c r="BC33" i="2"/>
  <c r="BC34" i="2" s="1"/>
  <c r="BC19" i="2"/>
  <c r="BC15" i="2"/>
  <c r="BC16" i="2" s="1"/>
  <c r="BC25" i="2"/>
  <c r="BC26" i="2" s="1"/>
  <c r="BC27" i="2"/>
  <c r="BC28" i="2" s="1"/>
  <c r="AH90" i="2"/>
  <c r="AH126" i="2"/>
  <c r="BC97" i="2"/>
  <c r="BC98" i="2" s="1"/>
  <c r="BC87" i="2"/>
  <c r="BC88" i="2" s="1"/>
  <c r="BC91" i="2"/>
  <c r="BC92" i="2" s="1"/>
  <c r="AH116" i="2"/>
  <c r="AH38" i="2"/>
  <c r="AJ1" i="2"/>
  <c r="AH64" i="2"/>
  <c r="AH112" i="2"/>
  <c r="AH50" i="2"/>
  <c r="AH54" i="2"/>
  <c r="AH122" i="2"/>
  <c r="AH40" i="2"/>
  <c r="AH42" i="2"/>
  <c r="AH30" i="2"/>
  <c r="AH72" i="2"/>
  <c r="AH68" i="2"/>
  <c r="AH52" i="2"/>
  <c r="AH60" i="2"/>
  <c r="AH92" i="2"/>
  <c r="AH78" i="2"/>
  <c r="AH58" i="2"/>
  <c r="AH118" i="2"/>
  <c r="AH62" i="2"/>
  <c r="AH48" i="2"/>
  <c r="AH100" i="2"/>
  <c r="AH84" i="2"/>
  <c r="AH70" i="2"/>
  <c r="AH76" i="2"/>
  <c r="AH56" i="2"/>
  <c r="AH114" i="2"/>
  <c r="AH74" i="2"/>
  <c r="AH34" i="2"/>
  <c r="AH80" i="2"/>
  <c r="AH86" i="2"/>
  <c r="AH36" i="2"/>
  <c r="AH28" i="2"/>
  <c r="AH94" i="2"/>
  <c r="AH44" i="2"/>
  <c r="AH66" i="2"/>
  <c r="AH16" i="2"/>
  <c r="AH120" i="2"/>
  <c r="AH96" i="2"/>
  <c r="AH82" i="2"/>
  <c r="AH98" i="2"/>
  <c r="AH18" i="2"/>
  <c r="AH46" i="2"/>
  <c r="AH22" i="2"/>
  <c r="AH26" i="2"/>
  <c r="AH32" i="2"/>
  <c r="AH14" i="2"/>
  <c r="AI124" i="2" l="1"/>
  <c r="AI90" i="2"/>
  <c r="AR90" i="2" s="1"/>
  <c r="AS90" i="2" s="1"/>
  <c r="AI112" i="2"/>
  <c r="AR112" i="2" s="1"/>
  <c r="AS112" i="2" s="1"/>
  <c r="AI126" i="2"/>
  <c r="AI116" i="2"/>
  <c r="AR116" i="2" s="1"/>
  <c r="AS116" i="2" s="1"/>
  <c r="AI16" i="2"/>
  <c r="AR16" i="2" s="1"/>
  <c r="AS16" i="2" s="1"/>
  <c r="AI120" i="2"/>
  <c r="AR120" i="2" s="1"/>
  <c r="AS120" i="2" s="1"/>
  <c r="AI38" i="2"/>
  <c r="AR38" i="2" s="1"/>
  <c r="AS38" i="2" s="1"/>
  <c r="AI88" i="2"/>
  <c r="AR88" i="2" s="1"/>
  <c r="AS88" i="2" s="1"/>
  <c r="AI40" i="2"/>
  <c r="AR40" i="2" s="1"/>
  <c r="AS40" i="2" s="1"/>
  <c r="AI96" i="2"/>
  <c r="AR96" i="2" s="1"/>
  <c r="AS96" i="2" s="1"/>
  <c r="AI78" i="2"/>
  <c r="AR78" i="2" s="1"/>
  <c r="AS78" i="2" s="1"/>
  <c r="AI122" i="2"/>
  <c r="AR122" i="2" s="1"/>
  <c r="AS122" i="2" s="1"/>
  <c r="AI114" i="2"/>
  <c r="AR114" i="2" s="1"/>
  <c r="AS114" i="2" s="1"/>
  <c r="AI100" i="2"/>
  <c r="AR100" i="2" s="1"/>
  <c r="AS100" i="2" s="1"/>
  <c r="AI70" i="2"/>
  <c r="AR70" i="2" s="1"/>
  <c r="AS70" i="2" s="1"/>
  <c r="AI76" i="2"/>
  <c r="AR76" i="2" s="1"/>
  <c r="AS76" i="2" s="1"/>
  <c r="AI60" i="2"/>
  <c r="AR60" i="2" s="1"/>
  <c r="AS60" i="2" s="1"/>
  <c r="AI32" i="2"/>
  <c r="AR32" i="2" s="1"/>
  <c r="AS32" i="2" s="1"/>
  <c r="AI64" i="2"/>
  <c r="AR64" i="2" s="1"/>
  <c r="AS64" i="2" s="1"/>
  <c r="AI56" i="2"/>
  <c r="AR56" i="2" s="1"/>
  <c r="AS56" i="2" s="1"/>
  <c r="AI66" i="2"/>
  <c r="AR66" i="2" s="1"/>
  <c r="AS66" i="2" s="1"/>
  <c r="AI118" i="2"/>
  <c r="AR118" i="2" s="1"/>
  <c r="AS118" i="2" s="1"/>
  <c r="BC89" i="2"/>
  <c r="BC90" i="2" s="1"/>
  <c r="BC123" i="2"/>
  <c r="BC124" i="2" s="1"/>
  <c r="AI74" i="2"/>
  <c r="AR74" i="2" s="1"/>
  <c r="AS74" i="2" s="1"/>
  <c r="AI92" i="2"/>
  <c r="AR92" i="2" s="1"/>
  <c r="AS92" i="2" s="1"/>
  <c r="AI94" i="2"/>
  <c r="AR94" i="2" s="1"/>
  <c r="AS94" i="2" s="1"/>
  <c r="AI48" i="2"/>
  <c r="AR48" i="2" s="1"/>
  <c r="AS48" i="2" s="1"/>
  <c r="AI84" i="2"/>
  <c r="AR84" i="2" s="1"/>
  <c r="AS84" i="2" s="1"/>
  <c r="BC115" i="2"/>
  <c r="BC116" i="2" s="1"/>
  <c r="AI98" i="2"/>
  <c r="AR98" i="2" s="1"/>
  <c r="AS98" i="2" s="1"/>
  <c r="AI62" i="2"/>
  <c r="AR62" i="2" s="1"/>
  <c r="AS62" i="2" s="1"/>
  <c r="AI86" i="2"/>
  <c r="AR86" i="2" s="1"/>
  <c r="AS86" i="2" s="1"/>
  <c r="AI72" i="2"/>
  <c r="AR72" i="2" s="1"/>
  <c r="AS72" i="2" s="1"/>
  <c r="AI80" i="2"/>
  <c r="AR80" i="2" s="1"/>
  <c r="AS80" i="2" s="1"/>
  <c r="AI82" i="2"/>
  <c r="AR82" i="2" s="1"/>
  <c r="AS82" i="2" s="1"/>
  <c r="AI34" i="2"/>
  <c r="AR34" i="2" s="1"/>
  <c r="AS34" i="2" s="1"/>
  <c r="AI18" i="2"/>
  <c r="AR18" i="2" s="1"/>
  <c r="AS18" i="2" s="1"/>
  <c r="AI42" i="2"/>
  <c r="AR42" i="2" s="1"/>
  <c r="AS42" i="2" s="1"/>
  <c r="AI58" i="2"/>
  <c r="AR58" i="2" s="1"/>
  <c r="AS58" i="2" s="1"/>
  <c r="AI44" i="2"/>
  <c r="AR44" i="2" s="1"/>
  <c r="AS44" i="2" s="1"/>
  <c r="AI54" i="2"/>
  <c r="AR54" i="2" s="1"/>
  <c r="AS54" i="2" s="1"/>
  <c r="AI26" i="2"/>
  <c r="AR26" i="2" s="1"/>
  <c r="AS26" i="2" s="1"/>
  <c r="AI28" i="2"/>
  <c r="AR28" i="2" s="1"/>
  <c r="AS28" i="2" s="1"/>
  <c r="AI50" i="2"/>
  <c r="AR50" i="2" s="1"/>
  <c r="AS50" i="2" s="1"/>
  <c r="AI46" i="2"/>
  <c r="AR46" i="2" s="1"/>
  <c r="AS46" i="2" s="1"/>
  <c r="AI68" i="2"/>
  <c r="AR68" i="2" s="1"/>
  <c r="AS68" i="2" s="1"/>
  <c r="AI30" i="2"/>
  <c r="AR30" i="2" s="1"/>
  <c r="AS30" i="2" s="1"/>
  <c r="AI22" i="2"/>
  <c r="AR22" i="2" s="1"/>
  <c r="AS22" i="2" s="1"/>
  <c r="AI52" i="2"/>
  <c r="AR52" i="2" s="1"/>
  <c r="AS52" i="2" s="1"/>
  <c r="AI36" i="2"/>
  <c r="AR36" i="2" s="1"/>
  <c r="AS36" i="2" s="1"/>
  <c r="BC37" i="2"/>
  <c r="BC38" i="2" s="1"/>
  <c r="AK1" i="2"/>
  <c r="BC13" i="2"/>
  <c r="AI14" i="2"/>
  <c r="AR14" i="2" s="1"/>
  <c r="AS14" i="2" s="1"/>
  <c r="AJ124" i="2" l="1"/>
  <c r="AK124" i="2" s="1"/>
  <c r="AT124" i="2" s="1"/>
  <c r="AU124" i="2" s="1"/>
  <c r="AR124" i="2"/>
  <c r="AS124" i="2" s="1"/>
  <c r="AJ112" i="2"/>
  <c r="BC126" i="2"/>
  <c r="AJ126" i="2"/>
  <c r="AJ40" i="2"/>
  <c r="AJ120" i="2"/>
  <c r="AJ96" i="2"/>
  <c r="AJ114" i="2"/>
  <c r="AJ100" i="2"/>
  <c r="AJ70" i="2"/>
  <c r="AJ118" i="2"/>
  <c r="AJ60" i="2"/>
  <c r="AJ64" i="2"/>
  <c r="AJ74" i="2"/>
  <c r="AJ92" i="2"/>
  <c r="AJ72" i="2"/>
  <c r="AJ62" i="2"/>
  <c r="AJ80" i="2"/>
  <c r="AJ14" i="2"/>
  <c r="AJ48" i="2"/>
  <c r="AJ86" i="2"/>
  <c r="AJ30" i="2"/>
  <c r="AJ84" i="2"/>
  <c r="AJ68" i="2"/>
  <c r="AJ42" i="2"/>
  <c r="AJ90" i="2"/>
  <c r="AJ26" i="2"/>
  <c r="AJ94" i="2"/>
  <c r="AJ98" i="2"/>
  <c r="AJ88" i="2"/>
  <c r="AJ82" i="2"/>
  <c r="AJ78" i="2"/>
  <c r="AJ22" i="2"/>
  <c r="AJ122" i="2"/>
  <c r="AJ76" i="2"/>
  <c r="AJ116" i="2"/>
  <c r="AJ56" i="2"/>
  <c r="AJ58" i="2"/>
  <c r="AJ66" i="2"/>
  <c r="AJ54" i="2"/>
  <c r="AJ28" i="2"/>
  <c r="AJ50" i="2"/>
  <c r="AJ36" i="2"/>
  <c r="AJ32" i="2"/>
  <c r="AJ34" i="2"/>
  <c r="AJ18" i="2"/>
  <c r="AJ16" i="2"/>
  <c r="AJ46" i="2"/>
  <c r="AJ44" i="2"/>
  <c r="AJ52" i="2"/>
  <c r="AJ38" i="2"/>
  <c r="AL1" i="2"/>
  <c r="BC14" i="2"/>
  <c r="AK118" i="2" l="1"/>
  <c r="AT118" i="2" s="1"/>
  <c r="AU118" i="2" s="1"/>
  <c r="AL124" i="2"/>
  <c r="AK126" i="2"/>
  <c r="AK74" i="2"/>
  <c r="AT74" i="2" s="1"/>
  <c r="AU74" i="2" s="1"/>
  <c r="AK40" i="2"/>
  <c r="AT40" i="2" s="1"/>
  <c r="AU40" i="2" s="1"/>
  <c r="AK120" i="2"/>
  <c r="AT120" i="2" s="1"/>
  <c r="AU120" i="2" s="1"/>
  <c r="AK114" i="2"/>
  <c r="AT114" i="2" s="1"/>
  <c r="AU114" i="2" s="1"/>
  <c r="AK96" i="2"/>
  <c r="AT96" i="2" s="1"/>
  <c r="AU96" i="2" s="1"/>
  <c r="AK70" i="2"/>
  <c r="AT70" i="2" s="1"/>
  <c r="AU70" i="2" s="1"/>
  <c r="AK62" i="2"/>
  <c r="AT62" i="2" s="1"/>
  <c r="AU62" i="2" s="1"/>
  <c r="AK64" i="2"/>
  <c r="AT64" i="2" s="1"/>
  <c r="AU64" i="2" s="1"/>
  <c r="AK60" i="2"/>
  <c r="AT60" i="2" s="1"/>
  <c r="AU60" i="2" s="1"/>
  <c r="AK100" i="2"/>
  <c r="AT100" i="2" s="1"/>
  <c r="AU100" i="2" s="1"/>
  <c r="AK92" i="2"/>
  <c r="AT92" i="2" s="1"/>
  <c r="AU92" i="2" s="1"/>
  <c r="AK86" i="2"/>
  <c r="AT86" i="2" s="1"/>
  <c r="AU86" i="2" s="1"/>
  <c r="AK72" i="2"/>
  <c r="AT72" i="2" s="1"/>
  <c r="AU72" i="2" s="1"/>
  <c r="AK42" i="2"/>
  <c r="AT42" i="2" s="1"/>
  <c r="AU42" i="2" s="1"/>
  <c r="AK80" i="2"/>
  <c r="AT80" i="2" s="1"/>
  <c r="AU80" i="2" s="1"/>
  <c r="AK48" i="2"/>
  <c r="AT48" i="2" s="1"/>
  <c r="AU48" i="2" s="1"/>
  <c r="AK26" i="2"/>
  <c r="AT26" i="2" s="1"/>
  <c r="AU26" i="2" s="1"/>
  <c r="AK90" i="2"/>
  <c r="AT90" i="2" s="1"/>
  <c r="AU90" i="2" s="1"/>
  <c r="AK82" i="2"/>
  <c r="AT82" i="2" s="1"/>
  <c r="AU82" i="2" s="1"/>
  <c r="AK76" i="2"/>
  <c r="AT76" i="2" s="1"/>
  <c r="AU76" i="2" s="1"/>
  <c r="AK68" i="2"/>
  <c r="AT68" i="2" s="1"/>
  <c r="AU68" i="2" s="1"/>
  <c r="AK46" i="2"/>
  <c r="AT46" i="2" s="1"/>
  <c r="AU46" i="2" s="1"/>
  <c r="AK94" i="2"/>
  <c r="AT94" i="2" s="1"/>
  <c r="AU94" i="2" s="1"/>
  <c r="AK88" i="2"/>
  <c r="AT88" i="2" s="1"/>
  <c r="AU88" i="2" s="1"/>
  <c r="AK116" i="2"/>
  <c r="AT116" i="2" s="1"/>
  <c r="AU116" i="2" s="1"/>
  <c r="AK98" i="2"/>
  <c r="AT98" i="2" s="1"/>
  <c r="AU98" i="2" s="1"/>
  <c r="AK112" i="2"/>
  <c r="AT112" i="2" s="1"/>
  <c r="AU112" i="2" s="1"/>
  <c r="AK78" i="2"/>
  <c r="AT78" i="2" s="1"/>
  <c r="AU78" i="2" s="1"/>
  <c r="AK22" i="2"/>
  <c r="AT22" i="2" s="1"/>
  <c r="AU22" i="2" s="1"/>
  <c r="AK122" i="2"/>
  <c r="AT122" i="2" s="1"/>
  <c r="AU122" i="2" s="1"/>
  <c r="AK84" i="2"/>
  <c r="AT84" i="2" s="1"/>
  <c r="AU84" i="2" s="1"/>
  <c r="AK54" i="2"/>
  <c r="AT54" i="2" s="1"/>
  <c r="AU54" i="2" s="1"/>
  <c r="AK56" i="2"/>
  <c r="AT56" i="2" s="1"/>
  <c r="AU56" i="2" s="1"/>
  <c r="AK58" i="2"/>
  <c r="AT58" i="2" s="1"/>
  <c r="AU58" i="2" s="1"/>
  <c r="AK32" i="2"/>
  <c r="AT32" i="2" s="1"/>
  <c r="AU32" i="2" s="1"/>
  <c r="AK38" i="2"/>
  <c r="AT38" i="2" s="1"/>
  <c r="AU38" i="2" s="1"/>
  <c r="AK66" i="2"/>
  <c r="AT66" i="2" s="1"/>
  <c r="AU66" i="2" s="1"/>
  <c r="AK18" i="2"/>
  <c r="AT18" i="2" s="1"/>
  <c r="AU18" i="2" s="1"/>
  <c r="AK34" i="2"/>
  <c r="AT34" i="2" s="1"/>
  <c r="AU34" i="2" s="1"/>
  <c r="AK36" i="2"/>
  <c r="AT36" i="2" s="1"/>
  <c r="AU36" i="2" s="1"/>
  <c r="AK30" i="2"/>
  <c r="AT30" i="2" s="1"/>
  <c r="AU30" i="2" s="1"/>
  <c r="AK52" i="2"/>
  <c r="AT52" i="2" s="1"/>
  <c r="AU52" i="2" s="1"/>
  <c r="AK50" i="2"/>
  <c r="AT50" i="2" s="1"/>
  <c r="AU50" i="2" s="1"/>
  <c r="AK16" i="2"/>
  <c r="AT16" i="2" s="1"/>
  <c r="AU16" i="2" s="1"/>
  <c r="AK28" i="2"/>
  <c r="AT28" i="2" s="1"/>
  <c r="AU28" i="2" s="1"/>
  <c r="AK44" i="2"/>
  <c r="AT44" i="2" s="1"/>
  <c r="AU44" i="2" s="1"/>
  <c r="AM1" i="2"/>
  <c r="AK14" i="2"/>
  <c r="AT14" i="2" s="1"/>
  <c r="AU14" i="2" s="1"/>
  <c r="U20" i="2"/>
  <c r="V20" i="2" s="1"/>
  <c r="AL118" i="2" l="1"/>
  <c r="AL126" i="2"/>
  <c r="AL100" i="2"/>
  <c r="AL68" i="2"/>
  <c r="AL60" i="2"/>
  <c r="AL62" i="2"/>
  <c r="AL114" i="2"/>
  <c r="AL96" i="2"/>
  <c r="AL42" i="2"/>
  <c r="AL92" i="2"/>
  <c r="AL72" i="2"/>
  <c r="AL76" i="2"/>
  <c r="AL46" i="2"/>
  <c r="AL26" i="2"/>
  <c r="AL80" i="2"/>
  <c r="AL94" i="2"/>
  <c r="AL32" i="2"/>
  <c r="AL38" i="2"/>
  <c r="AL54" i="2"/>
  <c r="AL84" i="2"/>
  <c r="AL28" i="2"/>
  <c r="AL112" i="2"/>
  <c r="AL122" i="2"/>
  <c r="AL98" i="2"/>
  <c r="AL116" i="2"/>
  <c r="AL120" i="2"/>
  <c r="AL78" i="2"/>
  <c r="AL86" i="2"/>
  <c r="AL82" i="2"/>
  <c r="AL88" i="2"/>
  <c r="AL90" i="2"/>
  <c r="AL30" i="2"/>
  <c r="AL70" i="2"/>
  <c r="AL58" i="2"/>
  <c r="AL74" i="2"/>
  <c r="AL56" i="2"/>
  <c r="AL66" i="2"/>
  <c r="AL64" i="2"/>
  <c r="AL36" i="2"/>
  <c r="AL44" i="2"/>
  <c r="AL16" i="2"/>
  <c r="AL40" i="2"/>
  <c r="AL50" i="2"/>
  <c r="AL48" i="2"/>
  <c r="AL34" i="2"/>
  <c r="AL22" i="2"/>
  <c r="AL14" i="2"/>
  <c r="AL52" i="2"/>
  <c r="AL18" i="2"/>
  <c r="AN1" i="2"/>
  <c r="BA20" i="2"/>
  <c r="BB20" i="2" s="1"/>
  <c r="BC20" i="2" s="1"/>
  <c r="W20" i="2"/>
  <c r="X20" i="2" s="1"/>
  <c r="Y20" i="2" s="1"/>
  <c r="Z20" i="2" s="1"/>
  <c r="AA20" i="2" s="1"/>
  <c r="AB20" i="2" s="1"/>
  <c r="AC20" i="2" s="1"/>
  <c r="AD20" i="2" s="1"/>
  <c r="AE20" i="2" s="1"/>
  <c r="AM118" i="2" l="1"/>
  <c r="AM114" i="2"/>
  <c r="AV114" i="2" s="1"/>
  <c r="AW114" i="2" s="1"/>
  <c r="AM68" i="2"/>
  <c r="AV68" i="2" s="1"/>
  <c r="AW68" i="2" s="1"/>
  <c r="AM126" i="2"/>
  <c r="AM62" i="2"/>
  <c r="AV62" i="2" s="1"/>
  <c r="AW62" i="2" s="1"/>
  <c r="AM80" i="2"/>
  <c r="AV80" i="2" s="1"/>
  <c r="AW80" i="2" s="1"/>
  <c r="AM60" i="2"/>
  <c r="AV60" i="2" s="1"/>
  <c r="AW60" i="2" s="1"/>
  <c r="AM92" i="2"/>
  <c r="AV92" i="2" s="1"/>
  <c r="AW92" i="2" s="1"/>
  <c r="AM42" i="2"/>
  <c r="AV42" i="2" s="1"/>
  <c r="AW42" i="2" s="1"/>
  <c r="AM46" i="2"/>
  <c r="AV46" i="2" s="1"/>
  <c r="AW46" i="2" s="1"/>
  <c r="AM96" i="2"/>
  <c r="AV96" i="2" s="1"/>
  <c r="AW96" i="2" s="1"/>
  <c r="AM76" i="2"/>
  <c r="AV76" i="2" s="1"/>
  <c r="AW76" i="2" s="1"/>
  <c r="AM26" i="2"/>
  <c r="AV26" i="2" s="1"/>
  <c r="AW26" i="2" s="1"/>
  <c r="AM72" i="2"/>
  <c r="AV72" i="2" s="1"/>
  <c r="AW72" i="2" s="1"/>
  <c r="AM94" i="2"/>
  <c r="AV94" i="2" s="1"/>
  <c r="AW94" i="2" s="1"/>
  <c r="AM84" i="2"/>
  <c r="AV84" i="2" s="1"/>
  <c r="AW84" i="2" s="1"/>
  <c r="AM32" i="2"/>
  <c r="AV32" i="2" s="1"/>
  <c r="AW32" i="2" s="1"/>
  <c r="AM54" i="2"/>
  <c r="AV54" i="2" s="1"/>
  <c r="AW54" i="2" s="1"/>
  <c r="AM116" i="2"/>
  <c r="AV116" i="2" s="1"/>
  <c r="AW116" i="2" s="1"/>
  <c r="AM98" i="2"/>
  <c r="AV98" i="2" s="1"/>
  <c r="AW98" i="2" s="1"/>
  <c r="AM88" i="2"/>
  <c r="AV88" i="2" s="1"/>
  <c r="AW88" i="2" s="1"/>
  <c r="AM112" i="2"/>
  <c r="AV112" i="2" s="1"/>
  <c r="AW112" i="2" s="1"/>
  <c r="AM64" i="2"/>
  <c r="AV64" i="2" s="1"/>
  <c r="AW64" i="2" s="1"/>
  <c r="AM82" i="2"/>
  <c r="AV82" i="2" s="1"/>
  <c r="AW82" i="2" s="1"/>
  <c r="AM34" i="2"/>
  <c r="AV34" i="2" s="1"/>
  <c r="AW34" i="2" s="1"/>
  <c r="AM90" i="2"/>
  <c r="AV90" i="2" s="1"/>
  <c r="AW90" i="2" s="1"/>
  <c r="AM86" i="2"/>
  <c r="AV86" i="2" s="1"/>
  <c r="AW86" i="2" s="1"/>
  <c r="AM70" i="2"/>
  <c r="AV70" i="2" s="1"/>
  <c r="AW70" i="2" s="1"/>
  <c r="AM122" i="2"/>
  <c r="AV122" i="2" s="1"/>
  <c r="AW122" i="2" s="1"/>
  <c r="AM28" i="2"/>
  <c r="AV28" i="2" s="1"/>
  <c r="AW28" i="2" s="1"/>
  <c r="AM120" i="2"/>
  <c r="AV120" i="2" s="1"/>
  <c r="AW120" i="2" s="1"/>
  <c r="AM74" i="2"/>
  <c r="AV74" i="2" s="1"/>
  <c r="AW74" i="2" s="1"/>
  <c r="AM78" i="2"/>
  <c r="AV78" i="2" s="1"/>
  <c r="AW78" i="2" s="1"/>
  <c r="AM100" i="2"/>
  <c r="AV100" i="2" s="1"/>
  <c r="AW100" i="2" s="1"/>
  <c r="AM124" i="2"/>
  <c r="AV124" i="2" s="1"/>
  <c r="AW124" i="2" s="1"/>
  <c r="AM50" i="2"/>
  <c r="AV50" i="2" s="1"/>
  <c r="AW50" i="2" s="1"/>
  <c r="AM58" i="2"/>
  <c r="AV58" i="2" s="1"/>
  <c r="AW58" i="2" s="1"/>
  <c r="AM66" i="2"/>
  <c r="AV66" i="2" s="1"/>
  <c r="AW66" i="2" s="1"/>
  <c r="AM48" i="2"/>
  <c r="AV48" i="2" s="1"/>
  <c r="AW48" i="2" s="1"/>
  <c r="AM30" i="2"/>
  <c r="AV30" i="2" s="1"/>
  <c r="AW30" i="2" s="1"/>
  <c r="AM56" i="2"/>
  <c r="AV56" i="2" s="1"/>
  <c r="AW56" i="2" s="1"/>
  <c r="AM38" i="2"/>
  <c r="AV38" i="2" s="1"/>
  <c r="AW38" i="2" s="1"/>
  <c r="AM18" i="2"/>
  <c r="AV18" i="2" s="1"/>
  <c r="AW18" i="2" s="1"/>
  <c r="AM36" i="2"/>
  <c r="AV36" i="2" s="1"/>
  <c r="AW36" i="2" s="1"/>
  <c r="AM40" i="2"/>
  <c r="AV40" i="2" s="1"/>
  <c r="AW40" i="2" s="1"/>
  <c r="AM52" i="2"/>
  <c r="AV52" i="2" s="1"/>
  <c r="AW52" i="2" s="1"/>
  <c r="AM16" i="2"/>
  <c r="AV16" i="2" s="1"/>
  <c r="AW16" i="2" s="1"/>
  <c r="AM22" i="2"/>
  <c r="AV22" i="2" s="1"/>
  <c r="AW22" i="2" s="1"/>
  <c r="AM44" i="2"/>
  <c r="AV44" i="2" s="1"/>
  <c r="AW44" i="2" s="1"/>
  <c r="AO1" i="2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M14" i="2"/>
  <c r="AV14" i="2" s="1"/>
  <c r="AW14" i="2" s="1"/>
  <c r="AF20" i="2"/>
  <c r="AG20" i="2" s="1"/>
  <c r="AH20" i="2" l="1"/>
  <c r="AI20" i="2" s="1"/>
  <c r="AP20" i="2"/>
  <c r="AQ20" i="2" s="1"/>
  <c r="AN118" i="2"/>
  <c r="AV118" i="2"/>
  <c r="AW118" i="2" s="1"/>
  <c r="AN114" i="2"/>
  <c r="BD123" i="2"/>
  <c r="BD124" i="2" s="1"/>
  <c r="BE124" i="2" s="1"/>
  <c r="BD99" i="2"/>
  <c r="BD100" i="2" s="1"/>
  <c r="BE100" i="2" s="1"/>
  <c r="BD91" i="2"/>
  <c r="BD92" i="2" s="1"/>
  <c r="BE92" i="2" s="1"/>
  <c r="BD87" i="2"/>
  <c r="BD88" i="2" s="1"/>
  <c r="BE88" i="2" s="1"/>
  <c r="BD121" i="2"/>
  <c r="BD122" i="2" s="1"/>
  <c r="BE122" i="2" s="1"/>
  <c r="BD119" i="2"/>
  <c r="BD120" i="2" s="1"/>
  <c r="BE120" i="2" s="1"/>
  <c r="BD115" i="2"/>
  <c r="BD116" i="2" s="1"/>
  <c r="BE116" i="2" s="1"/>
  <c r="BD111" i="2"/>
  <c r="BD112" i="2" s="1"/>
  <c r="BE112" i="2" s="1"/>
  <c r="BD97" i="2"/>
  <c r="BD98" i="2" s="1"/>
  <c r="BE98" i="2" s="1"/>
  <c r="BD93" i="2"/>
  <c r="BD94" i="2" s="1"/>
  <c r="BE94" i="2" s="1"/>
  <c r="BD117" i="2"/>
  <c r="BD118" i="2" s="1"/>
  <c r="BE118" i="2" s="1"/>
  <c r="BD89" i="2"/>
  <c r="BD90" i="2" s="1"/>
  <c r="BE90" i="2" s="1"/>
  <c r="BD113" i="2"/>
  <c r="BD114" i="2" s="1"/>
  <c r="BE114" i="2" s="1"/>
  <c r="BD85" i="2"/>
  <c r="BD86" i="2" s="1"/>
  <c r="BE86" i="2" s="1"/>
  <c r="BD61" i="2"/>
  <c r="BD62" i="2" s="1"/>
  <c r="BE62" i="2" s="1"/>
  <c r="BD57" i="2"/>
  <c r="BD58" i="2" s="1"/>
  <c r="BE58" i="2" s="1"/>
  <c r="BD71" i="2"/>
  <c r="BD72" i="2" s="1"/>
  <c r="BE72" i="2" s="1"/>
  <c r="BD81" i="2"/>
  <c r="BD82" i="2" s="1"/>
  <c r="BE82" i="2" s="1"/>
  <c r="BD77" i="2"/>
  <c r="BD78" i="2" s="1"/>
  <c r="BE78" i="2" s="1"/>
  <c r="BD83" i="2"/>
  <c r="BD84" i="2" s="1"/>
  <c r="BE84" i="2" s="1"/>
  <c r="BD67" i="2"/>
  <c r="BD68" i="2" s="1"/>
  <c r="BE68" i="2" s="1"/>
  <c r="BD63" i="2"/>
  <c r="BD64" i="2" s="1"/>
  <c r="BE64" i="2" s="1"/>
  <c r="BD73" i="2"/>
  <c r="BD74" i="2" s="1"/>
  <c r="BE74" i="2" s="1"/>
  <c r="BD59" i="2"/>
  <c r="BD60" i="2" s="1"/>
  <c r="BE60" i="2" s="1"/>
  <c r="BD65" i="2"/>
  <c r="BD66" i="2" s="1"/>
  <c r="BE66" i="2" s="1"/>
  <c r="BD55" i="2"/>
  <c r="BD56" i="2" s="1"/>
  <c r="BE56" i="2" s="1"/>
  <c r="BD79" i="2"/>
  <c r="BD80" i="2" s="1"/>
  <c r="BE80" i="2" s="1"/>
  <c r="BD75" i="2"/>
  <c r="BD76" i="2" s="1"/>
  <c r="BE76" i="2" s="1"/>
  <c r="BD69" i="2"/>
  <c r="BD70" i="2" s="1"/>
  <c r="BE70" i="2" s="1"/>
  <c r="AN68" i="2"/>
  <c r="BD53" i="2"/>
  <c r="BD54" i="2" s="1"/>
  <c r="BE54" i="2" s="1"/>
  <c r="BD37" i="2"/>
  <c r="BD38" i="2" s="1"/>
  <c r="BE38" i="2" s="1"/>
  <c r="BD39" i="2"/>
  <c r="BD40" i="2" s="1"/>
  <c r="BE40" i="2" s="1"/>
  <c r="BD49" i="2"/>
  <c r="BD50" i="2" s="1"/>
  <c r="BE50" i="2" s="1"/>
  <c r="BD41" i="2"/>
  <c r="BD42" i="2" s="1"/>
  <c r="BE42" i="2" s="1"/>
  <c r="BD35" i="2"/>
  <c r="BD36" i="2" s="1"/>
  <c r="BE36" i="2" s="1"/>
  <c r="BD51" i="2"/>
  <c r="BD52" i="2" s="1"/>
  <c r="BE52" i="2" s="1"/>
  <c r="BD43" i="2"/>
  <c r="BD44" i="2" s="1"/>
  <c r="BE44" i="2" s="1"/>
  <c r="BD33" i="2"/>
  <c r="BD34" i="2" s="1"/>
  <c r="BE34" i="2" s="1"/>
  <c r="BD21" i="2"/>
  <c r="BD22" i="2" s="1"/>
  <c r="BE22" i="2" s="1"/>
  <c r="BD19" i="2"/>
  <c r="BD20" i="2" s="1"/>
  <c r="BE20" i="2" s="1"/>
  <c r="BD29" i="2"/>
  <c r="BD30" i="2" s="1"/>
  <c r="BE30" i="2" s="1"/>
  <c r="BD25" i="2"/>
  <c r="BD26" i="2" s="1"/>
  <c r="BE26" i="2" s="1"/>
  <c r="BD31" i="2"/>
  <c r="BD32" i="2" s="1"/>
  <c r="BE32" i="2" s="1"/>
  <c r="BD17" i="2"/>
  <c r="BD18" i="2" s="1"/>
  <c r="BE18" i="2" s="1"/>
  <c r="BD15" i="2"/>
  <c r="BD16" i="2" s="1"/>
  <c r="BE16" i="2" s="1"/>
  <c r="BD27" i="2"/>
  <c r="BD28" i="2" s="1"/>
  <c r="BE28" i="2" s="1"/>
  <c r="AN42" i="2"/>
  <c r="AN62" i="2"/>
  <c r="AN126" i="2"/>
  <c r="AN96" i="2"/>
  <c r="AN80" i="2"/>
  <c r="AN60" i="2"/>
  <c r="AN92" i="2"/>
  <c r="AN72" i="2"/>
  <c r="AN46" i="2"/>
  <c r="AN116" i="2"/>
  <c r="AN76" i="2"/>
  <c r="AN64" i="2"/>
  <c r="AN26" i="2"/>
  <c r="AN84" i="2"/>
  <c r="AN90" i="2"/>
  <c r="AN54" i="2"/>
  <c r="AN34" i="2"/>
  <c r="AN112" i="2"/>
  <c r="AN48" i="2"/>
  <c r="AN82" i="2"/>
  <c r="AN124" i="2"/>
  <c r="AN78" i="2"/>
  <c r="AN88" i="2"/>
  <c r="AN70" i="2"/>
  <c r="AN120" i="2"/>
  <c r="AN86" i="2"/>
  <c r="AN94" i="2"/>
  <c r="AN98" i="2"/>
  <c r="AN122" i="2"/>
  <c r="AN28" i="2"/>
  <c r="AN100" i="2"/>
  <c r="AN50" i="2"/>
  <c r="AN30" i="2"/>
  <c r="AN18" i="2"/>
  <c r="AN36" i="2"/>
  <c r="AN66" i="2"/>
  <c r="AN74" i="2"/>
  <c r="AN38" i="2"/>
  <c r="AN56" i="2"/>
  <c r="AN58" i="2"/>
  <c r="AN44" i="2"/>
  <c r="AN32" i="2"/>
  <c r="AN22" i="2"/>
  <c r="AN16" i="2"/>
  <c r="AN52" i="2"/>
  <c r="AN40" i="2"/>
  <c r="AN14" i="2"/>
  <c r="AJ20" i="2" l="1"/>
  <c r="AK20" i="2" s="1"/>
  <c r="AR20" i="2"/>
  <c r="AS20" i="2" s="1"/>
  <c r="AO96" i="2"/>
  <c r="AX96" i="2" s="1"/>
  <c r="AY96" i="2" s="1"/>
  <c r="AO46" i="2"/>
  <c r="AX46" i="2" s="1"/>
  <c r="AY46" i="2" s="1"/>
  <c r="AO126" i="2"/>
  <c r="AO116" i="2"/>
  <c r="AX116" i="2" s="1"/>
  <c r="AY116" i="2" s="1"/>
  <c r="AO114" i="2"/>
  <c r="AX114" i="2" s="1"/>
  <c r="AY114" i="2" s="1"/>
  <c r="BD45" i="2"/>
  <c r="BD46" i="2" s="1"/>
  <c r="BE46" i="2" s="1"/>
  <c r="AO32" i="2"/>
  <c r="AX32" i="2" s="1"/>
  <c r="AY32" i="2" s="1"/>
  <c r="AO90" i="2"/>
  <c r="AX90" i="2" s="1"/>
  <c r="AY90" i="2" s="1"/>
  <c r="AO48" i="2"/>
  <c r="AX48" i="2" s="1"/>
  <c r="AY48" i="2" s="1"/>
  <c r="BD95" i="2"/>
  <c r="BD96" i="2" s="1"/>
  <c r="BE96" i="2" s="1"/>
  <c r="AO94" i="2"/>
  <c r="AX94" i="2" s="1"/>
  <c r="AY94" i="2" s="1"/>
  <c r="AO36" i="2"/>
  <c r="AX36" i="2" s="1"/>
  <c r="AY36" i="2" s="1"/>
  <c r="AO76" i="2"/>
  <c r="AX76" i="2" s="1"/>
  <c r="AY76" i="2" s="1"/>
  <c r="AO120" i="2"/>
  <c r="AX120" i="2" s="1"/>
  <c r="AY120" i="2" s="1"/>
  <c r="AO50" i="2"/>
  <c r="AX50" i="2" s="1"/>
  <c r="AY50" i="2" s="1"/>
  <c r="AO100" i="2"/>
  <c r="AX100" i="2" s="1"/>
  <c r="AY100" i="2" s="1"/>
  <c r="AO74" i="2"/>
  <c r="AX74" i="2" s="1"/>
  <c r="AY74" i="2" s="1"/>
  <c r="AO122" i="2"/>
  <c r="AX122" i="2" s="1"/>
  <c r="AY122" i="2" s="1"/>
  <c r="AO38" i="2"/>
  <c r="AX38" i="2" s="1"/>
  <c r="AY38" i="2" s="1"/>
  <c r="AO98" i="2"/>
  <c r="AX98" i="2" s="1"/>
  <c r="AY98" i="2" s="1"/>
  <c r="AO82" i="2"/>
  <c r="AX82" i="2" s="1"/>
  <c r="AY82" i="2" s="1"/>
  <c r="AO78" i="2"/>
  <c r="AX78" i="2" s="1"/>
  <c r="AY78" i="2" s="1"/>
  <c r="AO30" i="2"/>
  <c r="AX30" i="2" s="1"/>
  <c r="AY30" i="2" s="1"/>
  <c r="AO124" i="2"/>
  <c r="AX124" i="2" s="1"/>
  <c r="AY124" i="2" s="1"/>
  <c r="AO84" i="2"/>
  <c r="AX84" i="2" s="1"/>
  <c r="AY84" i="2" s="1"/>
  <c r="AO66" i="2"/>
  <c r="AX66" i="2" s="1"/>
  <c r="AY66" i="2" s="1"/>
  <c r="AO86" i="2"/>
  <c r="AX86" i="2" s="1"/>
  <c r="AY86" i="2" s="1"/>
  <c r="AO118" i="2"/>
  <c r="AX118" i="2" s="1"/>
  <c r="AY118" i="2" s="1"/>
  <c r="AO80" i="2"/>
  <c r="AX80" i="2" s="1"/>
  <c r="AY80" i="2" s="1"/>
  <c r="AO58" i="2"/>
  <c r="AX58" i="2" s="1"/>
  <c r="AY58" i="2" s="1"/>
  <c r="AO60" i="2"/>
  <c r="AX60" i="2" s="1"/>
  <c r="AY60" i="2" s="1"/>
  <c r="AO88" i="2"/>
  <c r="AX88" i="2" s="1"/>
  <c r="AY88" i="2" s="1"/>
  <c r="AO112" i="2"/>
  <c r="AX112" i="2" s="1"/>
  <c r="AY112" i="2" s="1"/>
  <c r="AO56" i="2"/>
  <c r="AX56" i="2" s="1"/>
  <c r="AY56" i="2" s="1"/>
  <c r="AO72" i="2"/>
  <c r="AX72" i="2" s="1"/>
  <c r="AY72" i="2" s="1"/>
  <c r="AO92" i="2"/>
  <c r="AX92" i="2" s="1"/>
  <c r="AY92" i="2" s="1"/>
  <c r="BD47" i="2"/>
  <c r="BD48" i="2" s="1"/>
  <c r="BE48" i="2" s="1"/>
  <c r="AO62" i="2"/>
  <c r="AX62" i="2" s="1"/>
  <c r="AY62" i="2" s="1"/>
  <c r="AO34" i="2"/>
  <c r="AX34" i="2" s="1"/>
  <c r="AY34" i="2" s="1"/>
  <c r="AO22" i="2"/>
  <c r="AX22" i="2" s="1"/>
  <c r="AY22" i="2" s="1"/>
  <c r="AO54" i="2"/>
  <c r="AX54" i="2" s="1"/>
  <c r="AY54" i="2" s="1"/>
  <c r="AO70" i="2"/>
  <c r="AX70" i="2" s="1"/>
  <c r="AY70" i="2" s="1"/>
  <c r="AO68" i="2"/>
  <c r="AX68" i="2" s="1"/>
  <c r="AY68" i="2" s="1"/>
  <c r="AO64" i="2"/>
  <c r="AX64" i="2" s="1"/>
  <c r="AY64" i="2" s="1"/>
  <c r="BD13" i="2"/>
  <c r="AO42" i="2"/>
  <c r="AX42" i="2" s="1"/>
  <c r="AY42" i="2" s="1"/>
  <c r="AO14" i="2"/>
  <c r="AX14" i="2" s="1"/>
  <c r="AY14" i="2" s="1"/>
  <c r="AO18" i="2"/>
  <c r="AX18" i="2" s="1"/>
  <c r="AY18" i="2" s="1"/>
  <c r="AO44" i="2"/>
  <c r="AX44" i="2" s="1"/>
  <c r="AY44" i="2" s="1"/>
  <c r="AO52" i="2"/>
  <c r="AX52" i="2" s="1"/>
  <c r="AY52" i="2" s="1"/>
  <c r="AO40" i="2"/>
  <c r="AX40" i="2" s="1"/>
  <c r="AY40" i="2" s="1"/>
  <c r="AO26" i="2"/>
  <c r="AX26" i="2" s="1"/>
  <c r="AY26" i="2" s="1"/>
  <c r="AO16" i="2"/>
  <c r="AX16" i="2" s="1"/>
  <c r="AY16" i="2" s="1"/>
  <c r="AO28" i="2"/>
  <c r="AX28" i="2" s="1"/>
  <c r="AY28" i="2" s="1"/>
  <c r="AL20" i="2" l="1"/>
  <c r="AM20" i="2" s="1"/>
  <c r="AT20" i="2"/>
  <c r="AU20" i="2" s="1"/>
  <c r="BD126" i="2"/>
  <c r="BD14" i="2"/>
  <c r="BE14" i="2" s="1"/>
  <c r="AV20" i="2" l="1"/>
  <c r="AW20" i="2" s="1"/>
  <c r="AN20" i="2"/>
  <c r="AO20" i="2" s="1"/>
  <c r="AX20" i="2" s="1"/>
  <c r="AY20" i="2" s="1"/>
  <c r="BF16" i="2" l="1"/>
  <c r="BF74" i="2"/>
  <c r="BF72" i="2"/>
  <c r="BF96" i="2" l="1"/>
  <c r="BF86" i="2"/>
  <c r="BF100" i="2"/>
  <c r="BF120" i="2"/>
  <c r="BF50" i="2"/>
  <c r="BF84" i="2"/>
  <c r="BF78" i="2"/>
  <c r="BF40" i="2"/>
  <c r="BF62" i="2"/>
  <c r="BF32" i="2"/>
  <c r="BF36" i="2"/>
  <c r="BF30" i="2"/>
  <c r="BF18" i="2"/>
  <c r="BG120" i="2" l="1"/>
  <c r="BF124" i="2"/>
  <c r="BG100" i="2"/>
  <c r="BG86" i="2"/>
  <c r="BF114" i="2"/>
  <c r="BG96" i="2"/>
  <c r="BG78" i="2"/>
  <c r="BG40" i="2"/>
  <c r="BF64" i="2"/>
  <c r="BG84" i="2"/>
  <c r="BG62" i="2"/>
  <c r="BG72" i="2"/>
  <c r="BF28" i="2"/>
  <c r="BF68" i="2"/>
  <c r="BG32" i="2"/>
  <c r="BF46" i="2"/>
  <c r="BF56" i="2"/>
  <c r="BG36" i="2"/>
  <c r="BF118" i="2"/>
  <c r="BF98" i="2"/>
  <c r="BF34" i="2"/>
  <c r="BF48" i="2"/>
  <c r="BF88" i="2"/>
  <c r="BG50" i="2"/>
  <c r="BG124" i="2" l="1"/>
  <c r="BF122" i="2"/>
  <c r="BG114" i="2"/>
  <c r="BF90" i="2"/>
  <c r="BF22" i="2"/>
  <c r="BF80" i="2"/>
  <c r="BG16" i="2"/>
  <c r="BG74" i="2"/>
  <c r="BG68" i="2"/>
  <c r="BF66" i="2"/>
  <c r="BF82" i="2"/>
  <c r="BG30" i="2"/>
  <c r="BG28" i="2"/>
  <c r="BG64" i="2"/>
  <c r="BF92" i="2"/>
  <c r="BG18" i="2"/>
  <c r="BG98" i="2"/>
  <c r="BG34" i="2"/>
  <c r="BF58" i="2"/>
  <c r="BF112" i="2"/>
  <c r="BG90" i="2" l="1"/>
  <c r="BF116" i="2"/>
  <c r="BG118" i="2"/>
  <c r="BG122" i="2"/>
  <c r="BF20" i="2"/>
  <c r="BF38" i="2"/>
  <c r="BF54" i="2"/>
  <c r="BF52" i="2"/>
  <c r="BG46" i="2"/>
  <c r="BG82" i="2"/>
  <c r="BF60" i="2"/>
  <c r="BF44" i="2"/>
  <c r="BG80" i="2"/>
  <c r="BG66" i="2"/>
  <c r="BG22" i="2"/>
  <c r="BG88" i="2" l="1"/>
  <c r="BF94" i="2"/>
  <c r="BG116" i="2"/>
  <c r="BF42" i="2"/>
  <c r="BG52" i="2"/>
  <c r="BG58" i="2"/>
  <c r="BG60" i="2"/>
  <c r="BG56" i="2"/>
  <c r="BG48" i="2"/>
  <c r="BF70" i="2"/>
  <c r="BF76" i="2"/>
  <c r="BG54" i="2"/>
  <c r="BG44" i="2"/>
  <c r="BG94" i="2" l="1"/>
  <c r="BG92" i="2"/>
  <c r="BG20" i="2"/>
  <c r="BG112" i="2"/>
  <c r="BG42" i="2"/>
  <c r="BG76" i="2"/>
  <c r="BG38" i="2"/>
  <c r="BF26" i="2"/>
  <c r="BG70" i="2"/>
  <c r="BF14" i="2"/>
  <c r="BG14" i="2" s="1"/>
  <c r="BF126" i="2" l="1"/>
  <c r="BG26" i="2" l="1"/>
  <c r="BG126" i="2"/>
</calcChain>
</file>

<file path=xl/comments1.xml><?xml version="1.0" encoding="utf-8"?>
<comments xmlns="http://schemas.openxmlformats.org/spreadsheetml/2006/main">
  <authors>
    <author>Raras Ayuswanti</author>
  </authors>
  <commentList>
    <comment ref="BH23" authorId="0" shapeId="0">
      <text>
        <r>
          <rPr>
            <b/>
            <sz val="10"/>
            <color indexed="81"/>
            <rFont val="Tahoma"/>
            <family val="2"/>
          </rPr>
          <t xml:space="preserve">DESIGN CNANGE
</t>
        </r>
      </text>
    </comment>
  </commentList>
</comments>
</file>

<file path=xl/sharedStrings.xml><?xml version="1.0" encoding="utf-8"?>
<sst xmlns="http://schemas.openxmlformats.org/spreadsheetml/2006/main" count="604" uniqueCount="232">
  <si>
    <t>TRUCK</t>
  </si>
  <si>
    <t xml:space="preserve">  P/O #:</t>
  </si>
  <si>
    <t>SHIP BY :</t>
  </si>
  <si>
    <t>No.</t>
  </si>
  <si>
    <t>PART NUMBER</t>
  </si>
  <si>
    <t>QTY</t>
  </si>
  <si>
    <t>TOTAL</t>
  </si>
  <si>
    <t>&lt;  ORDER SHEET &gt;</t>
  </si>
  <si>
    <t>SEND DATE:</t>
  </si>
  <si>
    <t>BUPPIN</t>
  </si>
  <si>
    <t>:</t>
  </si>
  <si>
    <t>TO</t>
  </si>
  <si>
    <t>`</t>
  </si>
  <si>
    <t>REF</t>
  </si>
  <si>
    <t>-</t>
  </si>
  <si>
    <t>/</t>
  </si>
  <si>
    <t>DATE</t>
  </si>
  <si>
    <t>ATTN</t>
  </si>
  <si>
    <t>PAGE</t>
  </si>
  <si>
    <t>attached sheet :</t>
  </si>
  <si>
    <t>FROM</t>
  </si>
  <si>
    <t>CC</t>
  </si>
  <si>
    <t>PURCHASE ORDER</t>
  </si>
  <si>
    <t>We request that all products delivery to SAI is SoC free in accordance with</t>
  </si>
  <si>
    <t>EU End of Life Vehicle Directive for Substance of Concern materials as follows :</t>
  </si>
  <si>
    <t>Please sign below and send back this page to us by fax transmission</t>
  </si>
  <si>
    <t>on the following day after acceptance of this order</t>
  </si>
  <si>
    <t>With kind regards,</t>
  </si>
  <si>
    <t>Confirmation of Acceptance</t>
  </si>
  <si>
    <t>Please find attached</t>
  </si>
  <si>
    <t>Order Number</t>
  </si>
  <si>
    <t>Requested ETA</t>
  </si>
  <si>
    <t>Shipment</t>
  </si>
  <si>
    <t>Surabaya on or about</t>
  </si>
  <si>
    <t>will be through</t>
  </si>
  <si>
    <t>CONFIDENTIAL</t>
  </si>
  <si>
    <t>MR. WAHYUDI</t>
  </si>
  <si>
    <t>Inventory Control Supervisor</t>
  </si>
  <si>
    <t>MRS. RARAS</t>
  </si>
  <si>
    <t>RARAS AYUSWANTI</t>
  </si>
  <si>
    <t>ETD : JAI</t>
  </si>
  <si>
    <t>ETA : SAI</t>
  </si>
  <si>
    <t xml:space="preserve">PT. JATIM AUTOCOMP </t>
  </si>
  <si>
    <t>INDONESIA</t>
  </si>
  <si>
    <t>TRUCKING</t>
  </si>
  <si>
    <t>Remarks</t>
  </si>
  <si>
    <t>BC111-1HY10-1 A 1001</t>
  </si>
  <si>
    <t>BC111-1HY10-2 A 1001</t>
  </si>
  <si>
    <t>CUM</t>
  </si>
  <si>
    <t>Last Cum</t>
  </si>
  <si>
    <t>MRS. DIANA , MR. NOBUHISA DAKIIWA</t>
  </si>
  <si>
    <t>BC111-V3891-2 F 0001</t>
  </si>
  <si>
    <t>BC111-V3891-1 F 0001</t>
  </si>
  <si>
    <t>JN111-62063-3   0002</t>
  </si>
  <si>
    <t>JN111-62063-4   0002</t>
  </si>
  <si>
    <t>JN111-62093-3   0002</t>
  </si>
  <si>
    <t>JN111-62093-4   0002</t>
  </si>
  <si>
    <t>BC121-6B220-1 B 0001</t>
  </si>
  <si>
    <t>BC121-6B250-1 B 0001</t>
  </si>
  <si>
    <t>BC121-6B260-1 B 0001</t>
  </si>
  <si>
    <t>BC121-6B370-1 B 0001</t>
  </si>
  <si>
    <t>BC121-6B370-2 B 0001</t>
  </si>
  <si>
    <t>BC111-5DR50-1 B 0001</t>
  </si>
  <si>
    <t>BC111-5DR50-2 B 0001</t>
  </si>
  <si>
    <t>BC121-6AM60-1 C 0001</t>
  </si>
  <si>
    <t>BC111-V1020-1 D 0101</t>
  </si>
  <si>
    <t>BC111-V1100-1 G 0201</t>
  </si>
  <si>
    <t>BC111-2FE72-2 F 0201</t>
  </si>
  <si>
    <t>BC111-2FE72-1 F 0201</t>
  </si>
  <si>
    <t>DC111-2FE72 F 0201</t>
  </si>
  <si>
    <t>DC111-2FK53 F 0201</t>
  </si>
  <si>
    <t>BC111-V3881-1 B 0201</t>
  </si>
  <si>
    <t>BC111-V3650-2 C 0201</t>
  </si>
  <si>
    <t>DC111-V3650 C 0201</t>
  </si>
  <si>
    <t>BC111-V3891-6 B 0201</t>
  </si>
  <si>
    <t>BC111-11730-3 B 0001</t>
  </si>
  <si>
    <t>BC111-11810-3   2001</t>
  </si>
  <si>
    <t>NOBUHISA DAKIIWA</t>
  </si>
  <si>
    <t>Senior Manager Logistic</t>
  </si>
  <si>
    <t>940W(120D)</t>
  </si>
  <si>
    <t>969W(930B)</t>
  </si>
  <si>
    <t>841W</t>
  </si>
  <si>
    <t>885W</t>
  </si>
  <si>
    <t>602W</t>
  </si>
  <si>
    <t>891W-892W-899W</t>
  </si>
  <si>
    <t>BC111-1HQ61-1 A 1001</t>
  </si>
  <si>
    <t>BC111-1HR01-1   0002</t>
  </si>
  <si>
    <t>BC111-62062-2 B 1001</t>
  </si>
  <si>
    <t>BC111-62092-2 B 1001</t>
  </si>
  <si>
    <t>BC111-5A843-2   0001</t>
  </si>
  <si>
    <t>BC111-5A883-2   0001</t>
  </si>
  <si>
    <t>BC111-16P60-1   0001</t>
  </si>
  <si>
    <t>BC111-16J40-1   0001</t>
  </si>
  <si>
    <t>BC111-16R30-1   0001</t>
  </si>
  <si>
    <t>BC111-16R90-1   0001</t>
  </si>
  <si>
    <t>BC111-5AC33-2   0001</t>
  </si>
  <si>
    <t>BC111-5AA03-2   0001</t>
  </si>
  <si>
    <t>059J(567D) 060J(568D)</t>
  </si>
  <si>
    <t>060J(568D)</t>
  </si>
  <si>
    <t>060J(568D) 060J(568D)</t>
  </si>
  <si>
    <t>JN111-62064-1   0001</t>
  </si>
  <si>
    <t>JN111-62064-3   0001</t>
  </si>
  <si>
    <t>JN111-62215-1   0001</t>
  </si>
  <si>
    <t>JN111-62215-3   0001</t>
  </si>
  <si>
    <t>BC111-62064-2   0001</t>
  </si>
  <si>
    <t>BC111-62215-2   0001</t>
  </si>
  <si>
    <t>BC111-4EE80-1 C 0002</t>
  </si>
  <si>
    <t>BC111-4EW40-1 C 0002</t>
  </si>
  <si>
    <t>BC111-47V60-1 C 0002</t>
  </si>
  <si>
    <t>BC111-4EB50-1 C 0002</t>
  </si>
  <si>
    <t>BC115-5CC80-1   0001</t>
  </si>
  <si>
    <t>BC115-5CC80-2   0001</t>
  </si>
  <si>
    <t>461D</t>
  </si>
  <si>
    <t>BC121-35G70-1 D 0001</t>
  </si>
  <si>
    <t>BC121-35G90-1 D 0001</t>
  </si>
  <si>
    <t>BC121-35K80-1 C 0001</t>
  </si>
  <si>
    <t>MR. AVIF</t>
  </si>
  <si>
    <t>FIRM JAN W2</t>
  </si>
  <si>
    <t>FIRM JAN W3</t>
  </si>
  <si>
    <t>FIRM JAN W4</t>
  </si>
  <si>
    <t>BC121-6B230-1 B 0001</t>
  </si>
  <si>
    <t>FIRM FEB W1</t>
  </si>
  <si>
    <t>FIRM FEB W2</t>
  </si>
  <si>
    <t>DC111-V3G90 B 0101</t>
  </si>
  <si>
    <t>DC111-V3C10 B 0101</t>
  </si>
  <si>
    <t>DC111-V3C50 B 0101</t>
  </si>
  <si>
    <t>AVIF PRIMA</t>
  </si>
  <si>
    <t>BC111-1KU50-2   0001</t>
  </si>
  <si>
    <t>BC121-6B230-1 C 0001</t>
  </si>
  <si>
    <t>MOQ</t>
  </si>
  <si>
    <t>Total Box</t>
  </si>
  <si>
    <t>Total Pallet</t>
  </si>
  <si>
    <t>14PL</t>
  </si>
  <si>
    <t>766W(245D)</t>
  </si>
  <si>
    <t>766W</t>
  </si>
  <si>
    <t>662W</t>
  </si>
  <si>
    <t>819W(566D) 819W(566D)</t>
  </si>
  <si>
    <t>819W(566D)</t>
  </si>
  <si>
    <t>077J (541D)</t>
  </si>
  <si>
    <t>TOTAL FORECAST JAN 2026</t>
  </si>
  <si>
    <t>TOTAL FORECAST FEB 2026</t>
  </si>
  <si>
    <t>JL51121</t>
  </si>
  <si>
    <t>JL51122</t>
  </si>
  <si>
    <t>TOTAL FORECAST MAR 2026</t>
  </si>
  <si>
    <t>JL60111</t>
  </si>
  <si>
    <t>JL60112</t>
  </si>
  <si>
    <t>JL60121</t>
  </si>
  <si>
    <t>JL60122</t>
  </si>
  <si>
    <t>JL60131</t>
  </si>
  <si>
    <t>JL60132</t>
  </si>
  <si>
    <t>JL60141</t>
  </si>
  <si>
    <t>JL60142</t>
  </si>
  <si>
    <t>TOTAL FORECAST APR 2026</t>
  </si>
  <si>
    <t>Req Advance 07-11-25</t>
  </si>
  <si>
    <t>JL60241</t>
  </si>
  <si>
    <t>JL60242</t>
  </si>
  <si>
    <t>JL60211</t>
  </si>
  <si>
    <t>JL60212</t>
  </si>
  <si>
    <t>JL60221</t>
  </si>
  <si>
    <t>JL60222</t>
  </si>
  <si>
    <t>JL60231</t>
  </si>
  <si>
    <t>TOTAL FORECAST MAY 2026</t>
  </si>
  <si>
    <t>559D</t>
  </si>
  <si>
    <t>FIRM JAN W1</t>
  </si>
  <si>
    <t>JL60311</t>
  </si>
  <si>
    <t>JL60312</t>
  </si>
  <si>
    <t>JL60321</t>
  </si>
  <si>
    <t>JL60322</t>
  </si>
  <si>
    <t>JL60331</t>
  </si>
  <si>
    <t>JL60332</t>
  </si>
  <si>
    <t>JL60111A</t>
  </si>
  <si>
    <t>JL60122A</t>
  </si>
  <si>
    <t>TOTAL FORECAST JUN 2026</t>
  </si>
  <si>
    <t>FORECAST APRIL W3</t>
  </si>
  <si>
    <t>FORECAST APRIL W4</t>
  </si>
  <si>
    <t>FORECAST APRIL W5</t>
  </si>
  <si>
    <t>JL60411</t>
  </si>
  <si>
    <t>JL60421</t>
  </si>
  <si>
    <t>JL60422</t>
  </si>
  <si>
    <t>JL60431</t>
  </si>
  <si>
    <t>JL60432</t>
  </si>
  <si>
    <t>JL60441</t>
  </si>
  <si>
    <t>JL60442</t>
  </si>
  <si>
    <t>JL60451</t>
  </si>
  <si>
    <t>JL60452</t>
  </si>
  <si>
    <t>FIRM FEB W3</t>
  </si>
  <si>
    <t>JL60232</t>
  </si>
  <si>
    <t>FIRM FEB W4</t>
  </si>
  <si>
    <t>FORECAST MAY W1</t>
  </si>
  <si>
    <t>FORECAST MAY W2</t>
  </si>
  <si>
    <t>FORECAST MAY W3</t>
  </si>
  <si>
    <t>JL60511</t>
  </si>
  <si>
    <t>JL60512</t>
  </si>
  <si>
    <t>JL60521</t>
  </si>
  <si>
    <t>JL60522</t>
  </si>
  <si>
    <t>JL60531</t>
  </si>
  <si>
    <t>JL60532</t>
  </si>
  <si>
    <t>TOTAL FORECAST JUL 2026</t>
  </si>
  <si>
    <t>JL60222A</t>
  </si>
  <si>
    <t>FIRM MAR W1</t>
  </si>
  <si>
    <t>FIRM MAR W2</t>
  </si>
  <si>
    <t>JL60242A</t>
  </si>
  <si>
    <t>FIRM MAR W3</t>
  </si>
  <si>
    <t>JL60311A</t>
  </si>
  <si>
    <t>FIRM APRIL W1</t>
  </si>
  <si>
    <t>FORECAST JUNE W3</t>
  </si>
  <si>
    <t>FORECAST JUNE W1</t>
  </si>
  <si>
    <t>FORECAST JUNE W2</t>
  </si>
  <si>
    <t>FORECAST JUNE W4</t>
  </si>
  <si>
    <t>FORECAST JUNE W5</t>
  </si>
  <si>
    <t>JL60611</t>
  </si>
  <si>
    <t>JL60612</t>
  </si>
  <si>
    <t>JL60621</t>
  </si>
  <si>
    <t>JL60622</t>
  </si>
  <si>
    <t>JL60631</t>
  </si>
  <si>
    <t>JL60632</t>
  </si>
  <si>
    <t>JL60641</t>
  </si>
  <si>
    <t>JL60642</t>
  </si>
  <si>
    <t>JL60651</t>
  </si>
  <si>
    <t>JL60652</t>
  </si>
  <si>
    <t>TOTAL FORECAST AUG 2026</t>
  </si>
  <si>
    <t>635D</t>
  </si>
  <si>
    <t>JL60322A</t>
  </si>
  <si>
    <t>JL60331A</t>
  </si>
  <si>
    <t>FIRM APRIL W2</t>
  </si>
  <si>
    <t>JL60331B</t>
  </si>
  <si>
    <t>BC111-1HR01-1 0002</t>
  </si>
  <si>
    <t>BC111-5A843-2 0001</t>
  </si>
  <si>
    <t>BC111-5A883-2 0001</t>
  </si>
  <si>
    <t>BC111-5AC33-2 0001</t>
  </si>
  <si>
    <t>BC111-5AA03-2 0001</t>
  </si>
  <si>
    <t>BC111-11810-3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</si>
</sst>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164" formatCode="[$-409]d\-mmm\-yy;@"/>
    <numFmt numFmtId="165" formatCode="mmm/dd/yy"/>
    <numFmt numFmtId="166" formatCode="0#"/>
    <numFmt numFmtId="167" formatCode="[$-409]dd\-mmm\-yy;@"/>
    <numFmt numFmtId="168" formatCode="_(* #,##0_);_(* \(#,##0\);_(* &quot;-&quot;??_);_(@_)"/>
  </numFmts>
  <fonts count="3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0"/>
      <name val="Arial Narrow"/>
      <family val="2"/>
    </font>
    <font>
      <sz val="8"/>
      <name val="Times New Roman"/>
      <family val="1"/>
    </font>
    <font>
      <b/>
      <sz val="12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i/>
      <u/>
      <sz val="18"/>
      <name val="Arial Narrow"/>
      <family val="2"/>
    </font>
    <font>
      <i/>
      <sz val="12"/>
      <name val="Arial Narrow"/>
      <family val="2"/>
    </font>
    <font>
      <b/>
      <i/>
      <sz val="12"/>
      <name val="Arial Narrow"/>
      <family val="2"/>
    </font>
    <font>
      <b/>
      <i/>
      <sz val="11"/>
      <name val="Arial"/>
      <family val="2"/>
    </font>
    <font>
      <u/>
      <sz val="20"/>
      <name val="Lucida Handwriting"/>
      <family val="2"/>
    </font>
    <font>
      <b/>
      <u/>
      <sz val="12"/>
      <name val="Arial Narrow"/>
      <family val="2"/>
    </font>
    <font>
      <u/>
      <sz val="10"/>
      <name val="Arial"/>
      <family val="2"/>
    </font>
    <font>
      <u/>
      <sz val="12"/>
      <name val="Arial Narrow"/>
      <family val="2"/>
    </font>
    <font>
      <b/>
      <i/>
      <u/>
      <sz val="12"/>
      <name val="Arial Narrow"/>
      <family val="2"/>
    </font>
    <font>
      <b/>
      <sz val="14"/>
      <color rgb="FFFF0000"/>
      <name val="Tahoma"/>
      <family val="2"/>
    </font>
    <font>
      <b/>
      <sz val="13"/>
      <color rgb="FFFF0000"/>
      <name val="Arial"/>
      <family val="2"/>
    </font>
    <font>
      <b/>
      <sz val="13"/>
      <color rgb="FFC00000"/>
      <name val="Arial"/>
      <family val="2"/>
    </font>
    <font>
      <b/>
      <sz val="10"/>
      <color indexed="81"/>
      <name val="Tahoma"/>
      <family val="2"/>
    </font>
    <font>
      <sz val="13"/>
      <color theme="0" tint="-4.9989318521683403E-2"/>
      <name val="Arial"/>
      <family val="2"/>
    </font>
    <font>
      <sz val="13"/>
      <color theme="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sz val="13"/>
      <color theme="1"/>
      <name val="Arial"/>
      <family val="2"/>
    </font>
    <font>
      <sz val="9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dashDot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" fillId="0" borderId="0"/>
  </cellStyleXfs>
  <cellXfs count="254">
    <xf numFmtId="0" fontId="0" fillId="0" borderId="0" xfId="0"/>
    <xf numFmtId="0" fontId="4" fillId="0" borderId="0" xfId="0" applyFont="1" applyFill="1" applyAlignment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164" fontId="4" fillId="0" borderId="0" xfId="0" applyNumberFormat="1" applyFont="1" applyFill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11" fillId="4" borderId="0" xfId="0" applyFont="1" applyFill="1" applyBorder="1"/>
    <xf numFmtId="0" fontId="4" fillId="0" borderId="1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/>
    </xf>
    <xf numFmtId="0" fontId="19" fillId="4" borderId="0" xfId="1" applyFont="1" applyFill="1" applyBorder="1" applyAlignment="1"/>
    <xf numFmtId="0" fontId="19" fillId="4" borderId="0" xfId="0" applyFont="1" applyFill="1" applyBorder="1"/>
    <xf numFmtId="0" fontId="6" fillId="4" borderId="0" xfId="2" applyFill="1" applyBorder="1"/>
    <xf numFmtId="0" fontId="6" fillId="4" borderId="0" xfId="2" applyFill="1"/>
    <xf numFmtId="0" fontId="7" fillId="4" borderId="0" xfId="2" applyFont="1" applyFill="1" applyBorder="1" applyAlignment="1">
      <alignment horizontal="centerContinuous"/>
    </xf>
    <xf numFmtId="0" fontId="6" fillId="4" borderId="20" xfId="2" applyFill="1" applyBorder="1"/>
    <xf numFmtId="0" fontId="6" fillId="4" borderId="1" xfId="2" applyFill="1" applyBorder="1"/>
    <xf numFmtId="0" fontId="8" fillId="4" borderId="1" xfId="2" applyFont="1" applyFill="1" applyBorder="1"/>
    <xf numFmtId="0" fontId="6" fillId="4" borderId="21" xfId="2" applyFill="1" applyBorder="1"/>
    <xf numFmtId="0" fontId="6" fillId="4" borderId="22" xfId="2" applyFill="1" applyBorder="1"/>
    <xf numFmtId="0" fontId="8" fillId="4" borderId="0" xfId="2" applyFont="1" applyFill="1" applyBorder="1"/>
    <xf numFmtId="0" fontId="6" fillId="4" borderId="23" xfId="2" applyFill="1" applyBorder="1"/>
    <xf numFmtId="0" fontId="9" fillId="4" borderId="22" xfId="2" applyFont="1" applyFill="1" applyBorder="1"/>
    <xf numFmtId="0" fontId="8" fillId="4" borderId="0" xfId="2" applyFont="1" applyFill="1"/>
    <xf numFmtId="0" fontId="8" fillId="4" borderId="0" xfId="2" applyFont="1" applyFill="1" applyBorder="1" applyAlignment="1">
      <alignment horizontal="left"/>
    </xf>
    <xf numFmtId="0" fontId="6" fillId="4" borderId="24" xfId="2" applyFill="1" applyBorder="1"/>
    <xf numFmtId="0" fontId="6" fillId="4" borderId="2" xfId="2" applyFill="1" applyBorder="1"/>
    <xf numFmtId="0" fontId="8" fillId="4" borderId="2" xfId="2" applyFont="1" applyFill="1" applyBorder="1"/>
    <xf numFmtId="0" fontId="8" fillId="4" borderId="2" xfId="2" applyFont="1" applyFill="1" applyBorder="1" applyAlignment="1">
      <alignment horizontal="left"/>
    </xf>
    <xf numFmtId="0" fontId="8" fillId="4" borderId="0" xfId="2" quotePrefix="1" applyFont="1" applyFill="1" applyBorder="1" applyAlignment="1">
      <alignment horizontal="left"/>
    </xf>
    <xf numFmtId="0" fontId="6" fillId="4" borderId="2" xfId="2" applyFont="1" applyFill="1" applyBorder="1"/>
    <xf numFmtId="0" fontId="6" fillId="4" borderId="25" xfId="2" applyFill="1" applyBorder="1"/>
    <xf numFmtId="0" fontId="10" fillId="4" borderId="22" xfId="2" applyFont="1" applyFill="1" applyBorder="1"/>
    <xf numFmtId="0" fontId="10" fillId="4" borderId="0" xfId="2" applyFont="1" applyFill="1" applyBorder="1" applyAlignment="1">
      <alignment horizontal="left"/>
    </xf>
    <xf numFmtId="0" fontId="11" fillId="4" borderId="0" xfId="2" applyFont="1" applyFill="1" applyBorder="1"/>
    <xf numFmtId="0" fontId="6" fillId="4" borderId="0" xfId="2" applyFill="1" applyBorder="1" applyAlignment="1">
      <alignment horizontal="right"/>
    </xf>
    <xf numFmtId="0" fontId="10" fillId="4" borderId="3" xfId="2" applyFont="1" applyFill="1" applyBorder="1"/>
    <xf numFmtId="0" fontId="6" fillId="4" borderId="4" xfId="2" applyFill="1" applyBorder="1"/>
    <xf numFmtId="0" fontId="10" fillId="4" borderId="4" xfId="2" applyFont="1" applyFill="1" applyBorder="1"/>
    <xf numFmtId="0" fontId="11" fillId="4" borderId="4" xfId="2" applyFont="1" applyFill="1" applyBorder="1" applyAlignment="1">
      <alignment horizontal="left"/>
    </xf>
    <xf numFmtId="0" fontId="12" fillId="4" borderId="4" xfId="2" quotePrefix="1" applyFont="1" applyFill="1" applyBorder="1"/>
    <xf numFmtId="0" fontId="12" fillId="4" borderId="4" xfId="2" applyFont="1" applyFill="1" applyBorder="1"/>
    <xf numFmtId="0" fontId="6" fillId="4" borderId="26" xfId="2" applyFill="1" applyBorder="1"/>
    <xf numFmtId="165" fontId="11" fillId="4" borderId="0" xfId="2" quotePrefix="1" applyNumberFormat="1" applyFont="1" applyFill="1" applyBorder="1" applyAlignment="1">
      <alignment horizontal="left"/>
    </xf>
    <xf numFmtId="164" fontId="12" fillId="4" borderId="4" xfId="3" applyNumberFormat="1" applyFont="1" applyFill="1" applyBorder="1" applyAlignment="1">
      <alignment horizontal="centerContinuous"/>
    </xf>
    <xf numFmtId="0" fontId="6" fillId="4" borderId="4" xfId="2" applyFill="1" applyBorder="1" applyAlignment="1">
      <alignment horizontal="centerContinuous"/>
    </xf>
    <xf numFmtId="0" fontId="12" fillId="4" borderId="4" xfId="2" applyFont="1" applyFill="1" applyBorder="1" applyAlignment="1">
      <alignment horizontal="centerContinuous"/>
    </xf>
    <xf numFmtId="0" fontId="6" fillId="4" borderId="16" xfId="2" applyFill="1" applyBorder="1"/>
    <xf numFmtId="0" fontId="10" fillId="4" borderId="30" xfId="2" applyFont="1" applyFill="1" applyBorder="1"/>
    <xf numFmtId="0" fontId="6" fillId="4" borderId="31" xfId="2" applyFill="1" applyBorder="1"/>
    <xf numFmtId="0" fontId="10" fillId="4" borderId="31" xfId="2" applyFont="1" applyFill="1" applyBorder="1"/>
    <xf numFmtId="166" fontId="11" fillId="4" borderId="31" xfId="2" applyNumberFormat="1" applyFont="1" applyFill="1" applyBorder="1" applyAlignment="1">
      <alignment horizontal="left"/>
    </xf>
    <xf numFmtId="0" fontId="12" fillId="4" borderId="31" xfId="2" applyFont="1" applyFill="1" applyBorder="1"/>
    <xf numFmtId="0" fontId="12" fillId="4" borderId="31" xfId="2" quotePrefix="1" applyFont="1" applyFill="1" applyBorder="1"/>
    <xf numFmtId="0" fontId="6" fillId="4" borderId="32" xfId="2" applyFill="1" applyBorder="1"/>
    <xf numFmtId="0" fontId="10" fillId="4" borderId="22" xfId="2" quotePrefix="1" applyFont="1" applyFill="1" applyBorder="1" applyAlignment="1">
      <alignment horizontal="left"/>
    </xf>
    <xf numFmtId="0" fontId="6" fillId="4" borderId="27" xfId="2" applyFill="1" applyBorder="1"/>
    <xf numFmtId="0" fontId="10" fillId="4" borderId="33" xfId="2" applyFont="1" applyFill="1" applyBorder="1"/>
    <xf numFmtId="0" fontId="6" fillId="4" borderId="6" xfId="2" applyFill="1" applyBorder="1"/>
    <xf numFmtId="0" fontId="10" fillId="4" borderId="0" xfId="2" applyFont="1" applyFill="1" applyBorder="1"/>
    <xf numFmtId="166" fontId="11" fillId="4" borderId="0" xfId="2" applyNumberFormat="1" applyFont="1" applyFill="1" applyBorder="1" applyAlignment="1">
      <alignment horizontal="left"/>
    </xf>
    <xf numFmtId="0" fontId="12" fillId="4" borderId="0" xfId="2" applyFont="1" applyFill="1" applyBorder="1"/>
    <xf numFmtId="0" fontId="12" fillId="4" borderId="0" xfId="2" quotePrefix="1" applyFont="1" applyFill="1" applyBorder="1"/>
    <xf numFmtId="0" fontId="13" fillId="4" borderId="20" xfId="2" applyFont="1" applyFill="1" applyBorder="1"/>
    <xf numFmtId="0" fontId="12" fillId="4" borderId="1" xfId="2" applyFont="1" applyFill="1" applyBorder="1"/>
    <xf numFmtId="0" fontId="13" fillId="4" borderId="1" xfId="2" applyFont="1" applyFill="1" applyBorder="1"/>
    <xf numFmtId="0" fontId="11" fillId="4" borderId="1" xfId="2" applyFont="1" applyFill="1" applyBorder="1" applyAlignment="1">
      <alignment horizontal="left"/>
    </xf>
    <xf numFmtId="0" fontId="13" fillId="4" borderId="0" xfId="2" applyFont="1" applyFill="1" applyBorder="1"/>
    <xf numFmtId="0" fontId="11" fillId="4" borderId="22" xfId="2" applyFont="1" applyFill="1" applyBorder="1"/>
    <xf numFmtId="0" fontId="14" fillId="4" borderId="0" xfId="2" applyFont="1" applyFill="1" applyBorder="1"/>
    <xf numFmtId="0" fontId="11" fillId="4" borderId="23" xfId="2" applyFont="1" applyFill="1" applyBorder="1"/>
    <xf numFmtId="0" fontId="11" fillId="4" borderId="0" xfId="2" applyFont="1" applyFill="1"/>
    <xf numFmtId="0" fontId="22" fillId="4" borderId="0" xfId="2" applyFont="1" applyFill="1" applyBorder="1"/>
    <xf numFmtId="0" fontId="10" fillId="4" borderId="0" xfId="2" applyFont="1" applyFill="1" applyBorder="1" applyAlignment="1">
      <alignment horizontal="centerContinuous"/>
    </xf>
    <xf numFmtId="0" fontId="11" fillId="4" borderId="0" xfId="2" quotePrefix="1" applyFont="1" applyFill="1" applyBorder="1" applyAlignment="1">
      <alignment horizontal="left"/>
    </xf>
    <xf numFmtId="0" fontId="11" fillId="4" borderId="0" xfId="2" quotePrefix="1" applyFont="1" applyFill="1" applyBorder="1"/>
    <xf numFmtId="0" fontId="11" fillId="4" borderId="3" xfId="2" applyFont="1" applyFill="1" applyBorder="1"/>
    <xf numFmtId="0" fontId="11" fillId="4" borderId="4" xfId="2" applyFont="1" applyFill="1" applyBorder="1"/>
    <xf numFmtId="0" fontId="11" fillId="4" borderId="35" xfId="2" applyFont="1" applyFill="1" applyBorder="1"/>
    <xf numFmtId="0" fontId="11" fillId="4" borderId="22" xfId="2" quotePrefix="1" applyFont="1" applyFill="1" applyBorder="1" applyAlignment="1">
      <alignment horizontal="left"/>
    </xf>
    <xf numFmtId="0" fontId="11" fillId="4" borderId="22" xfId="2" applyFont="1" applyFill="1" applyBorder="1" applyAlignment="1">
      <alignment horizontal="left"/>
    </xf>
    <xf numFmtId="15" fontId="11" fillId="4" borderId="0" xfId="2" applyNumberFormat="1" applyFont="1" applyFill="1"/>
    <xf numFmtId="0" fontId="15" fillId="4" borderId="0" xfId="2" applyFont="1" applyFill="1" applyBorder="1"/>
    <xf numFmtId="167" fontId="10" fillId="4" borderId="0" xfId="2" applyNumberFormat="1" applyFont="1" applyFill="1" applyBorder="1" applyAlignment="1"/>
    <xf numFmtId="0" fontId="16" fillId="4" borderId="0" xfId="2" applyFont="1" applyFill="1" applyBorder="1"/>
    <xf numFmtId="0" fontId="17" fillId="4" borderId="0" xfId="2" applyFont="1" applyFill="1" applyBorder="1"/>
    <xf numFmtId="0" fontId="11" fillId="4" borderId="0" xfId="2" applyFont="1" applyFill="1" applyBorder="1" applyAlignment="1">
      <alignment horizontal="left"/>
    </xf>
    <xf numFmtId="0" fontId="18" fillId="4" borderId="0" xfId="2" applyFont="1" applyFill="1" applyBorder="1"/>
    <xf numFmtId="0" fontId="19" fillId="4" borderId="0" xfId="2" applyFont="1" applyFill="1" applyBorder="1" applyAlignment="1"/>
    <xf numFmtId="0" fontId="20" fillId="4" borderId="0" xfId="2" applyFont="1" applyFill="1" applyBorder="1" applyAlignment="1"/>
    <xf numFmtId="0" fontId="21" fillId="4" borderId="0" xfId="2" applyFont="1" applyFill="1" applyBorder="1" applyAlignment="1"/>
    <xf numFmtId="0" fontId="11" fillId="4" borderId="0" xfId="2" applyFont="1" applyFill="1" applyBorder="1" applyAlignment="1">
      <alignment horizontal="centerContinuous"/>
    </xf>
    <xf numFmtId="0" fontId="20" fillId="4" borderId="0" xfId="2" applyFont="1" applyFill="1" applyBorder="1" applyAlignment="1">
      <alignment horizontal="centerContinuous"/>
    </xf>
    <xf numFmtId="0" fontId="21" fillId="4" borderId="0" xfId="2" applyFont="1" applyFill="1" applyBorder="1" applyAlignment="1">
      <alignment horizontal="centerContinuous"/>
    </xf>
    <xf numFmtId="0" fontId="15" fillId="4" borderId="0" xfId="2" applyFont="1" applyFill="1" applyBorder="1" applyAlignment="1"/>
    <xf numFmtId="0" fontId="11" fillId="4" borderId="28" xfId="2" applyFont="1" applyFill="1" applyBorder="1"/>
    <xf numFmtId="0" fontId="11" fillId="4" borderId="6" xfId="2" applyFont="1" applyFill="1" applyBorder="1"/>
    <xf numFmtId="0" fontId="11" fillId="4" borderId="6" xfId="2" applyFont="1" applyFill="1" applyBorder="1" applyAlignment="1">
      <alignment horizontal="centerContinuous"/>
    </xf>
    <xf numFmtId="0" fontId="11" fillId="4" borderId="29" xfId="2" applyFont="1" applyFill="1" applyBorder="1"/>
    <xf numFmtId="0" fontId="11" fillId="4" borderId="0" xfId="2" applyFont="1" applyFill="1" applyBorder="1" applyAlignment="1">
      <alignment horizontal="center" vertical="center"/>
    </xf>
    <xf numFmtId="0" fontId="11" fillId="4" borderId="0" xfId="2" applyFont="1" applyFill="1" applyBorder="1" applyAlignment="1">
      <alignment vertical="center"/>
    </xf>
    <xf numFmtId="0" fontId="11" fillId="4" borderId="0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center" vertical="center"/>
    </xf>
    <xf numFmtId="0" fontId="0" fillId="4" borderId="0" xfId="2" applyFont="1" applyFill="1" applyBorder="1"/>
    <xf numFmtId="0" fontId="10" fillId="4" borderId="12" xfId="2" applyFont="1" applyFill="1" applyBorder="1"/>
    <xf numFmtId="0" fontId="11" fillId="4" borderId="0" xfId="1" applyFont="1" applyFill="1" applyBorder="1" applyAlignment="1">
      <alignment horizontal="left"/>
    </xf>
    <xf numFmtId="0" fontId="15" fillId="4" borderId="0" xfId="1" applyFont="1" applyFill="1" applyBorder="1" applyAlignment="1"/>
    <xf numFmtId="164" fontId="5" fillId="0" borderId="7" xfId="0" applyNumberFormat="1" applyFont="1" applyFill="1" applyBorder="1" applyAlignment="1">
      <alignment horizontal="center" vertical="center"/>
    </xf>
    <xf numFmtId="41" fontId="5" fillId="0" borderId="13" xfId="0" applyNumberFormat="1" applyFont="1" applyFill="1" applyBorder="1" applyAlignment="1">
      <alignment horizontal="center" vertical="center"/>
    </xf>
    <xf numFmtId="41" fontId="5" fillId="0" borderId="8" xfId="0" applyNumberFormat="1" applyFont="1" applyFill="1" applyBorder="1" applyAlignment="1">
      <alignment horizontal="center" vertical="center"/>
    </xf>
    <xf numFmtId="41" fontId="4" fillId="0" borderId="0" xfId="0" applyNumberFormat="1" applyFont="1" applyFill="1" applyAlignme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 vertical="center"/>
    </xf>
    <xf numFmtId="41" fontId="5" fillId="5" borderId="13" xfId="0" applyNumberFormat="1" applyFont="1" applyFill="1" applyBorder="1" applyAlignment="1">
      <alignment horizontal="center" vertical="center"/>
    </xf>
    <xf numFmtId="168" fontId="4" fillId="6" borderId="10" xfId="0" applyNumberFormat="1" applyFont="1" applyFill="1" applyBorder="1" applyAlignment="1">
      <alignment horizontal="center" vertical="center"/>
    </xf>
    <xf numFmtId="41" fontId="24" fillId="5" borderId="13" xfId="0" applyNumberFormat="1" applyFont="1" applyFill="1" applyBorder="1" applyAlignment="1">
      <alignment horizontal="center" vertical="center"/>
    </xf>
    <xf numFmtId="41" fontId="4" fillId="0" borderId="13" xfId="0" applyNumberFormat="1" applyFont="1" applyFill="1" applyBorder="1" applyAlignment="1">
      <alignment horizontal="left" vertical="center"/>
    </xf>
    <xf numFmtId="0" fontId="4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vertical="center"/>
    </xf>
    <xf numFmtId="16" fontId="4" fillId="0" borderId="35" xfId="0" applyNumberFormat="1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41" fontId="24" fillId="5" borderId="13" xfId="0" applyNumberFormat="1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/>
    </xf>
    <xf numFmtId="164" fontId="29" fillId="0" borderId="7" xfId="0" applyNumberFormat="1" applyFont="1" applyFill="1" applyBorder="1" applyAlignment="1">
      <alignment horizontal="center" vertical="center"/>
    </xf>
    <xf numFmtId="41" fontId="30" fillId="0" borderId="7" xfId="0" applyNumberFormat="1" applyFont="1" applyBorder="1" applyAlignment="1">
      <alignment vertical="center"/>
    </xf>
    <xf numFmtId="41" fontId="31" fillId="10" borderId="7" xfId="0" applyNumberFormat="1" applyFont="1" applyFill="1" applyBorder="1" applyAlignment="1">
      <alignment vertical="center"/>
    </xf>
    <xf numFmtId="0" fontId="0" fillId="10" borderId="7" xfId="0" applyFill="1" applyBorder="1"/>
    <xf numFmtId="41" fontId="0" fillId="0" borderId="0" xfId="0" applyNumberFormat="1"/>
    <xf numFmtId="0" fontId="0" fillId="0" borderId="9" xfId="0" applyFont="1" applyFill="1" applyBorder="1" applyAlignment="1">
      <alignment horizontal="left" vertical="center"/>
    </xf>
    <xf numFmtId="0" fontId="0" fillId="8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left" vertical="center"/>
    </xf>
    <xf numFmtId="41" fontId="0" fillId="0" borderId="13" xfId="0" applyNumberFormat="1" applyFont="1" applyFill="1" applyBorder="1" applyAlignment="1">
      <alignment horizontal="left" vertical="center"/>
    </xf>
    <xf numFmtId="0" fontId="4" fillId="9" borderId="13" xfId="0" applyFont="1" applyFill="1" applyBorder="1" applyAlignment="1">
      <alignment horizontal="left" vertical="center"/>
    </xf>
    <xf numFmtId="0" fontId="4" fillId="11" borderId="13" xfId="0" applyFont="1" applyFill="1" applyBorder="1" applyAlignment="1">
      <alignment horizontal="left" vertical="center"/>
    </xf>
    <xf numFmtId="0" fontId="4" fillId="7" borderId="13" xfId="0" applyFont="1" applyFill="1" applyBorder="1" applyAlignment="1">
      <alignment horizontal="left" vertical="center"/>
    </xf>
    <xf numFmtId="41" fontId="5" fillId="0" borderId="13" xfId="0" applyNumberFormat="1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left" vertical="center"/>
    </xf>
    <xf numFmtId="0" fontId="4" fillId="13" borderId="13" xfId="0" applyFont="1" applyFill="1" applyBorder="1" applyAlignment="1">
      <alignment horizontal="left" vertical="center"/>
    </xf>
    <xf numFmtId="0" fontId="32" fillId="0" borderId="0" xfId="0" applyFont="1" applyFill="1" applyAlignment="1">
      <alignment horizontal="center" vertical="center"/>
    </xf>
    <xf numFmtId="0" fontId="0" fillId="14" borderId="0" xfId="0" applyFill="1"/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29" fillId="0" borderId="7" xfId="0" applyNumberFormat="1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41" fontId="30" fillId="15" borderId="7" xfId="0" applyNumberFormat="1" applyFont="1" applyFill="1" applyBorder="1" applyAlignment="1">
      <alignment horizontal="left" vertical="center"/>
    </xf>
    <xf numFmtId="41" fontId="33" fillId="15" borderId="7" xfId="0" applyNumberFormat="1" applyFont="1" applyFill="1" applyBorder="1" applyAlignment="1">
      <alignment horizontal="left" vertical="center"/>
    </xf>
    <xf numFmtId="41" fontId="30" fillId="0" borderId="7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5" fillId="0" borderId="42" xfId="0" applyNumberFormat="1" applyFont="1" applyFill="1" applyBorder="1" applyAlignment="1">
      <alignment horizontal="center" vertical="center"/>
    </xf>
    <xf numFmtId="0" fontId="5" fillId="0" borderId="43" xfId="0" applyNumberFormat="1" applyFont="1" applyFill="1" applyBorder="1" applyAlignment="1">
      <alignment horizontal="center" vertical="center"/>
    </xf>
    <xf numFmtId="41" fontId="4" fillId="16" borderId="13" xfId="0" applyNumberFormat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5" fillId="16" borderId="42" xfId="0" applyNumberFormat="1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14" fontId="11" fillId="4" borderId="3" xfId="2" applyNumberFormat="1" applyFont="1" applyFill="1" applyBorder="1" applyAlignment="1">
      <alignment wrapText="1"/>
    </xf>
    <xf numFmtId="14" fontId="11" fillId="4" borderId="4" xfId="2" applyNumberFormat="1" applyFont="1" applyFill="1" applyBorder="1" applyAlignment="1">
      <alignment wrapText="1"/>
    </xf>
    <xf numFmtId="14" fontId="11" fillId="4" borderId="35" xfId="2" applyNumberFormat="1" applyFont="1" applyFill="1" applyBorder="1" applyAlignment="1">
      <alignment wrapText="1"/>
    </xf>
    <xf numFmtId="0" fontId="11" fillId="4" borderId="4" xfId="2" applyFont="1" applyFill="1" applyBorder="1" applyAlignment="1">
      <alignment wrapText="1"/>
    </xf>
    <xf numFmtId="0" fontId="11" fillId="4" borderId="35" xfId="2" applyFont="1" applyFill="1" applyBorder="1" applyAlignment="1">
      <alignment wrapText="1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41" fontId="4" fillId="8" borderId="13" xfId="0" applyNumberFormat="1" applyFont="1" applyFill="1" applyBorder="1" applyAlignment="1">
      <alignment horizontal="left" vertical="center"/>
    </xf>
    <xf numFmtId="0" fontId="5" fillId="15" borderId="42" xfId="0" applyNumberFormat="1" applyFont="1" applyFill="1" applyBorder="1" applyAlignment="1">
      <alignment horizontal="center" vertical="center"/>
    </xf>
    <xf numFmtId="41" fontId="4" fillId="15" borderId="13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5" fillId="16" borderId="14" xfId="0" applyNumberFormat="1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5" fillId="15" borderId="14" xfId="0" applyNumberFormat="1" applyFont="1" applyFill="1" applyBorder="1" applyAlignment="1">
      <alignment horizontal="center" vertical="center"/>
    </xf>
    <xf numFmtId="0" fontId="5" fillId="0" borderId="14" xfId="0" applyNumberFormat="1" applyFont="1" applyFill="1" applyBorder="1" applyAlignment="1">
      <alignment horizontal="center" vertical="center"/>
    </xf>
    <xf numFmtId="0" fontId="5" fillId="18" borderId="42" xfId="0" applyNumberFormat="1" applyFont="1" applyFill="1" applyBorder="1" applyAlignment="1">
      <alignment horizontal="center" vertical="center"/>
    </xf>
    <xf numFmtId="41" fontId="4" fillId="18" borderId="13" xfId="0" applyNumberFormat="1" applyFont="1" applyFill="1" applyBorder="1" applyAlignment="1">
      <alignment horizontal="left" vertical="center"/>
    </xf>
    <xf numFmtId="0" fontId="11" fillId="4" borderId="3" xfId="2" applyFont="1" applyFill="1" applyBorder="1" applyAlignment="1">
      <alignment horizontal="center"/>
    </xf>
    <xf numFmtId="0" fontId="11" fillId="4" borderId="4" xfId="2" applyFont="1" applyFill="1" applyBorder="1" applyAlignment="1">
      <alignment horizontal="center"/>
    </xf>
    <xf numFmtId="0" fontId="11" fillId="4" borderId="35" xfId="2" applyFont="1" applyFill="1" applyBorder="1" applyAlignment="1">
      <alignment horizontal="center"/>
    </xf>
    <xf numFmtId="14" fontId="11" fillId="4" borderId="3" xfId="2" applyNumberFormat="1" applyFont="1" applyFill="1" applyBorder="1" applyAlignment="1">
      <alignment horizontal="center" wrapText="1"/>
    </xf>
    <xf numFmtId="14" fontId="11" fillId="4" borderId="4" xfId="2" applyNumberFormat="1" applyFont="1" applyFill="1" applyBorder="1" applyAlignment="1">
      <alignment horizontal="center" wrapText="1"/>
    </xf>
    <xf numFmtId="14" fontId="11" fillId="4" borderId="35" xfId="2" applyNumberFormat="1" applyFont="1" applyFill="1" applyBorder="1" applyAlignment="1">
      <alignment horizontal="center" wrapText="1"/>
    </xf>
    <xf numFmtId="0" fontId="23" fillId="4" borderId="36" xfId="2" applyFont="1" applyFill="1" applyBorder="1" applyAlignment="1">
      <alignment horizontal="center" vertical="center"/>
    </xf>
    <xf numFmtId="0" fontId="23" fillId="4" borderId="37" xfId="2" applyFont="1" applyFill="1" applyBorder="1" applyAlignment="1">
      <alignment horizontal="center" vertical="center"/>
    </xf>
    <xf numFmtId="0" fontId="23" fillId="4" borderId="38" xfId="2" applyFont="1" applyFill="1" applyBorder="1" applyAlignment="1">
      <alignment horizontal="center" vertical="center"/>
    </xf>
    <xf numFmtId="0" fontId="23" fillId="4" borderId="39" xfId="2" applyFont="1" applyFill="1" applyBorder="1" applyAlignment="1">
      <alignment horizontal="center" vertical="center"/>
    </xf>
    <xf numFmtId="0" fontId="23" fillId="4" borderId="40" xfId="2" applyFont="1" applyFill="1" applyBorder="1" applyAlignment="1">
      <alignment horizontal="center" vertical="center"/>
    </xf>
    <xf numFmtId="0" fontId="23" fillId="4" borderId="41" xfId="2" applyFont="1" applyFill="1" applyBorder="1" applyAlignment="1">
      <alignment horizontal="center" vertical="center"/>
    </xf>
    <xf numFmtId="0" fontId="11" fillId="4" borderId="30" xfId="2" applyFont="1" applyFill="1" applyBorder="1" applyAlignment="1">
      <alignment horizontal="center" vertical="center"/>
    </xf>
    <xf numFmtId="0" fontId="11" fillId="4" borderId="31" xfId="2" applyFont="1" applyFill="1" applyBorder="1" applyAlignment="1">
      <alignment horizontal="center" vertical="center"/>
    </xf>
    <xf numFmtId="0" fontId="11" fillId="4" borderId="34" xfId="2" applyFont="1" applyFill="1" applyBorder="1" applyAlignment="1">
      <alignment horizontal="center" vertical="center"/>
    </xf>
    <xf numFmtId="0" fontId="11" fillId="4" borderId="17" xfId="2" applyFont="1" applyFill="1" applyBorder="1" applyAlignment="1">
      <alignment horizontal="center" vertical="center"/>
    </xf>
    <xf numFmtId="0" fontId="11" fillId="4" borderId="2" xfId="2" applyFont="1" applyFill="1" applyBorder="1" applyAlignment="1">
      <alignment horizontal="center" vertical="center"/>
    </xf>
    <xf numFmtId="0" fontId="11" fillId="4" borderId="5" xfId="2" applyFont="1" applyFill="1" applyBorder="1" applyAlignment="1">
      <alignment horizontal="center" vertical="center"/>
    </xf>
    <xf numFmtId="0" fontId="11" fillId="4" borderId="30" xfId="2" applyFont="1" applyFill="1" applyBorder="1" applyAlignment="1">
      <alignment horizontal="center"/>
    </xf>
    <xf numFmtId="0" fontId="11" fillId="4" borderId="31" xfId="2" applyFont="1" applyFill="1" applyBorder="1" applyAlignment="1">
      <alignment horizontal="center"/>
    </xf>
    <xf numFmtId="0" fontId="11" fillId="4" borderId="34" xfId="2" applyFont="1" applyFill="1" applyBorder="1" applyAlignment="1">
      <alignment horizontal="center"/>
    </xf>
    <xf numFmtId="0" fontId="11" fillId="4" borderId="17" xfId="2" applyFont="1" applyFill="1" applyBorder="1" applyAlignment="1">
      <alignment horizontal="center"/>
    </xf>
    <xf numFmtId="0" fontId="11" fillId="4" borderId="2" xfId="2" applyFont="1" applyFill="1" applyBorder="1" applyAlignment="1">
      <alignment horizontal="center"/>
    </xf>
    <xf numFmtId="0" fontId="11" fillId="4" borderId="5" xfId="2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5" fillId="7" borderId="7" xfId="0" applyFont="1" applyFill="1" applyBorder="1" applyAlignment="1">
      <alignment horizontal="center" vertical="center" wrapText="1"/>
    </xf>
    <xf numFmtId="0" fontId="25" fillId="17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164" fontId="29" fillId="15" borderId="3" xfId="0" applyNumberFormat="1" applyFont="1" applyFill="1" applyBorder="1" applyAlignment="1">
      <alignment horizontal="center" vertical="center"/>
    </xf>
    <xf numFmtId="164" fontId="29" fillId="15" borderId="35" xfId="0" applyNumberFormat="1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right"/>
    </xf>
    <xf numFmtId="0" fontId="4" fillId="0" borderId="3" xfId="0" applyNumberFormat="1" applyFont="1" applyFill="1" applyBorder="1" applyAlignment="1">
      <alignment vertical="center"/>
    </xf>
    <xf numFmtId="0" fontId="4" fillId="0" borderId="4" xfId="0" applyNumberFormat="1" applyFont="1" applyFill="1" applyBorder="1" applyAlignment="1">
      <alignment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19" borderId="4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10" xfId="1"/>
    <cellStyle name="Normal 7" xfId="4"/>
    <cellStyle name="Normal 7 2" xfId="5"/>
    <cellStyle name="Normal_Contoh PO SOC free(1)" xfId="2"/>
    <cellStyle name="Normal_PO KYOSHIN NOV ' 06" xfId="3"/>
  </cellStyles>
  <dxfs count="108"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</dxfs>
  <tableStyles count="0" defaultTableStyle="TableStyleMedium9" defaultPivotStyle="PivotStyleLight16"/>
  <colors>
    <mruColors>
      <color rgb="FFFF00FF"/>
      <color rgb="FFCCFF99"/>
      <color rgb="FF99FF99"/>
      <color rgb="FFFF3399"/>
      <color rgb="FFFF99FF"/>
      <color rgb="FFFFCC99"/>
      <color rgb="FFFFCC66"/>
      <color rgb="FFFFFFCC"/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76200</xdr:colOff>
      <xdr:row>2</xdr:row>
      <xdr:rowOff>19050</xdr:rowOff>
    </xdr:from>
    <xdr:to>
      <xdr:col>34</xdr:col>
      <xdr:colOff>178593</xdr:colOff>
      <xdr:row>8</xdr:row>
      <xdr:rowOff>219075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232" t="4829" r="3970" b="15459"/>
        <a:stretch>
          <a:fillRect/>
        </a:stretch>
      </xdr:blipFill>
      <xdr:spPr bwMode="auto">
        <a:xfrm>
          <a:off x="2857500" y="485775"/>
          <a:ext cx="360045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35</xdr:row>
      <xdr:rowOff>38100</xdr:rowOff>
    </xdr:from>
    <xdr:to>
      <xdr:col>22</xdr:col>
      <xdr:colOff>38100</xdr:colOff>
      <xdr:row>41</xdr:row>
      <xdr:rowOff>85724</xdr:rowOff>
    </xdr:to>
    <xdr:pic>
      <xdr:nvPicPr>
        <xdr:cNvPr id="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305550"/>
          <a:ext cx="280987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50</xdr:row>
      <xdr:rowOff>190501</xdr:rowOff>
    </xdr:from>
    <xdr:to>
      <xdr:col>13</xdr:col>
      <xdr:colOff>92869</xdr:colOff>
      <xdr:row>55</xdr:row>
      <xdr:rowOff>71439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95250" y="9632157"/>
          <a:ext cx="2390775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 Narrow"/>
            </a:rPr>
            <a:t>Remarks :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 Narrow"/>
            </a:rPr>
            <a:t>- Delivery Address :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 Narrow"/>
            </a:rPr>
            <a:t>  Ngoro Industri Persada, T1 Ngoro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 Narrow"/>
            </a:rPr>
            <a:t>  Mojokerto, East Java, Indonesia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 Narrow"/>
            </a:rPr>
            <a:t>- Buyer : SAI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 Narrow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277091</xdr:colOff>
      <xdr:row>107</xdr:row>
      <xdr:rowOff>380999</xdr:rowOff>
    </xdr:from>
    <xdr:to>
      <xdr:col>20</xdr:col>
      <xdr:colOff>900545</xdr:colOff>
      <xdr:row>109</xdr:row>
      <xdr:rowOff>0</xdr:rowOff>
    </xdr:to>
    <xdr:sp macro="" textlink="">
      <xdr:nvSpPr>
        <xdr:cNvPr id="2" name="Isosceles Triangle 1"/>
        <xdr:cNvSpPr/>
      </xdr:nvSpPr>
      <xdr:spPr>
        <a:xfrm>
          <a:off x="10945091" y="46724454"/>
          <a:ext cx="623454" cy="519546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66"/>
  <sheetViews>
    <sheetView topLeftCell="A4" zoomScale="80" zoomScaleNormal="80" workbookViewId="0">
      <selection activeCell="M21" activeCellId="3" sqref="M24:S24 M23:S23 M22:S22 M21:S21"/>
    </sheetView>
  </sheetViews>
  <sheetFormatPr defaultRowHeight="12.75" x14ac:dyDescent="0.2"/>
  <cols>
    <col min="1" max="1" width="3.28515625" style="21" customWidth="1"/>
    <col min="2" max="3" width="2.7109375" style="21" customWidth="1"/>
    <col min="4" max="4" width="3" style="21" customWidth="1"/>
    <col min="5" max="5" width="2.85546875" style="21" customWidth="1"/>
    <col min="6" max="18" width="2.7109375" style="21" customWidth="1"/>
    <col min="19" max="19" width="3.140625" style="21" customWidth="1"/>
    <col min="20" max="21" width="2.7109375" style="21" customWidth="1"/>
    <col min="22" max="22" width="3.140625" style="21" customWidth="1"/>
    <col min="23" max="34" width="2.7109375" style="21" customWidth="1"/>
    <col min="35" max="35" width="8.85546875" style="21" customWidth="1"/>
    <col min="36" max="37" width="2.7109375" style="21" customWidth="1"/>
    <col min="38" max="38" width="9.5703125" style="21" bestFit="1" customWidth="1"/>
    <col min="39" max="39" width="4" style="21" bestFit="1" customWidth="1"/>
    <col min="40" max="40" width="10" style="21" bestFit="1" customWidth="1"/>
    <col min="41" max="41" width="20.140625" style="21" customWidth="1"/>
    <col min="42" max="256" width="9.140625" style="21"/>
    <col min="257" max="257" width="3.28515625" style="21" customWidth="1"/>
    <col min="258" max="259" width="2.7109375" style="21" customWidth="1"/>
    <col min="260" max="260" width="3" style="21" customWidth="1"/>
    <col min="261" max="261" width="2.85546875" style="21" customWidth="1"/>
    <col min="262" max="274" width="2.7109375" style="21" customWidth="1"/>
    <col min="275" max="275" width="3.140625" style="21" customWidth="1"/>
    <col min="276" max="277" width="2.7109375" style="21" customWidth="1"/>
    <col min="278" max="278" width="3.140625" style="21" customWidth="1"/>
    <col min="279" max="293" width="2.7109375" style="21" customWidth="1"/>
    <col min="294" max="294" width="9.5703125" style="21" bestFit="1" customWidth="1"/>
    <col min="295" max="295" width="4" style="21" bestFit="1" customWidth="1"/>
    <col min="296" max="296" width="10" style="21" bestFit="1" customWidth="1"/>
    <col min="297" max="297" width="20.140625" style="21" customWidth="1"/>
    <col min="298" max="512" width="9.140625" style="21"/>
    <col min="513" max="513" width="3.28515625" style="21" customWidth="1"/>
    <col min="514" max="515" width="2.7109375" style="21" customWidth="1"/>
    <col min="516" max="516" width="3" style="21" customWidth="1"/>
    <col min="517" max="517" width="2.85546875" style="21" customWidth="1"/>
    <col min="518" max="530" width="2.7109375" style="21" customWidth="1"/>
    <col min="531" max="531" width="3.140625" style="21" customWidth="1"/>
    <col min="532" max="533" width="2.7109375" style="21" customWidth="1"/>
    <col min="534" max="534" width="3.140625" style="21" customWidth="1"/>
    <col min="535" max="549" width="2.7109375" style="21" customWidth="1"/>
    <col min="550" max="550" width="9.5703125" style="21" bestFit="1" customWidth="1"/>
    <col min="551" max="551" width="4" style="21" bestFit="1" customWidth="1"/>
    <col min="552" max="552" width="10" style="21" bestFit="1" customWidth="1"/>
    <col min="553" max="553" width="20.140625" style="21" customWidth="1"/>
    <col min="554" max="768" width="9.140625" style="21"/>
    <col min="769" max="769" width="3.28515625" style="21" customWidth="1"/>
    <col min="770" max="771" width="2.7109375" style="21" customWidth="1"/>
    <col min="772" max="772" width="3" style="21" customWidth="1"/>
    <col min="773" max="773" width="2.85546875" style="21" customWidth="1"/>
    <col min="774" max="786" width="2.7109375" style="21" customWidth="1"/>
    <col min="787" max="787" width="3.140625" style="21" customWidth="1"/>
    <col min="788" max="789" width="2.7109375" style="21" customWidth="1"/>
    <col min="790" max="790" width="3.140625" style="21" customWidth="1"/>
    <col min="791" max="805" width="2.7109375" style="21" customWidth="1"/>
    <col min="806" max="806" width="9.5703125" style="21" bestFit="1" customWidth="1"/>
    <col min="807" max="807" width="4" style="21" bestFit="1" customWidth="1"/>
    <col min="808" max="808" width="10" style="21" bestFit="1" customWidth="1"/>
    <col min="809" max="809" width="20.140625" style="21" customWidth="1"/>
    <col min="810" max="1024" width="9.140625" style="21"/>
    <col min="1025" max="1025" width="3.28515625" style="21" customWidth="1"/>
    <col min="1026" max="1027" width="2.7109375" style="21" customWidth="1"/>
    <col min="1028" max="1028" width="3" style="21" customWidth="1"/>
    <col min="1029" max="1029" width="2.85546875" style="21" customWidth="1"/>
    <col min="1030" max="1042" width="2.7109375" style="21" customWidth="1"/>
    <col min="1043" max="1043" width="3.140625" style="21" customWidth="1"/>
    <col min="1044" max="1045" width="2.7109375" style="21" customWidth="1"/>
    <col min="1046" max="1046" width="3.140625" style="21" customWidth="1"/>
    <col min="1047" max="1061" width="2.7109375" style="21" customWidth="1"/>
    <col min="1062" max="1062" width="9.5703125" style="21" bestFit="1" customWidth="1"/>
    <col min="1063" max="1063" width="4" style="21" bestFit="1" customWidth="1"/>
    <col min="1064" max="1064" width="10" style="21" bestFit="1" customWidth="1"/>
    <col min="1065" max="1065" width="20.140625" style="21" customWidth="1"/>
    <col min="1066" max="1280" width="9.140625" style="21"/>
    <col min="1281" max="1281" width="3.28515625" style="21" customWidth="1"/>
    <col min="1282" max="1283" width="2.7109375" style="21" customWidth="1"/>
    <col min="1284" max="1284" width="3" style="21" customWidth="1"/>
    <col min="1285" max="1285" width="2.85546875" style="21" customWidth="1"/>
    <col min="1286" max="1298" width="2.7109375" style="21" customWidth="1"/>
    <col min="1299" max="1299" width="3.140625" style="21" customWidth="1"/>
    <col min="1300" max="1301" width="2.7109375" style="21" customWidth="1"/>
    <col min="1302" max="1302" width="3.140625" style="21" customWidth="1"/>
    <col min="1303" max="1317" width="2.7109375" style="21" customWidth="1"/>
    <col min="1318" max="1318" width="9.5703125" style="21" bestFit="1" customWidth="1"/>
    <col min="1319" max="1319" width="4" style="21" bestFit="1" customWidth="1"/>
    <col min="1320" max="1320" width="10" style="21" bestFit="1" customWidth="1"/>
    <col min="1321" max="1321" width="20.140625" style="21" customWidth="1"/>
    <col min="1322" max="1536" width="9.140625" style="21"/>
    <col min="1537" max="1537" width="3.28515625" style="21" customWidth="1"/>
    <col min="1538" max="1539" width="2.7109375" style="21" customWidth="1"/>
    <col min="1540" max="1540" width="3" style="21" customWidth="1"/>
    <col min="1541" max="1541" width="2.85546875" style="21" customWidth="1"/>
    <col min="1542" max="1554" width="2.7109375" style="21" customWidth="1"/>
    <col min="1555" max="1555" width="3.140625" style="21" customWidth="1"/>
    <col min="1556" max="1557" width="2.7109375" style="21" customWidth="1"/>
    <col min="1558" max="1558" width="3.140625" style="21" customWidth="1"/>
    <col min="1559" max="1573" width="2.7109375" style="21" customWidth="1"/>
    <col min="1574" max="1574" width="9.5703125" style="21" bestFit="1" customWidth="1"/>
    <col min="1575" max="1575" width="4" style="21" bestFit="1" customWidth="1"/>
    <col min="1576" max="1576" width="10" style="21" bestFit="1" customWidth="1"/>
    <col min="1577" max="1577" width="20.140625" style="21" customWidth="1"/>
    <col min="1578" max="1792" width="9.140625" style="21"/>
    <col min="1793" max="1793" width="3.28515625" style="21" customWidth="1"/>
    <col min="1794" max="1795" width="2.7109375" style="21" customWidth="1"/>
    <col min="1796" max="1796" width="3" style="21" customWidth="1"/>
    <col min="1797" max="1797" width="2.85546875" style="21" customWidth="1"/>
    <col min="1798" max="1810" width="2.7109375" style="21" customWidth="1"/>
    <col min="1811" max="1811" width="3.140625" style="21" customWidth="1"/>
    <col min="1812" max="1813" width="2.7109375" style="21" customWidth="1"/>
    <col min="1814" max="1814" width="3.140625" style="21" customWidth="1"/>
    <col min="1815" max="1829" width="2.7109375" style="21" customWidth="1"/>
    <col min="1830" max="1830" width="9.5703125" style="21" bestFit="1" customWidth="1"/>
    <col min="1831" max="1831" width="4" style="21" bestFit="1" customWidth="1"/>
    <col min="1832" max="1832" width="10" style="21" bestFit="1" customWidth="1"/>
    <col min="1833" max="1833" width="20.140625" style="21" customWidth="1"/>
    <col min="1834" max="2048" width="9.140625" style="21"/>
    <col min="2049" max="2049" width="3.28515625" style="21" customWidth="1"/>
    <col min="2050" max="2051" width="2.7109375" style="21" customWidth="1"/>
    <col min="2052" max="2052" width="3" style="21" customWidth="1"/>
    <col min="2053" max="2053" width="2.85546875" style="21" customWidth="1"/>
    <col min="2054" max="2066" width="2.7109375" style="21" customWidth="1"/>
    <col min="2067" max="2067" width="3.140625" style="21" customWidth="1"/>
    <col min="2068" max="2069" width="2.7109375" style="21" customWidth="1"/>
    <col min="2070" max="2070" width="3.140625" style="21" customWidth="1"/>
    <col min="2071" max="2085" width="2.7109375" style="21" customWidth="1"/>
    <col min="2086" max="2086" width="9.5703125" style="21" bestFit="1" customWidth="1"/>
    <col min="2087" max="2087" width="4" style="21" bestFit="1" customWidth="1"/>
    <col min="2088" max="2088" width="10" style="21" bestFit="1" customWidth="1"/>
    <col min="2089" max="2089" width="20.140625" style="21" customWidth="1"/>
    <col min="2090" max="2304" width="9.140625" style="21"/>
    <col min="2305" max="2305" width="3.28515625" style="21" customWidth="1"/>
    <col min="2306" max="2307" width="2.7109375" style="21" customWidth="1"/>
    <col min="2308" max="2308" width="3" style="21" customWidth="1"/>
    <col min="2309" max="2309" width="2.85546875" style="21" customWidth="1"/>
    <col min="2310" max="2322" width="2.7109375" style="21" customWidth="1"/>
    <col min="2323" max="2323" width="3.140625" style="21" customWidth="1"/>
    <col min="2324" max="2325" width="2.7109375" style="21" customWidth="1"/>
    <col min="2326" max="2326" width="3.140625" style="21" customWidth="1"/>
    <col min="2327" max="2341" width="2.7109375" style="21" customWidth="1"/>
    <col min="2342" max="2342" width="9.5703125" style="21" bestFit="1" customWidth="1"/>
    <col min="2343" max="2343" width="4" style="21" bestFit="1" customWidth="1"/>
    <col min="2344" max="2344" width="10" style="21" bestFit="1" customWidth="1"/>
    <col min="2345" max="2345" width="20.140625" style="21" customWidth="1"/>
    <col min="2346" max="2560" width="9.140625" style="21"/>
    <col min="2561" max="2561" width="3.28515625" style="21" customWidth="1"/>
    <col min="2562" max="2563" width="2.7109375" style="21" customWidth="1"/>
    <col min="2564" max="2564" width="3" style="21" customWidth="1"/>
    <col min="2565" max="2565" width="2.85546875" style="21" customWidth="1"/>
    <col min="2566" max="2578" width="2.7109375" style="21" customWidth="1"/>
    <col min="2579" max="2579" width="3.140625" style="21" customWidth="1"/>
    <col min="2580" max="2581" width="2.7109375" style="21" customWidth="1"/>
    <col min="2582" max="2582" width="3.140625" style="21" customWidth="1"/>
    <col min="2583" max="2597" width="2.7109375" style="21" customWidth="1"/>
    <col min="2598" max="2598" width="9.5703125" style="21" bestFit="1" customWidth="1"/>
    <col min="2599" max="2599" width="4" style="21" bestFit="1" customWidth="1"/>
    <col min="2600" max="2600" width="10" style="21" bestFit="1" customWidth="1"/>
    <col min="2601" max="2601" width="20.140625" style="21" customWidth="1"/>
    <col min="2602" max="2816" width="9.140625" style="21"/>
    <col min="2817" max="2817" width="3.28515625" style="21" customWidth="1"/>
    <col min="2818" max="2819" width="2.7109375" style="21" customWidth="1"/>
    <col min="2820" max="2820" width="3" style="21" customWidth="1"/>
    <col min="2821" max="2821" width="2.85546875" style="21" customWidth="1"/>
    <col min="2822" max="2834" width="2.7109375" style="21" customWidth="1"/>
    <col min="2835" max="2835" width="3.140625" style="21" customWidth="1"/>
    <col min="2836" max="2837" width="2.7109375" style="21" customWidth="1"/>
    <col min="2838" max="2838" width="3.140625" style="21" customWidth="1"/>
    <col min="2839" max="2853" width="2.7109375" style="21" customWidth="1"/>
    <col min="2854" max="2854" width="9.5703125" style="21" bestFit="1" customWidth="1"/>
    <col min="2855" max="2855" width="4" style="21" bestFit="1" customWidth="1"/>
    <col min="2856" max="2856" width="10" style="21" bestFit="1" customWidth="1"/>
    <col min="2857" max="2857" width="20.140625" style="21" customWidth="1"/>
    <col min="2858" max="3072" width="9.140625" style="21"/>
    <col min="3073" max="3073" width="3.28515625" style="21" customWidth="1"/>
    <col min="3074" max="3075" width="2.7109375" style="21" customWidth="1"/>
    <col min="3076" max="3076" width="3" style="21" customWidth="1"/>
    <col min="3077" max="3077" width="2.85546875" style="21" customWidth="1"/>
    <col min="3078" max="3090" width="2.7109375" style="21" customWidth="1"/>
    <col min="3091" max="3091" width="3.140625" style="21" customWidth="1"/>
    <col min="3092" max="3093" width="2.7109375" style="21" customWidth="1"/>
    <col min="3094" max="3094" width="3.140625" style="21" customWidth="1"/>
    <col min="3095" max="3109" width="2.7109375" style="21" customWidth="1"/>
    <col min="3110" max="3110" width="9.5703125" style="21" bestFit="1" customWidth="1"/>
    <col min="3111" max="3111" width="4" style="21" bestFit="1" customWidth="1"/>
    <col min="3112" max="3112" width="10" style="21" bestFit="1" customWidth="1"/>
    <col min="3113" max="3113" width="20.140625" style="21" customWidth="1"/>
    <col min="3114" max="3328" width="9.140625" style="21"/>
    <col min="3329" max="3329" width="3.28515625" style="21" customWidth="1"/>
    <col min="3330" max="3331" width="2.7109375" style="21" customWidth="1"/>
    <col min="3332" max="3332" width="3" style="21" customWidth="1"/>
    <col min="3333" max="3333" width="2.85546875" style="21" customWidth="1"/>
    <col min="3334" max="3346" width="2.7109375" style="21" customWidth="1"/>
    <col min="3347" max="3347" width="3.140625" style="21" customWidth="1"/>
    <col min="3348" max="3349" width="2.7109375" style="21" customWidth="1"/>
    <col min="3350" max="3350" width="3.140625" style="21" customWidth="1"/>
    <col min="3351" max="3365" width="2.7109375" style="21" customWidth="1"/>
    <col min="3366" max="3366" width="9.5703125" style="21" bestFit="1" customWidth="1"/>
    <col min="3367" max="3367" width="4" style="21" bestFit="1" customWidth="1"/>
    <col min="3368" max="3368" width="10" style="21" bestFit="1" customWidth="1"/>
    <col min="3369" max="3369" width="20.140625" style="21" customWidth="1"/>
    <col min="3370" max="3584" width="9.140625" style="21"/>
    <col min="3585" max="3585" width="3.28515625" style="21" customWidth="1"/>
    <col min="3586" max="3587" width="2.7109375" style="21" customWidth="1"/>
    <col min="3588" max="3588" width="3" style="21" customWidth="1"/>
    <col min="3589" max="3589" width="2.85546875" style="21" customWidth="1"/>
    <col min="3590" max="3602" width="2.7109375" style="21" customWidth="1"/>
    <col min="3603" max="3603" width="3.140625" style="21" customWidth="1"/>
    <col min="3604" max="3605" width="2.7109375" style="21" customWidth="1"/>
    <col min="3606" max="3606" width="3.140625" style="21" customWidth="1"/>
    <col min="3607" max="3621" width="2.7109375" style="21" customWidth="1"/>
    <col min="3622" max="3622" width="9.5703125" style="21" bestFit="1" customWidth="1"/>
    <col min="3623" max="3623" width="4" style="21" bestFit="1" customWidth="1"/>
    <col min="3624" max="3624" width="10" style="21" bestFit="1" customWidth="1"/>
    <col min="3625" max="3625" width="20.140625" style="21" customWidth="1"/>
    <col min="3626" max="3840" width="9.140625" style="21"/>
    <col min="3841" max="3841" width="3.28515625" style="21" customWidth="1"/>
    <col min="3842" max="3843" width="2.7109375" style="21" customWidth="1"/>
    <col min="3844" max="3844" width="3" style="21" customWidth="1"/>
    <col min="3845" max="3845" width="2.85546875" style="21" customWidth="1"/>
    <col min="3846" max="3858" width="2.7109375" style="21" customWidth="1"/>
    <col min="3859" max="3859" width="3.140625" style="21" customWidth="1"/>
    <col min="3860" max="3861" width="2.7109375" style="21" customWidth="1"/>
    <col min="3862" max="3862" width="3.140625" style="21" customWidth="1"/>
    <col min="3863" max="3877" width="2.7109375" style="21" customWidth="1"/>
    <col min="3878" max="3878" width="9.5703125" style="21" bestFit="1" customWidth="1"/>
    <col min="3879" max="3879" width="4" style="21" bestFit="1" customWidth="1"/>
    <col min="3880" max="3880" width="10" style="21" bestFit="1" customWidth="1"/>
    <col min="3881" max="3881" width="20.140625" style="21" customWidth="1"/>
    <col min="3882" max="4096" width="9.140625" style="21"/>
    <col min="4097" max="4097" width="3.28515625" style="21" customWidth="1"/>
    <col min="4098" max="4099" width="2.7109375" style="21" customWidth="1"/>
    <col min="4100" max="4100" width="3" style="21" customWidth="1"/>
    <col min="4101" max="4101" width="2.85546875" style="21" customWidth="1"/>
    <col min="4102" max="4114" width="2.7109375" style="21" customWidth="1"/>
    <col min="4115" max="4115" width="3.140625" style="21" customWidth="1"/>
    <col min="4116" max="4117" width="2.7109375" style="21" customWidth="1"/>
    <col min="4118" max="4118" width="3.140625" style="21" customWidth="1"/>
    <col min="4119" max="4133" width="2.7109375" style="21" customWidth="1"/>
    <col min="4134" max="4134" width="9.5703125" style="21" bestFit="1" customWidth="1"/>
    <col min="4135" max="4135" width="4" style="21" bestFit="1" customWidth="1"/>
    <col min="4136" max="4136" width="10" style="21" bestFit="1" customWidth="1"/>
    <col min="4137" max="4137" width="20.140625" style="21" customWidth="1"/>
    <col min="4138" max="4352" width="9.140625" style="21"/>
    <col min="4353" max="4353" width="3.28515625" style="21" customWidth="1"/>
    <col min="4354" max="4355" width="2.7109375" style="21" customWidth="1"/>
    <col min="4356" max="4356" width="3" style="21" customWidth="1"/>
    <col min="4357" max="4357" width="2.85546875" style="21" customWidth="1"/>
    <col min="4358" max="4370" width="2.7109375" style="21" customWidth="1"/>
    <col min="4371" max="4371" width="3.140625" style="21" customWidth="1"/>
    <col min="4372" max="4373" width="2.7109375" style="21" customWidth="1"/>
    <col min="4374" max="4374" width="3.140625" style="21" customWidth="1"/>
    <col min="4375" max="4389" width="2.7109375" style="21" customWidth="1"/>
    <col min="4390" max="4390" width="9.5703125" style="21" bestFit="1" customWidth="1"/>
    <col min="4391" max="4391" width="4" style="21" bestFit="1" customWidth="1"/>
    <col min="4392" max="4392" width="10" style="21" bestFit="1" customWidth="1"/>
    <col min="4393" max="4393" width="20.140625" style="21" customWidth="1"/>
    <col min="4394" max="4608" width="9.140625" style="21"/>
    <col min="4609" max="4609" width="3.28515625" style="21" customWidth="1"/>
    <col min="4610" max="4611" width="2.7109375" style="21" customWidth="1"/>
    <col min="4612" max="4612" width="3" style="21" customWidth="1"/>
    <col min="4613" max="4613" width="2.85546875" style="21" customWidth="1"/>
    <col min="4614" max="4626" width="2.7109375" style="21" customWidth="1"/>
    <col min="4627" max="4627" width="3.140625" style="21" customWidth="1"/>
    <col min="4628" max="4629" width="2.7109375" style="21" customWidth="1"/>
    <col min="4630" max="4630" width="3.140625" style="21" customWidth="1"/>
    <col min="4631" max="4645" width="2.7109375" style="21" customWidth="1"/>
    <col min="4646" max="4646" width="9.5703125" style="21" bestFit="1" customWidth="1"/>
    <col min="4647" max="4647" width="4" style="21" bestFit="1" customWidth="1"/>
    <col min="4648" max="4648" width="10" style="21" bestFit="1" customWidth="1"/>
    <col min="4649" max="4649" width="20.140625" style="21" customWidth="1"/>
    <col min="4650" max="4864" width="9.140625" style="21"/>
    <col min="4865" max="4865" width="3.28515625" style="21" customWidth="1"/>
    <col min="4866" max="4867" width="2.7109375" style="21" customWidth="1"/>
    <col min="4868" max="4868" width="3" style="21" customWidth="1"/>
    <col min="4869" max="4869" width="2.85546875" style="21" customWidth="1"/>
    <col min="4870" max="4882" width="2.7109375" style="21" customWidth="1"/>
    <col min="4883" max="4883" width="3.140625" style="21" customWidth="1"/>
    <col min="4884" max="4885" width="2.7109375" style="21" customWidth="1"/>
    <col min="4886" max="4886" width="3.140625" style="21" customWidth="1"/>
    <col min="4887" max="4901" width="2.7109375" style="21" customWidth="1"/>
    <col min="4902" max="4902" width="9.5703125" style="21" bestFit="1" customWidth="1"/>
    <col min="4903" max="4903" width="4" style="21" bestFit="1" customWidth="1"/>
    <col min="4904" max="4904" width="10" style="21" bestFit="1" customWidth="1"/>
    <col min="4905" max="4905" width="20.140625" style="21" customWidth="1"/>
    <col min="4906" max="5120" width="9.140625" style="21"/>
    <col min="5121" max="5121" width="3.28515625" style="21" customWidth="1"/>
    <col min="5122" max="5123" width="2.7109375" style="21" customWidth="1"/>
    <col min="5124" max="5124" width="3" style="21" customWidth="1"/>
    <col min="5125" max="5125" width="2.85546875" style="21" customWidth="1"/>
    <col min="5126" max="5138" width="2.7109375" style="21" customWidth="1"/>
    <col min="5139" max="5139" width="3.140625" style="21" customWidth="1"/>
    <col min="5140" max="5141" width="2.7109375" style="21" customWidth="1"/>
    <col min="5142" max="5142" width="3.140625" style="21" customWidth="1"/>
    <col min="5143" max="5157" width="2.7109375" style="21" customWidth="1"/>
    <col min="5158" max="5158" width="9.5703125" style="21" bestFit="1" customWidth="1"/>
    <col min="5159" max="5159" width="4" style="21" bestFit="1" customWidth="1"/>
    <col min="5160" max="5160" width="10" style="21" bestFit="1" customWidth="1"/>
    <col min="5161" max="5161" width="20.140625" style="21" customWidth="1"/>
    <col min="5162" max="5376" width="9.140625" style="21"/>
    <col min="5377" max="5377" width="3.28515625" style="21" customWidth="1"/>
    <col min="5378" max="5379" width="2.7109375" style="21" customWidth="1"/>
    <col min="5380" max="5380" width="3" style="21" customWidth="1"/>
    <col min="5381" max="5381" width="2.85546875" style="21" customWidth="1"/>
    <col min="5382" max="5394" width="2.7109375" style="21" customWidth="1"/>
    <col min="5395" max="5395" width="3.140625" style="21" customWidth="1"/>
    <col min="5396" max="5397" width="2.7109375" style="21" customWidth="1"/>
    <col min="5398" max="5398" width="3.140625" style="21" customWidth="1"/>
    <col min="5399" max="5413" width="2.7109375" style="21" customWidth="1"/>
    <col min="5414" max="5414" width="9.5703125" style="21" bestFit="1" customWidth="1"/>
    <col min="5415" max="5415" width="4" style="21" bestFit="1" customWidth="1"/>
    <col min="5416" max="5416" width="10" style="21" bestFit="1" customWidth="1"/>
    <col min="5417" max="5417" width="20.140625" style="21" customWidth="1"/>
    <col min="5418" max="5632" width="9.140625" style="21"/>
    <col min="5633" max="5633" width="3.28515625" style="21" customWidth="1"/>
    <col min="5634" max="5635" width="2.7109375" style="21" customWidth="1"/>
    <col min="5636" max="5636" width="3" style="21" customWidth="1"/>
    <col min="5637" max="5637" width="2.85546875" style="21" customWidth="1"/>
    <col min="5638" max="5650" width="2.7109375" style="21" customWidth="1"/>
    <col min="5651" max="5651" width="3.140625" style="21" customWidth="1"/>
    <col min="5652" max="5653" width="2.7109375" style="21" customWidth="1"/>
    <col min="5654" max="5654" width="3.140625" style="21" customWidth="1"/>
    <col min="5655" max="5669" width="2.7109375" style="21" customWidth="1"/>
    <col min="5670" max="5670" width="9.5703125" style="21" bestFit="1" customWidth="1"/>
    <col min="5671" max="5671" width="4" style="21" bestFit="1" customWidth="1"/>
    <col min="5672" max="5672" width="10" style="21" bestFit="1" customWidth="1"/>
    <col min="5673" max="5673" width="20.140625" style="21" customWidth="1"/>
    <col min="5674" max="5888" width="9.140625" style="21"/>
    <col min="5889" max="5889" width="3.28515625" style="21" customWidth="1"/>
    <col min="5890" max="5891" width="2.7109375" style="21" customWidth="1"/>
    <col min="5892" max="5892" width="3" style="21" customWidth="1"/>
    <col min="5893" max="5893" width="2.85546875" style="21" customWidth="1"/>
    <col min="5894" max="5906" width="2.7109375" style="21" customWidth="1"/>
    <col min="5907" max="5907" width="3.140625" style="21" customWidth="1"/>
    <col min="5908" max="5909" width="2.7109375" style="21" customWidth="1"/>
    <col min="5910" max="5910" width="3.140625" style="21" customWidth="1"/>
    <col min="5911" max="5925" width="2.7109375" style="21" customWidth="1"/>
    <col min="5926" max="5926" width="9.5703125" style="21" bestFit="1" customWidth="1"/>
    <col min="5927" max="5927" width="4" style="21" bestFit="1" customWidth="1"/>
    <col min="5928" max="5928" width="10" style="21" bestFit="1" customWidth="1"/>
    <col min="5929" max="5929" width="20.140625" style="21" customWidth="1"/>
    <col min="5930" max="6144" width="9.140625" style="21"/>
    <col min="6145" max="6145" width="3.28515625" style="21" customWidth="1"/>
    <col min="6146" max="6147" width="2.7109375" style="21" customWidth="1"/>
    <col min="6148" max="6148" width="3" style="21" customWidth="1"/>
    <col min="6149" max="6149" width="2.85546875" style="21" customWidth="1"/>
    <col min="6150" max="6162" width="2.7109375" style="21" customWidth="1"/>
    <col min="6163" max="6163" width="3.140625" style="21" customWidth="1"/>
    <col min="6164" max="6165" width="2.7109375" style="21" customWidth="1"/>
    <col min="6166" max="6166" width="3.140625" style="21" customWidth="1"/>
    <col min="6167" max="6181" width="2.7109375" style="21" customWidth="1"/>
    <col min="6182" max="6182" width="9.5703125" style="21" bestFit="1" customWidth="1"/>
    <col min="6183" max="6183" width="4" style="21" bestFit="1" customWidth="1"/>
    <col min="6184" max="6184" width="10" style="21" bestFit="1" customWidth="1"/>
    <col min="6185" max="6185" width="20.140625" style="21" customWidth="1"/>
    <col min="6186" max="6400" width="9.140625" style="21"/>
    <col min="6401" max="6401" width="3.28515625" style="21" customWidth="1"/>
    <col min="6402" max="6403" width="2.7109375" style="21" customWidth="1"/>
    <col min="6404" max="6404" width="3" style="21" customWidth="1"/>
    <col min="6405" max="6405" width="2.85546875" style="21" customWidth="1"/>
    <col min="6406" max="6418" width="2.7109375" style="21" customWidth="1"/>
    <col min="6419" max="6419" width="3.140625" style="21" customWidth="1"/>
    <col min="6420" max="6421" width="2.7109375" style="21" customWidth="1"/>
    <col min="6422" max="6422" width="3.140625" style="21" customWidth="1"/>
    <col min="6423" max="6437" width="2.7109375" style="21" customWidth="1"/>
    <col min="6438" max="6438" width="9.5703125" style="21" bestFit="1" customWidth="1"/>
    <col min="6439" max="6439" width="4" style="21" bestFit="1" customWidth="1"/>
    <col min="6440" max="6440" width="10" style="21" bestFit="1" customWidth="1"/>
    <col min="6441" max="6441" width="20.140625" style="21" customWidth="1"/>
    <col min="6442" max="6656" width="9.140625" style="21"/>
    <col min="6657" max="6657" width="3.28515625" style="21" customWidth="1"/>
    <col min="6658" max="6659" width="2.7109375" style="21" customWidth="1"/>
    <col min="6660" max="6660" width="3" style="21" customWidth="1"/>
    <col min="6661" max="6661" width="2.85546875" style="21" customWidth="1"/>
    <col min="6662" max="6674" width="2.7109375" style="21" customWidth="1"/>
    <col min="6675" max="6675" width="3.140625" style="21" customWidth="1"/>
    <col min="6676" max="6677" width="2.7109375" style="21" customWidth="1"/>
    <col min="6678" max="6678" width="3.140625" style="21" customWidth="1"/>
    <col min="6679" max="6693" width="2.7109375" style="21" customWidth="1"/>
    <col min="6694" max="6694" width="9.5703125" style="21" bestFit="1" customWidth="1"/>
    <col min="6695" max="6695" width="4" style="21" bestFit="1" customWidth="1"/>
    <col min="6696" max="6696" width="10" style="21" bestFit="1" customWidth="1"/>
    <col min="6697" max="6697" width="20.140625" style="21" customWidth="1"/>
    <col min="6698" max="6912" width="9.140625" style="21"/>
    <col min="6913" max="6913" width="3.28515625" style="21" customWidth="1"/>
    <col min="6914" max="6915" width="2.7109375" style="21" customWidth="1"/>
    <col min="6916" max="6916" width="3" style="21" customWidth="1"/>
    <col min="6917" max="6917" width="2.85546875" style="21" customWidth="1"/>
    <col min="6918" max="6930" width="2.7109375" style="21" customWidth="1"/>
    <col min="6931" max="6931" width="3.140625" style="21" customWidth="1"/>
    <col min="6932" max="6933" width="2.7109375" style="21" customWidth="1"/>
    <col min="6934" max="6934" width="3.140625" style="21" customWidth="1"/>
    <col min="6935" max="6949" width="2.7109375" style="21" customWidth="1"/>
    <col min="6950" max="6950" width="9.5703125" style="21" bestFit="1" customWidth="1"/>
    <col min="6951" max="6951" width="4" style="21" bestFit="1" customWidth="1"/>
    <col min="6952" max="6952" width="10" style="21" bestFit="1" customWidth="1"/>
    <col min="6953" max="6953" width="20.140625" style="21" customWidth="1"/>
    <col min="6954" max="7168" width="9.140625" style="21"/>
    <col min="7169" max="7169" width="3.28515625" style="21" customWidth="1"/>
    <col min="7170" max="7171" width="2.7109375" style="21" customWidth="1"/>
    <col min="7172" max="7172" width="3" style="21" customWidth="1"/>
    <col min="7173" max="7173" width="2.85546875" style="21" customWidth="1"/>
    <col min="7174" max="7186" width="2.7109375" style="21" customWidth="1"/>
    <col min="7187" max="7187" width="3.140625" style="21" customWidth="1"/>
    <col min="7188" max="7189" width="2.7109375" style="21" customWidth="1"/>
    <col min="7190" max="7190" width="3.140625" style="21" customWidth="1"/>
    <col min="7191" max="7205" width="2.7109375" style="21" customWidth="1"/>
    <col min="7206" max="7206" width="9.5703125" style="21" bestFit="1" customWidth="1"/>
    <col min="7207" max="7207" width="4" style="21" bestFit="1" customWidth="1"/>
    <col min="7208" max="7208" width="10" style="21" bestFit="1" customWidth="1"/>
    <col min="7209" max="7209" width="20.140625" style="21" customWidth="1"/>
    <col min="7210" max="7424" width="9.140625" style="21"/>
    <col min="7425" max="7425" width="3.28515625" style="21" customWidth="1"/>
    <col min="7426" max="7427" width="2.7109375" style="21" customWidth="1"/>
    <col min="7428" max="7428" width="3" style="21" customWidth="1"/>
    <col min="7429" max="7429" width="2.85546875" style="21" customWidth="1"/>
    <col min="7430" max="7442" width="2.7109375" style="21" customWidth="1"/>
    <col min="7443" max="7443" width="3.140625" style="21" customWidth="1"/>
    <col min="7444" max="7445" width="2.7109375" style="21" customWidth="1"/>
    <col min="7446" max="7446" width="3.140625" style="21" customWidth="1"/>
    <col min="7447" max="7461" width="2.7109375" style="21" customWidth="1"/>
    <col min="7462" max="7462" width="9.5703125" style="21" bestFit="1" customWidth="1"/>
    <col min="7463" max="7463" width="4" style="21" bestFit="1" customWidth="1"/>
    <col min="7464" max="7464" width="10" style="21" bestFit="1" customWidth="1"/>
    <col min="7465" max="7465" width="20.140625" style="21" customWidth="1"/>
    <col min="7466" max="7680" width="9.140625" style="21"/>
    <col min="7681" max="7681" width="3.28515625" style="21" customWidth="1"/>
    <col min="7682" max="7683" width="2.7109375" style="21" customWidth="1"/>
    <col min="7684" max="7684" width="3" style="21" customWidth="1"/>
    <col min="7685" max="7685" width="2.85546875" style="21" customWidth="1"/>
    <col min="7686" max="7698" width="2.7109375" style="21" customWidth="1"/>
    <col min="7699" max="7699" width="3.140625" style="21" customWidth="1"/>
    <col min="7700" max="7701" width="2.7109375" style="21" customWidth="1"/>
    <col min="7702" max="7702" width="3.140625" style="21" customWidth="1"/>
    <col min="7703" max="7717" width="2.7109375" style="21" customWidth="1"/>
    <col min="7718" max="7718" width="9.5703125" style="21" bestFit="1" customWidth="1"/>
    <col min="7719" max="7719" width="4" style="21" bestFit="1" customWidth="1"/>
    <col min="7720" max="7720" width="10" style="21" bestFit="1" customWidth="1"/>
    <col min="7721" max="7721" width="20.140625" style="21" customWidth="1"/>
    <col min="7722" max="7936" width="9.140625" style="21"/>
    <col min="7937" max="7937" width="3.28515625" style="21" customWidth="1"/>
    <col min="7938" max="7939" width="2.7109375" style="21" customWidth="1"/>
    <col min="7940" max="7940" width="3" style="21" customWidth="1"/>
    <col min="7941" max="7941" width="2.85546875" style="21" customWidth="1"/>
    <col min="7942" max="7954" width="2.7109375" style="21" customWidth="1"/>
    <col min="7955" max="7955" width="3.140625" style="21" customWidth="1"/>
    <col min="7956" max="7957" width="2.7109375" style="21" customWidth="1"/>
    <col min="7958" max="7958" width="3.140625" style="21" customWidth="1"/>
    <col min="7959" max="7973" width="2.7109375" style="21" customWidth="1"/>
    <col min="7974" max="7974" width="9.5703125" style="21" bestFit="1" customWidth="1"/>
    <col min="7975" max="7975" width="4" style="21" bestFit="1" customWidth="1"/>
    <col min="7976" max="7976" width="10" style="21" bestFit="1" customWidth="1"/>
    <col min="7977" max="7977" width="20.140625" style="21" customWidth="1"/>
    <col min="7978" max="8192" width="9.140625" style="21"/>
    <col min="8193" max="8193" width="3.28515625" style="21" customWidth="1"/>
    <col min="8194" max="8195" width="2.7109375" style="21" customWidth="1"/>
    <col min="8196" max="8196" width="3" style="21" customWidth="1"/>
    <col min="8197" max="8197" width="2.85546875" style="21" customWidth="1"/>
    <col min="8198" max="8210" width="2.7109375" style="21" customWidth="1"/>
    <col min="8211" max="8211" width="3.140625" style="21" customWidth="1"/>
    <col min="8212" max="8213" width="2.7109375" style="21" customWidth="1"/>
    <col min="8214" max="8214" width="3.140625" style="21" customWidth="1"/>
    <col min="8215" max="8229" width="2.7109375" style="21" customWidth="1"/>
    <col min="8230" max="8230" width="9.5703125" style="21" bestFit="1" customWidth="1"/>
    <col min="8231" max="8231" width="4" style="21" bestFit="1" customWidth="1"/>
    <col min="8232" max="8232" width="10" style="21" bestFit="1" customWidth="1"/>
    <col min="8233" max="8233" width="20.140625" style="21" customWidth="1"/>
    <col min="8234" max="8448" width="9.140625" style="21"/>
    <col min="8449" max="8449" width="3.28515625" style="21" customWidth="1"/>
    <col min="8450" max="8451" width="2.7109375" style="21" customWidth="1"/>
    <col min="8452" max="8452" width="3" style="21" customWidth="1"/>
    <col min="8453" max="8453" width="2.85546875" style="21" customWidth="1"/>
    <col min="8454" max="8466" width="2.7109375" style="21" customWidth="1"/>
    <col min="8467" max="8467" width="3.140625" style="21" customWidth="1"/>
    <col min="8468" max="8469" width="2.7109375" style="21" customWidth="1"/>
    <col min="8470" max="8470" width="3.140625" style="21" customWidth="1"/>
    <col min="8471" max="8485" width="2.7109375" style="21" customWidth="1"/>
    <col min="8486" max="8486" width="9.5703125" style="21" bestFit="1" customWidth="1"/>
    <col min="8487" max="8487" width="4" style="21" bestFit="1" customWidth="1"/>
    <col min="8488" max="8488" width="10" style="21" bestFit="1" customWidth="1"/>
    <col min="8489" max="8489" width="20.140625" style="21" customWidth="1"/>
    <col min="8490" max="8704" width="9.140625" style="21"/>
    <col min="8705" max="8705" width="3.28515625" style="21" customWidth="1"/>
    <col min="8706" max="8707" width="2.7109375" style="21" customWidth="1"/>
    <col min="8708" max="8708" width="3" style="21" customWidth="1"/>
    <col min="8709" max="8709" width="2.85546875" style="21" customWidth="1"/>
    <col min="8710" max="8722" width="2.7109375" style="21" customWidth="1"/>
    <col min="8723" max="8723" width="3.140625" style="21" customWidth="1"/>
    <col min="8724" max="8725" width="2.7109375" style="21" customWidth="1"/>
    <col min="8726" max="8726" width="3.140625" style="21" customWidth="1"/>
    <col min="8727" max="8741" width="2.7109375" style="21" customWidth="1"/>
    <col min="8742" max="8742" width="9.5703125" style="21" bestFit="1" customWidth="1"/>
    <col min="8743" max="8743" width="4" style="21" bestFit="1" customWidth="1"/>
    <col min="8744" max="8744" width="10" style="21" bestFit="1" customWidth="1"/>
    <col min="8745" max="8745" width="20.140625" style="21" customWidth="1"/>
    <col min="8746" max="8960" width="9.140625" style="21"/>
    <col min="8961" max="8961" width="3.28515625" style="21" customWidth="1"/>
    <col min="8962" max="8963" width="2.7109375" style="21" customWidth="1"/>
    <col min="8964" max="8964" width="3" style="21" customWidth="1"/>
    <col min="8965" max="8965" width="2.85546875" style="21" customWidth="1"/>
    <col min="8966" max="8978" width="2.7109375" style="21" customWidth="1"/>
    <col min="8979" max="8979" width="3.140625" style="21" customWidth="1"/>
    <col min="8980" max="8981" width="2.7109375" style="21" customWidth="1"/>
    <col min="8982" max="8982" width="3.140625" style="21" customWidth="1"/>
    <col min="8983" max="8997" width="2.7109375" style="21" customWidth="1"/>
    <col min="8998" max="8998" width="9.5703125" style="21" bestFit="1" customWidth="1"/>
    <col min="8999" max="8999" width="4" style="21" bestFit="1" customWidth="1"/>
    <col min="9000" max="9000" width="10" style="21" bestFit="1" customWidth="1"/>
    <col min="9001" max="9001" width="20.140625" style="21" customWidth="1"/>
    <col min="9002" max="9216" width="9.140625" style="21"/>
    <col min="9217" max="9217" width="3.28515625" style="21" customWidth="1"/>
    <col min="9218" max="9219" width="2.7109375" style="21" customWidth="1"/>
    <col min="9220" max="9220" width="3" style="21" customWidth="1"/>
    <col min="9221" max="9221" width="2.85546875" style="21" customWidth="1"/>
    <col min="9222" max="9234" width="2.7109375" style="21" customWidth="1"/>
    <col min="9235" max="9235" width="3.140625" style="21" customWidth="1"/>
    <col min="9236" max="9237" width="2.7109375" style="21" customWidth="1"/>
    <col min="9238" max="9238" width="3.140625" style="21" customWidth="1"/>
    <col min="9239" max="9253" width="2.7109375" style="21" customWidth="1"/>
    <col min="9254" max="9254" width="9.5703125" style="21" bestFit="1" customWidth="1"/>
    <col min="9255" max="9255" width="4" style="21" bestFit="1" customWidth="1"/>
    <col min="9256" max="9256" width="10" style="21" bestFit="1" customWidth="1"/>
    <col min="9257" max="9257" width="20.140625" style="21" customWidth="1"/>
    <col min="9258" max="9472" width="9.140625" style="21"/>
    <col min="9473" max="9473" width="3.28515625" style="21" customWidth="1"/>
    <col min="9474" max="9475" width="2.7109375" style="21" customWidth="1"/>
    <col min="9476" max="9476" width="3" style="21" customWidth="1"/>
    <col min="9477" max="9477" width="2.85546875" style="21" customWidth="1"/>
    <col min="9478" max="9490" width="2.7109375" style="21" customWidth="1"/>
    <col min="9491" max="9491" width="3.140625" style="21" customWidth="1"/>
    <col min="9492" max="9493" width="2.7109375" style="21" customWidth="1"/>
    <col min="9494" max="9494" width="3.140625" style="21" customWidth="1"/>
    <col min="9495" max="9509" width="2.7109375" style="21" customWidth="1"/>
    <col min="9510" max="9510" width="9.5703125" style="21" bestFit="1" customWidth="1"/>
    <col min="9511" max="9511" width="4" style="21" bestFit="1" customWidth="1"/>
    <col min="9512" max="9512" width="10" style="21" bestFit="1" customWidth="1"/>
    <col min="9513" max="9513" width="20.140625" style="21" customWidth="1"/>
    <col min="9514" max="9728" width="9.140625" style="21"/>
    <col min="9729" max="9729" width="3.28515625" style="21" customWidth="1"/>
    <col min="9730" max="9731" width="2.7109375" style="21" customWidth="1"/>
    <col min="9732" max="9732" width="3" style="21" customWidth="1"/>
    <col min="9733" max="9733" width="2.85546875" style="21" customWidth="1"/>
    <col min="9734" max="9746" width="2.7109375" style="21" customWidth="1"/>
    <col min="9747" max="9747" width="3.140625" style="21" customWidth="1"/>
    <col min="9748" max="9749" width="2.7109375" style="21" customWidth="1"/>
    <col min="9750" max="9750" width="3.140625" style="21" customWidth="1"/>
    <col min="9751" max="9765" width="2.7109375" style="21" customWidth="1"/>
    <col min="9766" max="9766" width="9.5703125" style="21" bestFit="1" customWidth="1"/>
    <col min="9767" max="9767" width="4" style="21" bestFit="1" customWidth="1"/>
    <col min="9768" max="9768" width="10" style="21" bestFit="1" customWidth="1"/>
    <col min="9769" max="9769" width="20.140625" style="21" customWidth="1"/>
    <col min="9770" max="9984" width="9.140625" style="21"/>
    <col min="9985" max="9985" width="3.28515625" style="21" customWidth="1"/>
    <col min="9986" max="9987" width="2.7109375" style="21" customWidth="1"/>
    <col min="9988" max="9988" width="3" style="21" customWidth="1"/>
    <col min="9989" max="9989" width="2.85546875" style="21" customWidth="1"/>
    <col min="9990" max="10002" width="2.7109375" style="21" customWidth="1"/>
    <col min="10003" max="10003" width="3.140625" style="21" customWidth="1"/>
    <col min="10004" max="10005" width="2.7109375" style="21" customWidth="1"/>
    <col min="10006" max="10006" width="3.140625" style="21" customWidth="1"/>
    <col min="10007" max="10021" width="2.7109375" style="21" customWidth="1"/>
    <col min="10022" max="10022" width="9.5703125" style="21" bestFit="1" customWidth="1"/>
    <col min="10023" max="10023" width="4" style="21" bestFit="1" customWidth="1"/>
    <col min="10024" max="10024" width="10" style="21" bestFit="1" customWidth="1"/>
    <col min="10025" max="10025" width="20.140625" style="21" customWidth="1"/>
    <col min="10026" max="10240" width="9.140625" style="21"/>
    <col min="10241" max="10241" width="3.28515625" style="21" customWidth="1"/>
    <col min="10242" max="10243" width="2.7109375" style="21" customWidth="1"/>
    <col min="10244" max="10244" width="3" style="21" customWidth="1"/>
    <col min="10245" max="10245" width="2.85546875" style="21" customWidth="1"/>
    <col min="10246" max="10258" width="2.7109375" style="21" customWidth="1"/>
    <col min="10259" max="10259" width="3.140625" style="21" customWidth="1"/>
    <col min="10260" max="10261" width="2.7109375" style="21" customWidth="1"/>
    <col min="10262" max="10262" width="3.140625" style="21" customWidth="1"/>
    <col min="10263" max="10277" width="2.7109375" style="21" customWidth="1"/>
    <col min="10278" max="10278" width="9.5703125" style="21" bestFit="1" customWidth="1"/>
    <col min="10279" max="10279" width="4" style="21" bestFit="1" customWidth="1"/>
    <col min="10280" max="10280" width="10" style="21" bestFit="1" customWidth="1"/>
    <col min="10281" max="10281" width="20.140625" style="21" customWidth="1"/>
    <col min="10282" max="10496" width="9.140625" style="21"/>
    <col min="10497" max="10497" width="3.28515625" style="21" customWidth="1"/>
    <col min="10498" max="10499" width="2.7109375" style="21" customWidth="1"/>
    <col min="10500" max="10500" width="3" style="21" customWidth="1"/>
    <col min="10501" max="10501" width="2.85546875" style="21" customWidth="1"/>
    <col min="10502" max="10514" width="2.7109375" style="21" customWidth="1"/>
    <col min="10515" max="10515" width="3.140625" style="21" customWidth="1"/>
    <col min="10516" max="10517" width="2.7109375" style="21" customWidth="1"/>
    <col min="10518" max="10518" width="3.140625" style="21" customWidth="1"/>
    <col min="10519" max="10533" width="2.7109375" style="21" customWidth="1"/>
    <col min="10534" max="10534" width="9.5703125" style="21" bestFit="1" customWidth="1"/>
    <col min="10535" max="10535" width="4" style="21" bestFit="1" customWidth="1"/>
    <col min="10536" max="10536" width="10" style="21" bestFit="1" customWidth="1"/>
    <col min="10537" max="10537" width="20.140625" style="21" customWidth="1"/>
    <col min="10538" max="10752" width="9.140625" style="21"/>
    <col min="10753" max="10753" width="3.28515625" style="21" customWidth="1"/>
    <col min="10754" max="10755" width="2.7109375" style="21" customWidth="1"/>
    <col min="10756" max="10756" width="3" style="21" customWidth="1"/>
    <col min="10757" max="10757" width="2.85546875" style="21" customWidth="1"/>
    <col min="10758" max="10770" width="2.7109375" style="21" customWidth="1"/>
    <col min="10771" max="10771" width="3.140625" style="21" customWidth="1"/>
    <col min="10772" max="10773" width="2.7109375" style="21" customWidth="1"/>
    <col min="10774" max="10774" width="3.140625" style="21" customWidth="1"/>
    <col min="10775" max="10789" width="2.7109375" style="21" customWidth="1"/>
    <col min="10790" max="10790" width="9.5703125" style="21" bestFit="1" customWidth="1"/>
    <col min="10791" max="10791" width="4" style="21" bestFit="1" customWidth="1"/>
    <col min="10792" max="10792" width="10" style="21" bestFit="1" customWidth="1"/>
    <col min="10793" max="10793" width="20.140625" style="21" customWidth="1"/>
    <col min="10794" max="11008" width="9.140625" style="21"/>
    <col min="11009" max="11009" width="3.28515625" style="21" customWidth="1"/>
    <col min="11010" max="11011" width="2.7109375" style="21" customWidth="1"/>
    <col min="11012" max="11012" width="3" style="21" customWidth="1"/>
    <col min="11013" max="11013" width="2.85546875" style="21" customWidth="1"/>
    <col min="11014" max="11026" width="2.7109375" style="21" customWidth="1"/>
    <col min="11027" max="11027" width="3.140625" style="21" customWidth="1"/>
    <col min="11028" max="11029" width="2.7109375" style="21" customWidth="1"/>
    <col min="11030" max="11030" width="3.140625" style="21" customWidth="1"/>
    <col min="11031" max="11045" width="2.7109375" style="21" customWidth="1"/>
    <col min="11046" max="11046" width="9.5703125" style="21" bestFit="1" customWidth="1"/>
    <col min="11047" max="11047" width="4" style="21" bestFit="1" customWidth="1"/>
    <col min="11048" max="11048" width="10" style="21" bestFit="1" customWidth="1"/>
    <col min="11049" max="11049" width="20.140625" style="21" customWidth="1"/>
    <col min="11050" max="11264" width="9.140625" style="21"/>
    <col min="11265" max="11265" width="3.28515625" style="21" customWidth="1"/>
    <col min="11266" max="11267" width="2.7109375" style="21" customWidth="1"/>
    <col min="11268" max="11268" width="3" style="21" customWidth="1"/>
    <col min="11269" max="11269" width="2.85546875" style="21" customWidth="1"/>
    <col min="11270" max="11282" width="2.7109375" style="21" customWidth="1"/>
    <col min="11283" max="11283" width="3.140625" style="21" customWidth="1"/>
    <col min="11284" max="11285" width="2.7109375" style="21" customWidth="1"/>
    <col min="11286" max="11286" width="3.140625" style="21" customWidth="1"/>
    <col min="11287" max="11301" width="2.7109375" style="21" customWidth="1"/>
    <col min="11302" max="11302" width="9.5703125" style="21" bestFit="1" customWidth="1"/>
    <col min="11303" max="11303" width="4" style="21" bestFit="1" customWidth="1"/>
    <col min="11304" max="11304" width="10" style="21" bestFit="1" customWidth="1"/>
    <col min="11305" max="11305" width="20.140625" style="21" customWidth="1"/>
    <col min="11306" max="11520" width="9.140625" style="21"/>
    <col min="11521" max="11521" width="3.28515625" style="21" customWidth="1"/>
    <col min="11522" max="11523" width="2.7109375" style="21" customWidth="1"/>
    <col min="11524" max="11524" width="3" style="21" customWidth="1"/>
    <col min="11525" max="11525" width="2.85546875" style="21" customWidth="1"/>
    <col min="11526" max="11538" width="2.7109375" style="21" customWidth="1"/>
    <col min="11539" max="11539" width="3.140625" style="21" customWidth="1"/>
    <col min="11540" max="11541" width="2.7109375" style="21" customWidth="1"/>
    <col min="11542" max="11542" width="3.140625" style="21" customWidth="1"/>
    <col min="11543" max="11557" width="2.7109375" style="21" customWidth="1"/>
    <col min="11558" max="11558" width="9.5703125" style="21" bestFit="1" customWidth="1"/>
    <col min="11559" max="11559" width="4" style="21" bestFit="1" customWidth="1"/>
    <col min="11560" max="11560" width="10" style="21" bestFit="1" customWidth="1"/>
    <col min="11561" max="11561" width="20.140625" style="21" customWidth="1"/>
    <col min="11562" max="11776" width="9.140625" style="21"/>
    <col min="11777" max="11777" width="3.28515625" style="21" customWidth="1"/>
    <col min="11778" max="11779" width="2.7109375" style="21" customWidth="1"/>
    <col min="11780" max="11780" width="3" style="21" customWidth="1"/>
    <col min="11781" max="11781" width="2.85546875" style="21" customWidth="1"/>
    <col min="11782" max="11794" width="2.7109375" style="21" customWidth="1"/>
    <col min="11795" max="11795" width="3.140625" style="21" customWidth="1"/>
    <col min="11796" max="11797" width="2.7109375" style="21" customWidth="1"/>
    <col min="11798" max="11798" width="3.140625" style="21" customWidth="1"/>
    <col min="11799" max="11813" width="2.7109375" style="21" customWidth="1"/>
    <col min="11814" max="11814" width="9.5703125" style="21" bestFit="1" customWidth="1"/>
    <col min="11815" max="11815" width="4" style="21" bestFit="1" customWidth="1"/>
    <col min="11816" max="11816" width="10" style="21" bestFit="1" customWidth="1"/>
    <col min="11817" max="11817" width="20.140625" style="21" customWidth="1"/>
    <col min="11818" max="12032" width="9.140625" style="21"/>
    <col min="12033" max="12033" width="3.28515625" style="21" customWidth="1"/>
    <col min="12034" max="12035" width="2.7109375" style="21" customWidth="1"/>
    <col min="12036" max="12036" width="3" style="21" customWidth="1"/>
    <col min="12037" max="12037" width="2.85546875" style="21" customWidth="1"/>
    <col min="12038" max="12050" width="2.7109375" style="21" customWidth="1"/>
    <col min="12051" max="12051" width="3.140625" style="21" customWidth="1"/>
    <col min="12052" max="12053" width="2.7109375" style="21" customWidth="1"/>
    <col min="12054" max="12054" width="3.140625" style="21" customWidth="1"/>
    <col min="12055" max="12069" width="2.7109375" style="21" customWidth="1"/>
    <col min="12070" max="12070" width="9.5703125" style="21" bestFit="1" customWidth="1"/>
    <col min="12071" max="12071" width="4" style="21" bestFit="1" customWidth="1"/>
    <col min="12072" max="12072" width="10" style="21" bestFit="1" customWidth="1"/>
    <col min="12073" max="12073" width="20.140625" style="21" customWidth="1"/>
    <col min="12074" max="12288" width="9.140625" style="21"/>
    <col min="12289" max="12289" width="3.28515625" style="21" customWidth="1"/>
    <col min="12290" max="12291" width="2.7109375" style="21" customWidth="1"/>
    <col min="12292" max="12292" width="3" style="21" customWidth="1"/>
    <col min="12293" max="12293" width="2.85546875" style="21" customWidth="1"/>
    <col min="12294" max="12306" width="2.7109375" style="21" customWidth="1"/>
    <col min="12307" max="12307" width="3.140625" style="21" customWidth="1"/>
    <col min="12308" max="12309" width="2.7109375" style="21" customWidth="1"/>
    <col min="12310" max="12310" width="3.140625" style="21" customWidth="1"/>
    <col min="12311" max="12325" width="2.7109375" style="21" customWidth="1"/>
    <col min="12326" max="12326" width="9.5703125" style="21" bestFit="1" customWidth="1"/>
    <col min="12327" max="12327" width="4" style="21" bestFit="1" customWidth="1"/>
    <col min="12328" max="12328" width="10" style="21" bestFit="1" customWidth="1"/>
    <col min="12329" max="12329" width="20.140625" style="21" customWidth="1"/>
    <col min="12330" max="12544" width="9.140625" style="21"/>
    <col min="12545" max="12545" width="3.28515625" style="21" customWidth="1"/>
    <col min="12546" max="12547" width="2.7109375" style="21" customWidth="1"/>
    <col min="12548" max="12548" width="3" style="21" customWidth="1"/>
    <col min="12549" max="12549" width="2.85546875" style="21" customWidth="1"/>
    <col min="12550" max="12562" width="2.7109375" style="21" customWidth="1"/>
    <col min="12563" max="12563" width="3.140625" style="21" customWidth="1"/>
    <col min="12564" max="12565" width="2.7109375" style="21" customWidth="1"/>
    <col min="12566" max="12566" width="3.140625" style="21" customWidth="1"/>
    <col min="12567" max="12581" width="2.7109375" style="21" customWidth="1"/>
    <col min="12582" max="12582" width="9.5703125" style="21" bestFit="1" customWidth="1"/>
    <col min="12583" max="12583" width="4" style="21" bestFit="1" customWidth="1"/>
    <col min="12584" max="12584" width="10" style="21" bestFit="1" customWidth="1"/>
    <col min="12585" max="12585" width="20.140625" style="21" customWidth="1"/>
    <col min="12586" max="12800" width="9.140625" style="21"/>
    <col min="12801" max="12801" width="3.28515625" style="21" customWidth="1"/>
    <col min="12802" max="12803" width="2.7109375" style="21" customWidth="1"/>
    <col min="12804" max="12804" width="3" style="21" customWidth="1"/>
    <col min="12805" max="12805" width="2.85546875" style="21" customWidth="1"/>
    <col min="12806" max="12818" width="2.7109375" style="21" customWidth="1"/>
    <col min="12819" max="12819" width="3.140625" style="21" customWidth="1"/>
    <col min="12820" max="12821" width="2.7109375" style="21" customWidth="1"/>
    <col min="12822" max="12822" width="3.140625" style="21" customWidth="1"/>
    <col min="12823" max="12837" width="2.7109375" style="21" customWidth="1"/>
    <col min="12838" max="12838" width="9.5703125" style="21" bestFit="1" customWidth="1"/>
    <col min="12839" max="12839" width="4" style="21" bestFit="1" customWidth="1"/>
    <col min="12840" max="12840" width="10" style="21" bestFit="1" customWidth="1"/>
    <col min="12841" max="12841" width="20.140625" style="21" customWidth="1"/>
    <col min="12842" max="13056" width="9.140625" style="21"/>
    <col min="13057" max="13057" width="3.28515625" style="21" customWidth="1"/>
    <col min="13058" max="13059" width="2.7109375" style="21" customWidth="1"/>
    <col min="13060" max="13060" width="3" style="21" customWidth="1"/>
    <col min="13061" max="13061" width="2.85546875" style="21" customWidth="1"/>
    <col min="13062" max="13074" width="2.7109375" style="21" customWidth="1"/>
    <col min="13075" max="13075" width="3.140625" style="21" customWidth="1"/>
    <col min="13076" max="13077" width="2.7109375" style="21" customWidth="1"/>
    <col min="13078" max="13078" width="3.140625" style="21" customWidth="1"/>
    <col min="13079" max="13093" width="2.7109375" style="21" customWidth="1"/>
    <col min="13094" max="13094" width="9.5703125" style="21" bestFit="1" customWidth="1"/>
    <col min="13095" max="13095" width="4" style="21" bestFit="1" customWidth="1"/>
    <col min="13096" max="13096" width="10" style="21" bestFit="1" customWidth="1"/>
    <col min="13097" max="13097" width="20.140625" style="21" customWidth="1"/>
    <col min="13098" max="13312" width="9.140625" style="21"/>
    <col min="13313" max="13313" width="3.28515625" style="21" customWidth="1"/>
    <col min="13314" max="13315" width="2.7109375" style="21" customWidth="1"/>
    <col min="13316" max="13316" width="3" style="21" customWidth="1"/>
    <col min="13317" max="13317" width="2.85546875" style="21" customWidth="1"/>
    <col min="13318" max="13330" width="2.7109375" style="21" customWidth="1"/>
    <col min="13331" max="13331" width="3.140625" style="21" customWidth="1"/>
    <col min="13332" max="13333" width="2.7109375" style="21" customWidth="1"/>
    <col min="13334" max="13334" width="3.140625" style="21" customWidth="1"/>
    <col min="13335" max="13349" width="2.7109375" style="21" customWidth="1"/>
    <col min="13350" max="13350" width="9.5703125" style="21" bestFit="1" customWidth="1"/>
    <col min="13351" max="13351" width="4" style="21" bestFit="1" customWidth="1"/>
    <col min="13352" max="13352" width="10" style="21" bestFit="1" customWidth="1"/>
    <col min="13353" max="13353" width="20.140625" style="21" customWidth="1"/>
    <col min="13354" max="13568" width="9.140625" style="21"/>
    <col min="13569" max="13569" width="3.28515625" style="21" customWidth="1"/>
    <col min="13570" max="13571" width="2.7109375" style="21" customWidth="1"/>
    <col min="13572" max="13572" width="3" style="21" customWidth="1"/>
    <col min="13573" max="13573" width="2.85546875" style="21" customWidth="1"/>
    <col min="13574" max="13586" width="2.7109375" style="21" customWidth="1"/>
    <col min="13587" max="13587" width="3.140625" style="21" customWidth="1"/>
    <col min="13588" max="13589" width="2.7109375" style="21" customWidth="1"/>
    <col min="13590" max="13590" width="3.140625" style="21" customWidth="1"/>
    <col min="13591" max="13605" width="2.7109375" style="21" customWidth="1"/>
    <col min="13606" max="13606" width="9.5703125" style="21" bestFit="1" customWidth="1"/>
    <col min="13607" max="13607" width="4" style="21" bestFit="1" customWidth="1"/>
    <col min="13608" max="13608" width="10" style="21" bestFit="1" customWidth="1"/>
    <col min="13609" max="13609" width="20.140625" style="21" customWidth="1"/>
    <col min="13610" max="13824" width="9.140625" style="21"/>
    <col min="13825" max="13825" width="3.28515625" style="21" customWidth="1"/>
    <col min="13826" max="13827" width="2.7109375" style="21" customWidth="1"/>
    <col min="13828" max="13828" width="3" style="21" customWidth="1"/>
    <col min="13829" max="13829" width="2.85546875" style="21" customWidth="1"/>
    <col min="13830" max="13842" width="2.7109375" style="21" customWidth="1"/>
    <col min="13843" max="13843" width="3.140625" style="21" customWidth="1"/>
    <col min="13844" max="13845" width="2.7109375" style="21" customWidth="1"/>
    <col min="13846" max="13846" width="3.140625" style="21" customWidth="1"/>
    <col min="13847" max="13861" width="2.7109375" style="21" customWidth="1"/>
    <col min="13862" max="13862" width="9.5703125" style="21" bestFit="1" customWidth="1"/>
    <col min="13863" max="13863" width="4" style="21" bestFit="1" customWidth="1"/>
    <col min="13864" max="13864" width="10" style="21" bestFit="1" customWidth="1"/>
    <col min="13865" max="13865" width="20.140625" style="21" customWidth="1"/>
    <col min="13866" max="14080" width="9.140625" style="21"/>
    <col min="14081" max="14081" width="3.28515625" style="21" customWidth="1"/>
    <col min="14082" max="14083" width="2.7109375" style="21" customWidth="1"/>
    <col min="14084" max="14084" width="3" style="21" customWidth="1"/>
    <col min="14085" max="14085" width="2.85546875" style="21" customWidth="1"/>
    <col min="14086" max="14098" width="2.7109375" style="21" customWidth="1"/>
    <col min="14099" max="14099" width="3.140625" style="21" customWidth="1"/>
    <col min="14100" max="14101" width="2.7109375" style="21" customWidth="1"/>
    <col min="14102" max="14102" width="3.140625" style="21" customWidth="1"/>
    <col min="14103" max="14117" width="2.7109375" style="21" customWidth="1"/>
    <col min="14118" max="14118" width="9.5703125" style="21" bestFit="1" customWidth="1"/>
    <col min="14119" max="14119" width="4" style="21" bestFit="1" customWidth="1"/>
    <col min="14120" max="14120" width="10" style="21" bestFit="1" customWidth="1"/>
    <col min="14121" max="14121" width="20.140625" style="21" customWidth="1"/>
    <col min="14122" max="14336" width="9.140625" style="21"/>
    <col min="14337" max="14337" width="3.28515625" style="21" customWidth="1"/>
    <col min="14338" max="14339" width="2.7109375" style="21" customWidth="1"/>
    <col min="14340" max="14340" width="3" style="21" customWidth="1"/>
    <col min="14341" max="14341" width="2.85546875" style="21" customWidth="1"/>
    <col min="14342" max="14354" width="2.7109375" style="21" customWidth="1"/>
    <col min="14355" max="14355" width="3.140625" style="21" customWidth="1"/>
    <col min="14356" max="14357" width="2.7109375" style="21" customWidth="1"/>
    <col min="14358" max="14358" width="3.140625" style="21" customWidth="1"/>
    <col min="14359" max="14373" width="2.7109375" style="21" customWidth="1"/>
    <col min="14374" max="14374" width="9.5703125" style="21" bestFit="1" customWidth="1"/>
    <col min="14375" max="14375" width="4" style="21" bestFit="1" customWidth="1"/>
    <col min="14376" max="14376" width="10" style="21" bestFit="1" customWidth="1"/>
    <col min="14377" max="14377" width="20.140625" style="21" customWidth="1"/>
    <col min="14378" max="14592" width="9.140625" style="21"/>
    <col min="14593" max="14593" width="3.28515625" style="21" customWidth="1"/>
    <col min="14594" max="14595" width="2.7109375" style="21" customWidth="1"/>
    <col min="14596" max="14596" width="3" style="21" customWidth="1"/>
    <col min="14597" max="14597" width="2.85546875" style="21" customWidth="1"/>
    <col min="14598" max="14610" width="2.7109375" style="21" customWidth="1"/>
    <col min="14611" max="14611" width="3.140625" style="21" customWidth="1"/>
    <col min="14612" max="14613" width="2.7109375" style="21" customWidth="1"/>
    <col min="14614" max="14614" width="3.140625" style="21" customWidth="1"/>
    <col min="14615" max="14629" width="2.7109375" style="21" customWidth="1"/>
    <col min="14630" max="14630" width="9.5703125" style="21" bestFit="1" customWidth="1"/>
    <col min="14631" max="14631" width="4" style="21" bestFit="1" customWidth="1"/>
    <col min="14632" max="14632" width="10" style="21" bestFit="1" customWidth="1"/>
    <col min="14633" max="14633" width="20.140625" style="21" customWidth="1"/>
    <col min="14634" max="14848" width="9.140625" style="21"/>
    <col min="14849" max="14849" width="3.28515625" style="21" customWidth="1"/>
    <col min="14850" max="14851" width="2.7109375" style="21" customWidth="1"/>
    <col min="14852" max="14852" width="3" style="21" customWidth="1"/>
    <col min="14853" max="14853" width="2.85546875" style="21" customWidth="1"/>
    <col min="14854" max="14866" width="2.7109375" style="21" customWidth="1"/>
    <col min="14867" max="14867" width="3.140625" style="21" customWidth="1"/>
    <col min="14868" max="14869" width="2.7109375" style="21" customWidth="1"/>
    <col min="14870" max="14870" width="3.140625" style="21" customWidth="1"/>
    <col min="14871" max="14885" width="2.7109375" style="21" customWidth="1"/>
    <col min="14886" max="14886" width="9.5703125" style="21" bestFit="1" customWidth="1"/>
    <col min="14887" max="14887" width="4" style="21" bestFit="1" customWidth="1"/>
    <col min="14888" max="14888" width="10" style="21" bestFit="1" customWidth="1"/>
    <col min="14889" max="14889" width="20.140625" style="21" customWidth="1"/>
    <col min="14890" max="15104" width="9.140625" style="21"/>
    <col min="15105" max="15105" width="3.28515625" style="21" customWidth="1"/>
    <col min="15106" max="15107" width="2.7109375" style="21" customWidth="1"/>
    <col min="15108" max="15108" width="3" style="21" customWidth="1"/>
    <col min="15109" max="15109" width="2.85546875" style="21" customWidth="1"/>
    <col min="15110" max="15122" width="2.7109375" style="21" customWidth="1"/>
    <col min="15123" max="15123" width="3.140625" style="21" customWidth="1"/>
    <col min="15124" max="15125" width="2.7109375" style="21" customWidth="1"/>
    <col min="15126" max="15126" width="3.140625" style="21" customWidth="1"/>
    <col min="15127" max="15141" width="2.7109375" style="21" customWidth="1"/>
    <col min="15142" max="15142" width="9.5703125" style="21" bestFit="1" customWidth="1"/>
    <col min="15143" max="15143" width="4" style="21" bestFit="1" customWidth="1"/>
    <col min="15144" max="15144" width="10" style="21" bestFit="1" customWidth="1"/>
    <col min="15145" max="15145" width="20.140625" style="21" customWidth="1"/>
    <col min="15146" max="15360" width="9.140625" style="21"/>
    <col min="15361" max="15361" width="3.28515625" style="21" customWidth="1"/>
    <col min="15362" max="15363" width="2.7109375" style="21" customWidth="1"/>
    <col min="15364" max="15364" width="3" style="21" customWidth="1"/>
    <col min="15365" max="15365" width="2.85546875" style="21" customWidth="1"/>
    <col min="15366" max="15378" width="2.7109375" style="21" customWidth="1"/>
    <col min="15379" max="15379" width="3.140625" style="21" customWidth="1"/>
    <col min="15380" max="15381" width="2.7109375" style="21" customWidth="1"/>
    <col min="15382" max="15382" width="3.140625" style="21" customWidth="1"/>
    <col min="15383" max="15397" width="2.7109375" style="21" customWidth="1"/>
    <col min="15398" max="15398" width="9.5703125" style="21" bestFit="1" customWidth="1"/>
    <col min="15399" max="15399" width="4" style="21" bestFit="1" customWidth="1"/>
    <col min="15400" max="15400" width="10" style="21" bestFit="1" customWidth="1"/>
    <col min="15401" max="15401" width="20.140625" style="21" customWidth="1"/>
    <col min="15402" max="15616" width="9.140625" style="21"/>
    <col min="15617" max="15617" width="3.28515625" style="21" customWidth="1"/>
    <col min="15618" max="15619" width="2.7109375" style="21" customWidth="1"/>
    <col min="15620" max="15620" width="3" style="21" customWidth="1"/>
    <col min="15621" max="15621" width="2.85546875" style="21" customWidth="1"/>
    <col min="15622" max="15634" width="2.7109375" style="21" customWidth="1"/>
    <col min="15635" max="15635" width="3.140625" style="21" customWidth="1"/>
    <col min="15636" max="15637" width="2.7109375" style="21" customWidth="1"/>
    <col min="15638" max="15638" width="3.140625" style="21" customWidth="1"/>
    <col min="15639" max="15653" width="2.7109375" style="21" customWidth="1"/>
    <col min="15654" max="15654" width="9.5703125" style="21" bestFit="1" customWidth="1"/>
    <col min="15655" max="15655" width="4" style="21" bestFit="1" customWidth="1"/>
    <col min="15656" max="15656" width="10" style="21" bestFit="1" customWidth="1"/>
    <col min="15657" max="15657" width="20.140625" style="21" customWidth="1"/>
    <col min="15658" max="15872" width="9.140625" style="21"/>
    <col min="15873" max="15873" width="3.28515625" style="21" customWidth="1"/>
    <col min="15874" max="15875" width="2.7109375" style="21" customWidth="1"/>
    <col min="15876" max="15876" width="3" style="21" customWidth="1"/>
    <col min="15877" max="15877" width="2.85546875" style="21" customWidth="1"/>
    <col min="15878" max="15890" width="2.7109375" style="21" customWidth="1"/>
    <col min="15891" max="15891" width="3.140625" style="21" customWidth="1"/>
    <col min="15892" max="15893" width="2.7109375" style="21" customWidth="1"/>
    <col min="15894" max="15894" width="3.140625" style="21" customWidth="1"/>
    <col min="15895" max="15909" width="2.7109375" style="21" customWidth="1"/>
    <col min="15910" max="15910" width="9.5703125" style="21" bestFit="1" customWidth="1"/>
    <col min="15911" max="15911" width="4" style="21" bestFit="1" customWidth="1"/>
    <col min="15912" max="15912" width="10" style="21" bestFit="1" customWidth="1"/>
    <col min="15913" max="15913" width="20.140625" style="21" customWidth="1"/>
    <col min="15914" max="16128" width="9.140625" style="21"/>
    <col min="16129" max="16129" width="3.28515625" style="21" customWidth="1"/>
    <col min="16130" max="16131" width="2.7109375" style="21" customWidth="1"/>
    <col min="16132" max="16132" width="3" style="21" customWidth="1"/>
    <col min="16133" max="16133" width="2.85546875" style="21" customWidth="1"/>
    <col min="16134" max="16146" width="2.7109375" style="21" customWidth="1"/>
    <col min="16147" max="16147" width="3.140625" style="21" customWidth="1"/>
    <col min="16148" max="16149" width="2.7109375" style="21" customWidth="1"/>
    <col min="16150" max="16150" width="3.140625" style="21" customWidth="1"/>
    <col min="16151" max="16165" width="2.7109375" style="21" customWidth="1"/>
    <col min="16166" max="16166" width="9.5703125" style="21" bestFit="1" customWidth="1"/>
    <col min="16167" max="16167" width="4" style="21" bestFit="1" customWidth="1"/>
    <col min="16168" max="16168" width="10" style="21" bestFit="1" customWidth="1"/>
    <col min="16169" max="16169" width="20.140625" style="21" customWidth="1"/>
    <col min="16170" max="16384" width="9.140625" style="21"/>
  </cols>
  <sheetData>
    <row r="1" spans="1:35" x14ac:dyDescent="0.2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4" t="s">
        <v>35</v>
      </c>
      <c r="AA1" s="205"/>
      <c r="AB1" s="205"/>
      <c r="AC1" s="205"/>
      <c r="AD1" s="205"/>
      <c r="AE1" s="205"/>
      <c r="AF1" s="205"/>
      <c r="AG1" s="205"/>
      <c r="AH1" s="205"/>
      <c r="AI1" s="206"/>
    </row>
    <row r="2" spans="1:35" ht="24" thickBot="1" x14ac:dyDescent="0.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07"/>
      <c r="AA2" s="208"/>
      <c r="AB2" s="208"/>
      <c r="AC2" s="208"/>
      <c r="AD2" s="208"/>
      <c r="AE2" s="208"/>
      <c r="AF2" s="208"/>
      <c r="AG2" s="208"/>
      <c r="AH2" s="208"/>
      <c r="AI2" s="209"/>
    </row>
    <row r="3" spans="1:35" ht="18" customHeight="1" x14ac:dyDescent="0.2">
      <c r="A3" s="23"/>
      <c r="B3" s="24"/>
      <c r="C3" s="24"/>
      <c r="D3" s="24"/>
      <c r="E3" s="24"/>
      <c r="F3" s="24"/>
      <c r="G3" s="25"/>
      <c r="H3" s="25"/>
      <c r="I3" s="25"/>
      <c r="J3" s="24"/>
      <c r="K3" s="24"/>
      <c r="L3" s="25"/>
      <c r="M3" s="24"/>
      <c r="N3" s="24"/>
      <c r="O3" s="25"/>
      <c r="P3" s="25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6"/>
    </row>
    <row r="4" spans="1:35" ht="18" customHeight="1" x14ac:dyDescent="0.2">
      <c r="A4" s="27"/>
      <c r="B4" s="20"/>
      <c r="C4" s="20"/>
      <c r="D4" s="28"/>
      <c r="E4" s="28"/>
      <c r="F4" s="20"/>
      <c r="G4" s="20"/>
      <c r="H4" s="28"/>
      <c r="I4" s="28"/>
      <c r="J4" s="20"/>
      <c r="K4" s="20"/>
      <c r="L4" s="28"/>
      <c r="M4" s="20"/>
      <c r="N4" s="20"/>
      <c r="O4" s="28"/>
      <c r="P4" s="28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9"/>
    </row>
    <row r="5" spans="1:35" ht="18" customHeight="1" x14ac:dyDescent="0.2">
      <c r="A5" s="27"/>
      <c r="B5" s="20"/>
      <c r="C5" s="20"/>
      <c r="D5" s="20"/>
      <c r="E5" s="20"/>
      <c r="F5" s="20"/>
      <c r="G5" s="28"/>
      <c r="H5" s="28"/>
      <c r="I5" s="28"/>
      <c r="J5" s="20"/>
      <c r="K5" s="20"/>
      <c r="L5" s="20"/>
      <c r="M5" s="20"/>
      <c r="N5" s="20"/>
      <c r="O5" s="20"/>
      <c r="P5" s="28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9"/>
    </row>
    <row r="6" spans="1:35" ht="18" customHeight="1" x14ac:dyDescent="0.2">
      <c r="A6" s="30"/>
      <c r="B6" s="20"/>
      <c r="C6" s="20"/>
      <c r="D6" s="28"/>
      <c r="E6" s="28"/>
      <c r="F6" s="20"/>
      <c r="G6" s="28"/>
      <c r="H6" s="28"/>
      <c r="I6" s="28"/>
      <c r="J6" s="20"/>
      <c r="K6" s="20"/>
      <c r="P6" s="31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D6" s="20"/>
      <c r="AE6" s="20"/>
      <c r="AF6" s="20"/>
      <c r="AG6" s="20"/>
      <c r="AH6" s="20"/>
      <c r="AI6" s="29"/>
    </row>
    <row r="7" spans="1:35" ht="18" customHeight="1" x14ac:dyDescent="0.2">
      <c r="A7" s="30"/>
      <c r="B7" s="20"/>
      <c r="C7" s="20"/>
      <c r="D7" s="28"/>
      <c r="E7" s="28"/>
      <c r="F7" s="20"/>
      <c r="G7" s="28"/>
      <c r="H7" s="28"/>
      <c r="I7" s="28"/>
      <c r="J7" s="20"/>
      <c r="K7" s="20"/>
      <c r="P7" s="31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D7" s="20"/>
      <c r="AE7" s="20"/>
      <c r="AF7" s="20"/>
      <c r="AG7" s="20"/>
      <c r="AH7" s="20"/>
      <c r="AI7" s="29"/>
    </row>
    <row r="8" spans="1:35" ht="18" customHeight="1" x14ac:dyDescent="0.2">
      <c r="A8" s="30"/>
      <c r="B8" s="20"/>
      <c r="C8" s="20"/>
      <c r="D8" s="28"/>
      <c r="E8" s="28"/>
      <c r="F8" s="20"/>
      <c r="G8" s="28"/>
      <c r="H8" s="28"/>
      <c r="I8" s="28"/>
      <c r="J8" s="20"/>
      <c r="K8" s="20"/>
      <c r="L8" s="28"/>
      <c r="O8" s="28"/>
      <c r="P8" s="32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D8" s="20"/>
      <c r="AE8" s="20"/>
      <c r="AF8" s="20"/>
      <c r="AG8" s="20"/>
      <c r="AH8" s="20"/>
      <c r="AI8" s="29"/>
    </row>
    <row r="9" spans="1:35" ht="18" customHeight="1" x14ac:dyDescent="0.2">
      <c r="A9" s="33"/>
      <c r="B9" s="34"/>
      <c r="C9" s="34"/>
      <c r="D9" s="34"/>
      <c r="E9" s="34"/>
      <c r="F9" s="34"/>
      <c r="G9" s="35"/>
      <c r="H9" s="35"/>
      <c r="I9" s="34"/>
      <c r="J9" s="34"/>
      <c r="K9" s="34"/>
      <c r="L9" s="35"/>
      <c r="M9" s="34"/>
      <c r="N9" s="34"/>
      <c r="O9" s="35"/>
      <c r="P9" s="36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7"/>
      <c r="AD9" s="38"/>
      <c r="AE9" s="35"/>
      <c r="AF9" s="34"/>
      <c r="AG9" s="34"/>
      <c r="AH9" s="34"/>
      <c r="AI9" s="39"/>
    </row>
    <row r="10" spans="1:35" ht="18" customHeight="1" x14ac:dyDescent="0.3">
      <c r="A10" s="40" t="s">
        <v>11</v>
      </c>
      <c r="B10" s="20" t="s">
        <v>12</v>
      </c>
      <c r="C10" s="20"/>
      <c r="D10" s="41" t="s">
        <v>10</v>
      </c>
      <c r="E10" s="15" t="s">
        <v>42</v>
      </c>
      <c r="F10" s="42"/>
      <c r="G10" s="20"/>
      <c r="H10" s="20"/>
      <c r="I10" s="20"/>
      <c r="J10" s="20"/>
      <c r="K10" s="20"/>
      <c r="L10" s="20"/>
      <c r="M10" s="20"/>
      <c r="N10" s="20"/>
      <c r="O10" s="20"/>
      <c r="P10" s="43"/>
      <c r="Q10" s="20"/>
      <c r="R10" s="44" t="s">
        <v>13</v>
      </c>
      <c r="S10" s="45"/>
      <c r="T10" s="45"/>
      <c r="U10" s="46" t="s">
        <v>10</v>
      </c>
      <c r="V10" s="47"/>
      <c r="W10" s="45"/>
      <c r="X10" s="45" t="s">
        <v>10</v>
      </c>
      <c r="Y10" s="45"/>
      <c r="Z10" s="45"/>
      <c r="AA10" s="48" t="s">
        <v>14</v>
      </c>
      <c r="AB10" s="48"/>
      <c r="AC10" s="49"/>
      <c r="AD10" s="48" t="s">
        <v>15</v>
      </c>
      <c r="AE10" s="48"/>
      <c r="AF10" s="49"/>
      <c r="AG10" s="49"/>
      <c r="AH10" s="45"/>
      <c r="AI10" s="50"/>
    </row>
    <row r="11" spans="1:35" ht="18" customHeight="1" x14ac:dyDescent="0.3">
      <c r="A11" s="40"/>
      <c r="B11" s="20"/>
      <c r="C11" s="20"/>
      <c r="D11" s="41"/>
      <c r="E11" s="15" t="s">
        <v>43</v>
      </c>
      <c r="F11" s="42"/>
      <c r="G11" s="20"/>
      <c r="H11" s="20"/>
      <c r="I11" s="51"/>
      <c r="J11" s="20"/>
      <c r="K11" s="20"/>
      <c r="L11" s="20"/>
      <c r="M11" s="20"/>
      <c r="N11" s="20"/>
      <c r="O11" s="20"/>
      <c r="P11" s="20"/>
      <c r="Q11" s="20"/>
      <c r="R11" s="44" t="s">
        <v>16</v>
      </c>
      <c r="S11" s="45"/>
      <c r="T11" s="45"/>
      <c r="U11" s="46" t="s">
        <v>10</v>
      </c>
      <c r="V11" s="52">
        <f>+'List Order'!C1</f>
        <v>46091</v>
      </c>
      <c r="W11" s="53"/>
      <c r="X11" s="53"/>
      <c r="Y11" s="53"/>
      <c r="Z11" s="53"/>
      <c r="AA11" s="54"/>
      <c r="AB11" s="54"/>
      <c r="AC11" s="49"/>
      <c r="AD11" s="49"/>
      <c r="AE11" s="49"/>
      <c r="AF11" s="49"/>
      <c r="AG11" s="49"/>
      <c r="AH11" s="45"/>
      <c r="AI11" s="50"/>
    </row>
    <row r="12" spans="1:35" ht="18" customHeight="1" x14ac:dyDescent="0.3">
      <c r="A12" s="40" t="s">
        <v>17</v>
      </c>
      <c r="B12" s="20"/>
      <c r="C12" s="20"/>
      <c r="D12" s="41" t="s">
        <v>10</v>
      </c>
      <c r="E12" s="111" t="s">
        <v>116</v>
      </c>
      <c r="F12" s="42"/>
      <c r="G12" s="20"/>
      <c r="H12" s="20"/>
      <c r="I12" s="51"/>
      <c r="J12" s="20"/>
      <c r="K12" s="20"/>
      <c r="L12" s="20"/>
      <c r="M12" s="20"/>
      <c r="N12" s="20"/>
      <c r="O12" s="20"/>
      <c r="P12" s="20"/>
      <c r="Q12" s="20"/>
      <c r="R12" s="56" t="s">
        <v>18</v>
      </c>
      <c r="S12" s="57"/>
      <c r="T12" s="57"/>
      <c r="U12" s="58" t="s">
        <v>10</v>
      </c>
      <c r="V12" s="59">
        <v>1</v>
      </c>
      <c r="W12" s="57"/>
      <c r="X12" s="57"/>
      <c r="Y12" s="57"/>
      <c r="Z12" s="60" t="s">
        <v>19</v>
      </c>
      <c r="AA12" s="60"/>
      <c r="AB12" s="60"/>
      <c r="AC12" s="60"/>
      <c r="AD12" s="60"/>
      <c r="AE12" s="60">
        <v>1</v>
      </c>
      <c r="AF12" s="60"/>
      <c r="AG12" s="61" t="s">
        <v>15</v>
      </c>
      <c r="AH12" s="60">
        <v>1</v>
      </c>
      <c r="AI12" s="62"/>
    </row>
    <row r="13" spans="1:35" ht="18" customHeight="1" x14ac:dyDescent="0.3">
      <c r="A13" s="40" t="s">
        <v>21</v>
      </c>
      <c r="B13" s="20"/>
      <c r="C13" s="20"/>
      <c r="D13" s="41" t="s">
        <v>10</v>
      </c>
      <c r="E13" s="111" t="s">
        <v>36</v>
      </c>
      <c r="F13" s="42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55"/>
      <c r="R13" s="112"/>
      <c r="S13" s="20"/>
      <c r="T13" s="20"/>
      <c r="U13" s="67"/>
      <c r="V13" s="68"/>
      <c r="W13" s="20"/>
      <c r="X13" s="20"/>
      <c r="Y13" s="20"/>
      <c r="Z13" s="69"/>
      <c r="AA13" s="69"/>
      <c r="AB13" s="69"/>
      <c r="AC13" s="69"/>
      <c r="AD13" s="69"/>
      <c r="AE13" s="69"/>
      <c r="AF13" s="69"/>
      <c r="AG13" s="70"/>
      <c r="AH13" s="69"/>
      <c r="AI13" s="29"/>
    </row>
    <row r="14" spans="1:35" ht="18" customHeight="1" thickBot="1" x14ac:dyDescent="0.35">
      <c r="A14" s="63" t="s">
        <v>20</v>
      </c>
      <c r="B14" s="20"/>
      <c r="C14" s="20"/>
      <c r="D14" s="41" t="s">
        <v>10</v>
      </c>
      <c r="E14" s="113" t="s">
        <v>38</v>
      </c>
      <c r="F14" s="42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64"/>
      <c r="R14" s="65" t="s">
        <v>21</v>
      </c>
      <c r="S14" s="66"/>
      <c r="T14" s="66"/>
      <c r="U14" s="67" t="s">
        <v>10</v>
      </c>
      <c r="V14" s="68" t="s">
        <v>50</v>
      </c>
      <c r="W14" s="20"/>
      <c r="X14" s="20"/>
      <c r="Y14" s="20"/>
      <c r="Z14" s="69"/>
      <c r="AA14" s="69"/>
      <c r="AB14" s="69"/>
      <c r="AC14" s="69"/>
      <c r="AD14" s="69"/>
      <c r="AE14" s="69"/>
      <c r="AF14" s="69"/>
      <c r="AG14" s="70"/>
      <c r="AH14" s="20"/>
      <c r="AI14" s="29"/>
    </row>
    <row r="15" spans="1:35" ht="16.5" x14ac:dyDescent="0.3">
      <c r="A15" s="71"/>
      <c r="B15" s="72"/>
      <c r="C15" s="24"/>
      <c r="D15" s="73"/>
      <c r="E15" s="74"/>
      <c r="F15" s="72"/>
      <c r="G15" s="72"/>
      <c r="H15" s="72"/>
      <c r="I15" s="24"/>
      <c r="J15" s="24"/>
      <c r="K15" s="24"/>
      <c r="L15" s="24"/>
      <c r="M15" s="24"/>
      <c r="N15" s="24"/>
      <c r="O15" s="24"/>
      <c r="P15" s="24"/>
      <c r="Q15" s="20"/>
      <c r="R15" s="75"/>
      <c r="S15" s="69"/>
      <c r="T15" s="20"/>
      <c r="U15" s="73"/>
      <c r="V15" s="7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6"/>
    </row>
    <row r="16" spans="1:35" s="79" customFormat="1" ht="23.25" x14ac:dyDescent="0.35">
      <c r="A16" s="76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77" t="s">
        <v>22</v>
      </c>
      <c r="M16" s="42"/>
      <c r="N16" s="42"/>
      <c r="O16" s="42"/>
      <c r="P16" s="42"/>
      <c r="Q16" s="42"/>
      <c r="R16" s="75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78"/>
    </row>
    <row r="17" spans="1:38" s="79" customFormat="1" ht="16.5" x14ac:dyDescent="0.3">
      <c r="A17" s="76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80"/>
      <c r="M17" s="42"/>
      <c r="N17" s="42"/>
      <c r="O17" s="42"/>
      <c r="P17" s="42"/>
      <c r="Q17" s="42"/>
      <c r="R17" s="75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78"/>
    </row>
    <row r="18" spans="1:38" s="79" customFormat="1" ht="15.75" x14ac:dyDescent="0.25">
      <c r="A18" s="76"/>
      <c r="B18" s="42"/>
      <c r="C18" s="42"/>
      <c r="D18" s="42"/>
      <c r="E18" s="42"/>
      <c r="F18" s="42"/>
      <c r="G18" s="42"/>
      <c r="H18" s="67" t="s">
        <v>29</v>
      </c>
      <c r="I18" s="81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78"/>
    </row>
    <row r="19" spans="1:38" s="79" customFormat="1" ht="15.75" x14ac:dyDescent="0.25">
      <c r="A19" s="76"/>
      <c r="B19" s="42"/>
      <c r="C19" s="82"/>
      <c r="D19" s="42"/>
      <c r="E19" s="83"/>
      <c r="F19" s="42"/>
      <c r="G19" s="42"/>
      <c r="H19" s="210" t="s">
        <v>30</v>
      </c>
      <c r="I19" s="211"/>
      <c r="J19" s="211"/>
      <c r="K19" s="211"/>
      <c r="L19" s="212"/>
      <c r="M19" s="216" t="s">
        <v>31</v>
      </c>
      <c r="N19" s="217"/>
      <c r="O19" s="217"/>
      <c r="P19" s="217"/>
      <c r="Q19" s="217"/>
      <c r="R19" s="217"/>
      <c r="S19" s="218"/>
      <c r="T19" s="216" t="s">
        <v>32</v>
      </c>
      <c r="U19" s="217"/>
      <c r="V19" s="217"/>
      <c r="W19" s="217"/>
      <c r="X19" s="218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78"/>
    </row>
    <row r="20" spans="1:38" s="79" customFormat="1" ht="13.5" customHeight="1" x14ac:dyDescent="0.25">
      <c r="A20" s="76"/>
      <c r="B20" s="42"/>
      <c r="C20" s="42"/>
      <c r="D20" s="42"/>
      <c r="E20" s="42"/>
      <c r="F20" s="42"/>
      <c r="G20" s="42"/>
      <c r="H20" s="213"/>
      <c r="I20" s="214"/>
      <c r="J20" s="214"/>
      <c r="K20" s="214"/>
      <c r="L20" s="215"/>
      <c r="M20" s="219" t="s">
        <v>33</v>
      </c>
      <c r="N20" s="220"/>
      <c r="O20" s="220"/>
      <c r="P20" s="220"/>
      <c r="Q20" s="220"/>
      <c r="R20" s="220"/>
      <c r="S20" s="221"/>
      <c r="T20" s="219" t="s">
        <v>34</v>
      </c>
      <c r="U20" s="220"/>
      <c r="V20" s="220"/>
      <c r="W20" s="220"/>
      <c r="X20" s="221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78"/>
    </row>
    <row r="21" spans="1:38" s="79" customFormat="1" ht="13.5" customHeight="1" x14ac:dyDescent="0.25">
      <c r="A21" s="76"/>
      <c r="B21" s="42"/>
      <c r="C21" s="42"/>
      <c r="D21" s="42"/>
      <c r="E21" s="42"/>
      <c r="F21" s="42"/>
      <c r="G21" s="42"/>
      <c r="H21" s="84" t="s">
        <v>177</v>
      </c>
      <c r="I21" s="85"/>
      <c r="J21" s="85"/>
      <c r="K21" s="85"/>
      <c r="L21" s="86"/>
      <c r="M21" s="201">
        <v>46119</v>
      </c>
      <c r="N21" s="202"/>
      <c r="O21" s="202"/>
      <c r="P21" s="202"/>
      <c r="Q21" s="202"/>
      <c r="R21" s="202"/>
      <c r="S21" s="203"/>
      <c r="T21" s="198" t="s">
        <v>44</v>
      </c>
      <c r="U21" s="199"/>
      <c r="V21" s="199"/>
      <c r="W21" s="199"/>
      <c r="X21" s="200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78"/>
    </row>
    <row r="22" spans="1:38" s="79" customFormat="1" ht="15.75" x14ac:dyDescent="0.25">
      <c r="A22" s="87"/>
      <c r="B22" s="42"/>
      <c r="C22" s="42"/>
      <c r="D22" s="42"/>
      <c r="E22" s="42"/>
      <c r="F22" s="42"/>
      <c r="G22" s="42"/>
      <c r="H22" s="84" t="s">
        <v>178</v>
      </c>
      <c r="I22" s="85"/>
      <c r="J22" s="85"/>
      <c r="K22" s="85"/>
      <c r="L22" s="86"/>
      <c r="M22" s="201">
        <v>46120</v>
      </c>
      <c r="N22" s="202"/>
      <c r="O22" s="202"/>
      <c r="P22" s="202"/>
      <c r="Q22" s="202"/>
      <c r="R22" s="202"/>
      <c r="S22" s="203"/>
      <c r="T22" s="198" t="s">
        <v>44</v>
      </c>
      <c r="U22" s="199"/>
      <c r="V22" s="199"/>
      <c r="W22" s="199"/>
      <c r="X22" s="200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78"/>
    </row>
    <row r="23" spans="1:38" s="79" customFormat="1" ht="15.75" x14ac:dyDescent="0.25">
      <c r="A23" s="88"/>
      <c r="B23" s="42"/>
      <c r="C23" s="42"/>
      <c r="D23" s="42"/>
      <c r="E23" s="42"/>
      <c r="F23" s="42"/>
      <c r="G23" s="42"/>
      <c r="H23" s="84" t="s">
        <v>179</v>
      </c>
      <c r="I23" s="85"/>
      <c r="J23" s="85"/>
      <c r="K23" s="85"/>
      <c r="L23" s="86"/>
      <c r="M23" s="201">
        <v>46126</v>
      </c>
      <c r="N23" s="202"/>
      <c r="O23" s="202"/>
      <c r="P23" s="202"/>
      <c r="Q23" s="202"/>
      <c r="R23" s="202"/>
      <c r="S23" s="203"/>
      <c r="T23" s="198" t="s">
        <v>44</v>
      </c>
      <c r="U23" s="199"/>
      <c r="V23" s="199"/>
      <c r="W23" s="199"/>
      <c r="X23" s="200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78"/>
    </row>
    <row r="24" spans="1:38" s="79" customFormat="1" ht="15.75" x14ac:dyDescent="0.25">
      <c r="A24" s="88"/>
      <c r="B24" s="42"/>
      <c r="C24" s="42"/>
      <c r="D24" s="42"/>
      <c r="E24" s="42"/>
      <c r="F24" s="42"/>
      <c r="G24" s="42"/>
      <c r="H24" s="84" t="s">
        <v>180</v>
      </c>
      <c r="I24" s="85"/>
      <c r="J24" s="85"/>
      <c r="K24" s="85"/>
      <c r="L24" s="86"/>
      <c r="M24" s="201">
        <v>46127</v>
      </c>
      <c r="N24" s="202"/>
      <c r="O24" s="202"/>
      <c r="P24" s="202"/>
      <c r="Q24" s="202"/>
      <c r="R24" s="202"/>
      <c r="S24" s="203"/>
      <c r="T24" s="198" t="s">
        <v>44</v>
      </c>
      <c r="U24" s="199"/>
      <c r="V24" s="199"/>
      <c r="W24" s="199"/>
      <c r="X24" s="200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78"/>
      <c r="AL24" s="89"/>
    </row>
    <row r="25" spans="1:38" s="79" customFormat="1" ht="15.75" x14ac:dyDescent="0.25">
      <c r="A25" s="88"/>
      <c r="B25" s="42"/>
      <c r="C25" s="42"/>
      <c r="D25" s="42"/>
      <c r="E25" s="42"/>
      <c r="F25" s="42"/>
      <c r="G25" s="42"/>
      <c r="H25" s="84" t="s">
        <v>181</v>
      </c>
      <c r="I25" s="85"/>
      <c r="J25" s="85"/>
      <c r="K25" s="85"/>
      <c r="L25" s="86"/>
      <c r="M25" s="201">
        <v>46133</v>
      </c>
      <c r="N25" s="202"/>
      <c r="O25" s="202"/>
      <c r="P25" s="202"/>
      <c r="Q25" s="202"/>
      <c r="R25" s="202"/>
      <c r="S25" s="203"/>
      <c r="T25" s="198" t="s">
        <v>44</v>
      </c>
      <c r="U25" s="199"/>
      <c r="V25" s="199"/>
      <c r="W25" s="199"/>
      <c r="X25" s="200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78"/>
      <c r="AL25" s="89"/>
    </row>
    <row r="26" spans="1:38" s="79" customFormat="1" ht="15.75" x14ac:dyDescent="0.25">
      <c r="A26" s="88"/>
      <c r="B26" s="42"/>
      <c r="C26" s="42"/>
      <c r="D26" s="42"/>
      <c r="E26" s="42"/>
      <c r="F26" s="42"/>
      <c r="G26" s="42"/>
      <c r="H26" s="84" t="s">
        <v>182</v>
      </c>
      <c r="I26" s="85"/>
      <c r="J26" s="85"/>
      <c r="K26" s="85"/>
      <c r="L26" s="86"/>
      <c r="M26" s="201">
        <v>46134</v>
      </c>
      <c r="N26" s="202"/>
      <c r="O26" s="202"/>
      <c r="P26" s="202"/>
      <c r="Q26" s="202"/>
      <c r="R26" s="202"/>
      <c r="S26" s="203"/>
      <c r="T26" s="198" t="s">
        <v>44</v>
      </c>
      <c r="U26" s="199"/>
      <c r="V26" s="199"/>
      <c r="W26" s="199"/>
      <c r="X26" s="200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78"/>
      <c r="AL26" s="89"/>
    </row>
    <row r="27" spans="1:38" s="79" customFormat="1" ht="15.75" x14ac:dyDescent="0.25">
      <c r="A27" s="88"/>
      <c r="B27" s="42"/>
      <c r="C27" s="42"/>
      <c r="D27" s="42"/>
      <c r="E27" s="42"/>
      <c r="F27" s="42"/>
      <c r="G27" s="42"/>
      <c r="H27" s="84" t="s">
        <v>183</v>
      </c>
      <c r="I27" s="85"/>
      <c r="J27" s="85"/>
      <c r="K27" s="85"/>
      <c r="L27" s="86"/>
      <c r="M27" s="201">
        <v>46140</v>
      </c>
      <c r="N27" s="202"/>
      <c r="O27" s="202"/>
      <c r="P27" s="202"/>
      <c r="Q27" s="202"/>
      <c r="R27" s="202"/>
      <c r="S27" s="203"/>
      <c r="T27" s="198" t="s">
        <v>44</v>
      </c>
      <c r="U27" s="199"/>
      <c r="V27" s="199"/>
      <c r="W27" s="199"/>
      <c r="X27" s="200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78"/>
      <c r="AL27" s="89"/>
    </row>
    <row r="28" spans="1:38" s="79" customFormat="1" ht="15.75" x14ac:dyDescent="0.25">
      <c r="A28" s="88"/>
      <c r="B28" s="42"/>
      <c r="C28" s="42"/>
      <c r="D28" s="42"/>
      <c r="E28" s="42"/>
      <c r="F28" s="42"/>
      <c r="G28" s="42"/>
      <c r="H28" s="84" t="s">
        <v>184</v>
      </c>
      <c r="I28" s="85"/>
      <c r="J28" s="85"/>
      <c r="K28" s="85"/>
      <c r="L28" s="86"/>
      <c r="M28" s="201">
        <v>46141</v>
      </c>
      <c r="N28" s="202"/>
      <c r="O28" s="202"/>
      <c r="P28" s="202"/>
      <c r="Q28" s="202"/>
      <c r="R28" s="202"/>
      <c r="S28" s="203"/>
      <c r="T28" s="198" t="s">
        <v>44</v>
      </c>
      <c r="U28" s="199"/>
      <c r="V28" s="199"/>
      <c r="W28" s="199"/>
      <c r="X28" s="200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78"/>
      <c r="AL28" s="89"/>
    </row>
    <row r="29" spans="1:38" s="79" customFormat="1" ht="15.75" x14ac:dyDescent="0.25">
      <c r="A29" s="88"/>
      <c r="B29" s="42"/>
      <c r="C29" s="42"/>
      <c r="D29" s="42"/>
      <c r="E29" s="42"/>
      <c r="F29" s="42"/>
      <c r="G29" s="42"/>
      <c r="H29" s="84"/>
      <c r="I29" s="85"/>
      <c r="J29" s="85"/>
      <c r="K29" s="85"/>
      <c r="L29" s="86"/>
      <c r="M29" s="201"/>
      <c r="N29" s="202"/>
      <c r="O29" s="202"/>
      <c r="P29" s="202"/>
      <c r="Q29" s="202"/>
      <c r="R29" s="202"/>
      <c r="S29" s="203"/>
      <c r="T29" s="198"/>
      <c r="U29" s="199"/>
      <c r="V29" s="199"/>
      <c r="W29" s="199"/>
      <c r="X29" s="200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78"/>
      <c r="AL29" s="89"/>
    </row>
    <row r="30" spans="1:38" s="79" customFormat="1" ht="15.75" x14ac:dyDescent="0.25">
      <c r="A30" s="88"/>
      <c r="B30" s="42"/>
      <c r="C30" s="42"/>
      <c r="D30" s="42"/>
      <c r="E30" s="42"/>
      <c r="F30" s="42"/>
      <c r="G30" s="42"/>
      <c r="H30" s="84"/>
      <c r="I30" s="85"/>
      <c r="J30" s="85"/>
      <c r="K30" s="85"/>
      <c r="L30" s="86"/>
      <c r="M30" s="175"/>
      <c r="N30" s="176"/>
      <c r="O30" s="176"/>
      <c r="P30" s="176"/>
      <c r="Q30" s="176"/>
      <c r="R30" s="176"/>
      <c r="S30" s="177"/>
      <c r="T30" s="198"/>
      <c r="U30" s="199"/>
      <c r="V30" s="199"/>
      <c r="W30" s="199"/>
      <c r="X30" s="200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78"/>
      <c r="AL30" s="89"/>
    </row>
    <row r="31" spans="1:38" s="79" customFormat="1" ht="15.75" x14ac:dyDescent="0.25">
      <c r="A31" s="88"/>
      <c r="B31" s="42"/>
      <c r="C31" s="42"/>
      <c r="D31" s="42"/>
      <c r="E31" s="42"/>
      <c r="F31" s="42"/>
      <c r="G31" s="42"/>
      <c r="H31" s="84"/>
      <c r="I31" s="85"/>
      <c r="J31" s="85"/>
      <c r="K31" s="85"/>
      <c r="L31" s="86"/>
      <c r="M31" s="175"/>
      <c r="N31" s="178"/>
      <c r="O31" s="178"/>
      <c r="P31" s="178"/>
      <c r="Q31" s="178"/>
      <c r="R31" s="178"/>
      <c r="S31" s="179"/>
      <c r="T31" s="198"/>
      <c r="U31" s="199"/>
      <c r="V31" s="199"/>
      <c r="W31" s="199"/>
      <c r="X31" s="200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78"/>
      <c r="AL31" s="89"/>
    </row>
    <row r="32" spans="1:38" s="79" customFormat="1" ht="15.75" x14ac:dyDescent="0.25">
      <c r="A32" s="88"/>
      <c r="B32" s="42"/>
      <c r="C32" s="42"/>
      <c r="D32" s="42"/>
      <c r="E32" s="42"/>
      <c r="F32" s="42"/>
      <c r="G32" s="42"/>
      <c r="H32" s="84"/>
      <c r="I32" s="85"/>
      <c r="J32" s="85"/>
      <c r="K32" s="85"/>
      <c r="L32" s="86"/>
      <c r="M32" s="175"/>
      <c r="N32" s="178"/>
      <c r="O32" s="178"/>
      <c r="P32" s="178"/>
      <c r="Q32" s="178"/>
      <c r="R32" s="178"/>
      <c r="S32" s="179"/>
      <c r="T32" s="198"/>
      <c r="U32" s="199"/>
      <c r="V32" s="199"/>
      <c r="W32" s="199"/>
      <c r="X32" s="200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78"/>
    </row>
    <row r="33" spans="1:38" s="79" customFormat="1" ht="15.75" x14ac:dyDescent="0.25">
      <c r="A33" s="88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78"/>
    </row>
    <row r="34" spans="1:38" s="79" customFormat="1" ht="15.75" x14ac:dyDescent="0.25">
      <c r="A34" s="88"/>
      <c r="B34" s="42"/>
      <c r="C34" s="42"/>
      <c r="D34" s="42"/>
      <c r="E34" s="42"/>
      <c r="F34" s="42"/>
      <c r="G34" s="42"/>
      <c r="H34" s="90" t="s">
        <v>23</v>
      </c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67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78"/>
    </row>
    <row r="35" spans="1:38" s="79" customFormat="1" ht="15.75" x14ac:dyDescent="0.25">
      <c r="A35" s="88"/>
      <c r="B35" s="42"/>
      <c r="C35" s="42"/>
      <c r="D35" s="42"/>
      <c r="E35" s="42"/>
      <c r="F35" s="42"/>
      <c r="G35" s="42"/>
      <c r="H35" s="90" t="s">
        <v>24</v>
      </c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91"/>
      <c r="U35" s="91"/>
      <c r="V35" s="91"/>
      <c r="W35" s="91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78"/>
      <c r="AL35" s="89"/>
    </row>
    <row r="36" spans="1:38" s="79" customFormat="1" ht="15.75" x14ac:dyDescent="0.25">
      <c r="A36" s="88"/>
      <c r="B36" s="42"/>
      <c r="C36" s="42"/>
      <c r="D36" s="42"/>
      <c r="E36" s="42"/>
      <c r="F36" s="42"/>
      <c r="G36" s="42"/>
      <c r="H36" s="90"/>
      <c r="I36" s="42"/>
      <c r="J36" s="42"/>
      <c r="K36" s="42"/>
      <c r="L36" s="42"/>
      <c r="M36" s="42"/>
      <c r="N36" s="42"/>
      <c r="O36" s="42"/>
      <c r="P36" s="92"/>
      <c r="Q36" s="93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78"/>
    </row>
    <row r="37" spans="1:38" s="79" customFormat="1" ht="15.75" x14ac:dyDescent="0.25">
      <c r="A37" s="88"/>
      <c r="B37" s="42"/>
      <c r="C37" s="42"/>
      <c r="D37" s="42"/>
      <c r="E37" s="42"/>
      <c r="F37" s="42"/>
      <c r="G37" s="42"/>
      <c r="H37" s="90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78"/>
    </row>
    <row r="38" spans="1:38" s="79" customFormat="1" ht="15.75" x14ac:dyDescent="0.25">
      <c r="A38" s="88"/>
      <c r="B38" s="42"/>
      <c r="C38" s="42"/>
      <c r="D38" s="42"/>
      <c r="E38" s="42"/>
      <c r="F38" s="42"/>
      <c r="G38" s="42"/>
      <c r="H38" s="90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78"/>
    </row>
    <row r="39" spans="1:38" s="79" customFormat="1" ht="15.75" x14ac:dyDescent="0.25">
      <c r="A39" s="88"/>
      <c r="B39" s="42"/>
      <c r="C39" s="42"/>
      <c r="D39" s="42"/>
      <c r="E39" s="42"/>
      <c r="F39" s="42"/>
      <c r="G39" s="42"/>
      <c r="H39" s="90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78"/>
    </row>
    <row r="40" spans="1:38" s="79" customFormat="1" ht="15.75" x14ac:dyDescent="0.25">
      <c r="A40" s="76"/>
      <c r="B40" s="42"/>
      <c r="C40" s="94"/>
      <c r="D40" s="42"/>
      <c r="E40" s="42"/>
      <c r="F40" s="42"/>
      <c r="G40" s="42"/>
      <c r="H40" s="90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78"/>
    </row>
    <row r="41" spans="1:38" s="79" customFormat="1" ht="15" customHeight="1" x14ac:dyDescent="0.25">
      <c r="A41" s="87"/>
      <c r="B41" s="42"/>
      <c r="C41" s="42"/>
      <c r="D41" s="42"/>
      <c r="E41" s="42"/>
      <c r="F41" s="42"/>
      <c r="G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78"/>
    </row>
    <row r="42" spans="1:38" s="79" customFormat="1" ht="15" customHeight="1" x14ac:dyDescent="0.25">
      <c r="A42" s="87"/>
      <c r="B42" s="42"/>
      <c r="C42" s="42"/>
      <c r="D42" s="42"/>
      <c r="E42" s="42"/>
      <c r="F42" s="42"/>
      <c r="G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78"/>
    </row>
    <row r="43" spans="1:38" s="79" customFormat="1" ht="15.75" customHeight="1" x14ac:dyDescent="0.25">
      <c r="A43" s="76"/>
      <c r="B43" s="42"/>
      <c r="C43" s="42"/>
      <c r="D43" s="42"/>
      <c r="E43" s="42"/>
      <c r="F43" s="42"/>
      <c r="G43" s="42"/>
      <c r="H43" s="90" t="s">
        <v>25</v>
      </c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78"/>
    </row>
    <row r="44" spans="1:38" s="79" customFormat="1" ht="15.75" customHeight="1" x14ac:dyDescent="0.55000000000000004">
      <c r="A44" s="76"/>
      <c r="B44" s="42"/>
      <c r="C44" s="42"/>
      <c r="D44" s="42"/>
      <c r="E44" s="42"/>
      <c r="F44" s="42"/>
      <c r="G44" s="95"/>
      <c r="H44" s="90" t="s">
        <v>26</v>
      </c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78"/>
    </row>
    <row r="45" spans="1:38" s="79" customFormat="1" ht="23.25" customHeight="1" x14ac:dyDescent="0.55000000000000004">
      <c r="A45" s="76"/>
      <c r="B45" s="42"/>
      <c r="C45" s="42"/>
      <c r="D45" s="42"/>
      <c r="E45" s="42"/>
      <c r="F45" s="42"/>
      <c r="G45" s="95"/>
      <c r="H45" s="90" t="s">
        <v>27</v>
      </c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 t="s">
        <v>28</v>
      </c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78"/>
    </row>
    <row r="46" spans="1:38" s="79" customFormat="1" ht="15" customHeight="1" x14ac:dyDescent="0.55000000000000004">
      <c r="A46" s="76"/>
      <c r="B46" s="42"/>
      <c r="C46" s="42"/>
      <c r="D46" s="42"/>
      <c r="E46" s="42"/>
      <c r="F46" s="42"/>
      <c r="G46" s="95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78"/>
    </row>
    <row r="47" spans="1:38" s="79" customFormat="1" ht="15" customHeight="1" x14ac:dyDescent="0.55000000000000004">
      <c r="A47" s="76"/>
      <c r="B47" s="42"/>
      <c r="C47" s="42"/>
      <c r="D47" s="42"/>
      <c r="E47" s="42"/>
      <c r="F47" s="42"/>
      <c r="G47" s="95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78"/>
    </row>
    <row r="48" spans="1:38" s="79" customFormat="1" ht="19.5" customHeight="1" x14ac:dyDescent="0.55000000000000004">
      <c r="A48" s="76"/>
      <c r="B48" s="42"/>
      <c r="C48" s="42"/>
      <c r="D48" s="42"/>
      <c r="E48" s="42"/>
      <c r="F48" s="42"/>
      <c r="G48" s="95"/>
      <c r="H48" s="96"/>
      <c r="I48" s="96"/>
      <c r="J48" s="97"/>
      <c r="K48" s="98"/>
      <c r="L48" s="98"/>
      <c r="M48" s="99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78"/>
    </row>
    <row r="49" spans="1:41" s="79" customFormat="1" ht="19.5" customHeight="1" x14ac:dyDescent="0.55000000000000004">
      <c r="A49" s="76"/>
      <c r="B49" s="42"/>
      <c r="C49" s="42"/>
      <c r="D49" s="42"/>
      <c r="E49" s="42"/>
      <c r="F49" s="42"/>
      <c r="G49" s="95"/>
      <c r="H49" s="18" t="s">
        <v>39</v>
      </c>
      <c r="I49" s="96"/>
      <c r="J49" s="97"/>
      <c r="K49" s="98"/>
      <c r="L49" s="98"/>
      <c r="M49" s="99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19" t="s">
        <v>126</v>
      </c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78"/>
    </row>
    <row r="50" spans="1:41" s="79" customFormat="1" ht="15" customHeight="1" x14ac:dyDescent="0.25">
      <c r="A50" s="76"/>
      <c r="B50" s="42"/>
      <c r="C50" s="42"/>
      <c r="D50" s="42"/>
      <c r="E50" s="42"/>
      <c r="F50" s="42"/>
      <c r="G50" s="21"/>
      <c r="H50" s="114" t="s">
        <v>37</v>
      </c>
      <c r="I50" s="96"/>
      <c r="J50" s="100"/>
      <c r="K50" s="101"/>
      <c r="L50" s="101"/>
      <c r="M50" s="99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78"/>
    </row>
    <row r="51" spans="1:41" s="79" customFormat="1" ht="19.5" customHeight="1" x14ac:dyDescent="0.55000000000000004">
      <c r="A51" s="76"/>
      <c r="B51" s="42"/>
      <c r="C51" s="42"/>
      <c r="D51" s="42"/>
      <c r="E51" s="42"/>
      <c r="F51" s="42"/>
      <c r="G51" s="95"/>
      <c r="H51" s="98"/>
      <c r="I51" s="96"/>
      <c r="J51" s="97"/>
      <c r="K51" s="98"/>
      <c r="L51" s="98"/>
      <c r="M51" s="99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78"/>
    </row>
    <row r="52" spans="1:41" s="79" customFormat="1" ht="19.5" customHeight="1" x14ac:dyDescent="0.55000000000000004">
      <c r="A52" s="76"/>
      <c r="B52" s="42"/>
      <c r="C52" s="42"/>
      <c r="D52" s="42"/>
      <c r="E52" s="42"/>
      <c r="F52" s="42"/>
      <c r="G52" s="95"/>
      <c r="H52" s="98"/>
      <c r="I52" s="96"/>
      <c r="J52" s="97"/>
      <c r="K52" s="98"/>
      <c r="L52" s="98"/>
      <c r="M52" s="99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78"/>
    </row>
    <row r="53" spans="1:41" s="79" customFormat="1" ht="19.5" customHeight="1" x14ac:dyDescent="0.55000000000000004">
      <c r="A53" s="76"/>
      <c r="B53" s="42"/>
      <c r="C53" s="42"/>
      <c r="D53" s="42"/>
      <c r="E53" s="42"/>
      <c r="F53" s="42"/>
      <c r="G53" s="95"/>
      <c r="H53" s="98"/>
      <c r="I53" s="96"/>
      <c r="J53" s="97"/>
      <c r="K53" s="98"/>
      <c r="L53" s="98"/>
      <c r="M53" s="99"/>
      <c r="N53" s="42"/>
      <c r="O53" s="42"/>
      <c r="P53" s="42"/>
      <c r="Q53" s="18" t="s">
        <v>77</v>
      </c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78"/>
    </row>
    <row r="54" spans="1:41" s="79" customFormat="1" ht="19.5" customHeight="1" x14ac:dyDescent="0.55000000000000004">
      <c r="A54" s="76"/>
      <c r="B54" s="42"/>
      <c r="C54" s="42"/>
      <c r="D54" s="42"/>
      <c r="E54" s="42"/>
      <c r="F54" s="42"/>
      <c r="G54" s="95"/>
      <c r="H54" s="98"/>
      <c r="I54" s="96"/>
      <c r="J54" s="97"/>
      <c r="K54" s="98"/>
      <c r="L54" s="98"/>
      <c r="M54" s="99"/>
      <c r="N54" s="42"/>
      <c r="O54" s="42"/>
      <c r="P54" s="42"/>
      <c r="Q54" s="102" t="s">
        <v>78</v>
      </c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78"/>
    </row>
    <row r="55" spans="1:41" s="79" customFormat="1" ht="16.5" thickBot="1" x14ac:dyDescent="0.3">
      <c r="A55" s="103"/>
      <c r="B55" s="104"/>
      <c r="C55" s="104"/>
      <c r="D55" s="104"/>
      <c r="E55" s="104"/>
      <c r="F55" s="104"/>
      <c r="G55" s="104"/>
      <c r="H55" s="66"/>
      <c r="I55" s="105"/>
      <c r="J55" s="105"/>
      <c r="K55" s="105"/>
      <c r="L55" s="105"/>
      <c r="M55" s="105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6"/>
    </row>
    <row r="61" spans="1:41" ht="15.75" x14ac:dyDescent="0.2">
      <c r="AM61" s="107"/>
      <c r="AN61" s="108"/>
      <c r="AO61" s="109"/>
    </row>
    <row r="62" spans="1:41" ht="15.75" x14ac:dyDescent="0.2">
      <c r="AM62" s="107"/>
      <c r="AN62" s="107"/>
      <c r="AO62" s="108"/>
    </row>
    <row r="63" spans="1:41" ht="15.75" x14ac:dyDescent="0.2">
      <c r="AM63" s="107"/>
      <c r="AN63" s="107"/>
      <c r="AO63" s="108"/>
    </row>
    <row r="64" spans="1:41" ht="15.75" x14ac:dyDescent="0.2">
      <c r="AM64" s="107"/>
      <c r="AN64" s="107"/>
      <c r="AO64" s="108"/>
    </row>
    <row r="65" spans="39:41" ht="15.75" x14ac:dyDescent="0.2">
      <c r="AM65" s="107"/>
      <c r="AN65" s="107"/>
      <c r="AO65" s="108"/>
    </row>
    <row r="66" spans="39:41" x14ac:dyDescent="0.2">
      <c r="AM66" s="20"/>
      <c r="AN66" s="20"/>
      <c r="AO66" s="20"/>
    </row>
  </sheetData>
  <mergeCells count="27">
    <mergeCell ref="H19:L20"/>
    <mergeCell ref="M19:S19"/>
    <mergeCell ref="T19:X19"/>
    <mergeCell ref="M20:S20"/>
    <mergeCell ref="T20:X20"/>
    <mergeCell ref="M24:S24"/>
    <mergeCell ref="T24:X24"/>
    <mergeCell ref="T27:X27"/>
    <mergeCell ref="Z1:AI2"/>
    <mergeCell ref="M21:S21"/>
    <mergeCell ref="T21:X21"/>
    <mergeCell ref="M22:S22"/>
    <mergeCell ref="T22:X22"/>
    <mergeCell ref="M23:S23"/>
    <mergeCell ref="T23:X23"/>
    <mergeCell ref="T32:X32"/>
    <mergeCell ref="M25:S25"/>
    <mergeCell ref="M26:S26"/>
    <mergeCell ref="T25:X25"/>
    <mergeCell ref="T26:X26"/>
    <mergeCell ref="T28:X28"/>
    <mergeCell ref="T29:X29"/>
    <mergeCell ref="T30:X30"/>
    <mergeCell ref="T31:X31"/>
    <mergeCell ref="M27:S27"/>
    <mergeCell ref="M28:S28"/>
    <mergeCell ref="M29:S29"/>
  </mergeCells>
  <printOptions horizontalCentered="1"/>
  <pageMargins left="0.19" right="0.24" top="0.44" bottom="0.27" header="0.32" footer="0.22"/>
  <pageSetup paperSize="9" scale="97" orientation="portrait" r:id="rId1"/>
  <headerFooter alignWithMargins="0"/>
  <colBreaks count="1" manualBreakCount="1">
    <brk id="3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132"/>
  <sheetViews>
    <sheetView showGridLines="0" tabSelected="1" zoomScale="55" zoomScaleNormal="55" zoomScaleSheetLayoutView="62" workbookViewId="0">
      <pane xSplit="2" ySplit="13" topLeftCell="W117" activePane="bottomRight" state="frozen"/>
      <selection pane="topRight" activeCell="C1" sqref="C1"/>
      <selection pane="bottomLeft" activeCell="A12" sqref="A12"/>
      <selection pane="bottomRight" activeCell="W126" sqref="W126:AY126"/>
    </sheetView>
  </sheetViews>
  <sheetFormatPr defaultColWidth="9.140625" defaultRowHeight="23.25" customHeight="1" x14ac:dyDescent="0.2"/>
  <cols>
    <col min="1" max="1" width="5.85546875" style="9" bestFit="1" customWidth="1"/>
    <col min="2" max="2" width="28.5703125" style="10" bestFit="1" customWidth="1"/>
    <col min="3" max="3" width="30.85546875" style="10" bestFit="1" customWidth="1"/>
    <col min="4" max="4" width="16.7109375" style="10" customWidth="1"/>
    <col min="5" max="22" width="19.42578125" style="9" hidden="1" customWidth="1"/>
    <col min="23" max="51" width="19.42578125" style="9" customWidth="1"/>
    <col min="52" max="59" width="18.140625" style="9" customWidth="1"/>
    <col min="60" max="60" width="50.140625" style="1" customWidth="1"/>
    <col min="61" max="61" width="16.7109375" style="1" customWidth="1"/>
    <col min="62" max="62" width="11.140625" style="1" customWidth="1"/>
    <col min="63" max="63" width="13.28515625" style="1" bestFit="1" customWidth="1"/>
    <col min="64" max="16384" width="9.140625" style="1"/>
  </cols>
  <sheetData>
    <row r="1" spans="1:63" ht="23.25" customHeight="1" x14ac:dyDescent="0.2">
      <c r="A1" s="222" t="s">
        <v>8</v>
      </c>
      <c r="B1" s="223"/>
      <c r="C1" s="131">
        <v>46091</v>
      </c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>
        <v>27</v>
      </c>
      <c r="AE1" s="132">
        <f t="shared" ref="AE1" si="0">+AD1+2</f>
        <v>29</v>
      </c>
      <c r="AF1" s="132">
        <f t="shared" ref="AF1" si="1">+AE1+2</f>
        <v>31</v>
      </c>
      <c r="AG1" s="132">
        <f t="shared" ref="AG1" si="2">+AF1+2</f>
        <v>33</v>
      </c>
      <c r="AH1" s="132">
        <f t="shared" ref="AH1" si="3">+AG1+2</f>
        <v>35</v>
      </c>
      <c r="AI1" s="132">
        <f t="shared" ref="AI1" si="4">+AH1+2</f>
        <v>37</v>
      </c>
      <c r="AJ1" s="132">
        <f t="shared" ref="AJ1" si="5">+AI1+2</f>
        <v>39</v>
      </c>
      <c r="AK1" s="132">
        <f t="shared" ref="AK1" si="6">+AJ1+2</f>
        <v>41</v>
      </c>
      <c r="AL1" s="132">
        <f t="shared" ref="AL1" si="7">+AK1+2</f>
        <v>43</v>
      </c>
      <c r="AM1" s="132">
        <f t="shared" ref="AM1" si="8">+AL1+2</f>
        <v>45</v>
      </c>
      <c r="AN1" s="132">
        <f t="shared" ref="AN1" si="9">+AM1+2</f>
        <v>47</v>
      </c>
      <c r="AO1" s="132">
        <f t="shared" ref="AO1" si="10">+AN1+2</f>
        <v>49</v>
      </c>
      <c r="AP1" s="132">
        <f t="shared" ref="AP1" si="11">+AO1+2</f>
        <v>51</v>
      </c>
      <c r="AQ1" s="132">
        <f t="shared" ref="AQ1" si="12">+AP1+2</f>
        <v>53</v>
      </c>
      <c r="AR1" s="132">
        <f t="shared" ref="AR1" si="13">+AQ1+2</f>
        <v>55</v>
      </c>
      <c r="AS1" s="132">
        <f t="shared" ref="AS1" si="14">+AR1+2</f>
        <v>57</v>
      </c>
      <c r="AT1" s="132">
        <f t="shared" ref="AT1" si="15">+AS1+2</f>
        <v>59</v>
      </c>
      <c r="AU1" s="132">
        <f t="shared" ref="AU1" si="16">+AT1+2</f>
        <v>61</v>
      </c>
      <c r="AV1" s="132">
        <f t="shared" ref="AV1" si="17">+AU1+2</f>
        <v>63</v>
      </c>
      <c r="AW1" s="132">
        <f t="shared" ref="AW1" si="18">+AV1+2</f>
        <v>65</v>
      </c>
      <c r="AX1" s="132">
        <f t="shared" ref="AX1" si="19">+AW1+2</f>
        <v>67</v>
      </c>
      <c r="AY1" s="132">
        <f t="shared" ref="AY1" si="20">+AX1+2</f>
        <v>69</v>
      </c>
      <c r="AZ1" s="130"/>
      <c r="BA1" s="130"/>
      <c r="BB1" s="130"/>
      <c r="BC1" s="130"/>
      <c r="BD1" s="130"/>
      <c r="BE1" s="130"/>
      <c r="BF1" s="130">
        <v>69</v>
      </c>
      <c r="BG1" s="130">
        <f t="shared" ref="BG1" si="21">+BF1+11</f>
        <v>80</v>
      </c>
      <c r="BH1" s="242" t="s">
        <v>45</v>
      </c>
    </row>
    <row r="2" spans="1:63" ht="23.25" customHeight="1" x14ac:dyDescent="0.2">
      <c r="A2" s="250"/>
      <c r="B2" s="251">
        <v>1</v>
      </c>
      <c r="C2" s="252">
        <f>+B2+1</f>
        <v>2</v>
      </c>
      <c r="D2" s="252">
        <f t="shared" ref="D2:BG2" si="22">+C2+1</f>
        <v>3</v>
      </c>
      <c r="E2" s="252">
        <f t="shared" si="22"/>
        <v>4</v>
      </c>
      <c r="F2" s="252">
        <f t="shared" si="22"/>
        <v>5</v>
      </c>
      <c r="G2" s="252">
        <f t="shared" si="22"/>
        <v>6</v>
      </c>
      <c r="H2" s="252">
        <f t="shared" si="22"/>
        <v>7</v>
      </c>
      <c r="I2" s="252">
        <f t="shared" si="22"/>
        <v>8</v>
      </c>
      <c r="J2" s="252">
        <f t="shared" si="22"/>
        <v>9</v>
      </c>
      <c r="K2" s="252">
        <f t="shared" si="22"/>
        <v>10</v>
      </c>
      <c r="L2" s="252">
        <f t="shared" si="22"/>
        <v>11</v>
      </c>
      <c r="M2" s="252">
        <f t="shared" si="22"/>
        <v>12</v>
      </c>
      <c r="N2" s="252">
        <f t="shared" si="22"/>
        <v>13</v>
      </c>
      <c r="O2" s="252">
        <f t="shared" si="22"/>
        <v>14</v>
      </c>
      <c r="P2" s="252">
        <f t="shared" si="22"/>
        <v>15</v>
      </c>
      <c r="Q2" s="252">
        <f t="shared" si="22"/>
        <v>16</v>
      </c>
      <c r="R2" s="252">
        <f t="shared" si="22"/>
        <v>17</v>
      </c>
      <c r="S2" s="252">
        <f t="shared" si="22"/>
        <v>18</v>
      </c>
      <c r="T2" s="252">
        <f t="shared" si="22"/>
        <v>19</v>
      </c>
      <c r="U2" s="252">
        <f t="shared" si="22"/>
        <v>20</v>
      </c>
      <c r="V2" s="252">
        <f t="shared" si="22"/>
        <v>21</v>
      </c>
      <c r="W2" s="253">
        <f t="shared" si="22"/>
        <v>22</v>
      </c>
      <c r="X2" s="253">
        <f t="shared" si="22"/>
        <v>23</v>
      </c>
      <c r="Y2" s="253">
        <f t="shared" si="22"/>
        <v>24</v>
      </c>
      <c r="Z2" s="253">
        <f t="shared" si="22"/>
        <v>25</v>
      </c>
      <c r="AA2" s="253">
        <f t="shared" si="22"/>
        <v>26</v>
      </c>
      <c r="AB2" s="253">
        <f t="shared" si="22"/>
        <v>27</v>
      </c>
      <c r="AC2" s="253">
        <f t="shared" si="22"/>
        <v>28</v>
      </c>
      <c r="AD2" s="252">
        <f t="shared" si="22"/>
        <v>29</v>
      </c>
      <c r="AE2" s="252">
        <f t="shared" si="22"/>
        <v>30</v>
      </c>
      <c r="AF2" s="252">
        <f t="shared" si="22"/>
        <v>31</v>
      </c>
      <c r="AG2" s="252">
        <f t="shared" si="22"/>
        <v>32</v>
      </c>
      <c r="AH2" s="252">
        <f t="shared" si="22"/>
        <v>33</v>
      </c>
      <c r="AI2" s="252">
        <f t="shared" si="22"/>
        <v>34</v>
      </c>
      <c r="AJ2" s="252">
        <f t="shared" si="22"/>
        <v>35</v>
      </c>
      <c r="AK2" s="252">
        <f t="shared" si="22"/>
        <v>36</v>
      </c>
      <c r="AL2" s="253">
        <f t="shared" si="22"/>
        <v>37</v>
      </c>
      <c r="AM2" s="253">
        <f t="shared" si="22"/>
        <v>38</v>
      </c>
      <c r="AN2" s="253">
        <f t="shared" si="22"/>
        <v>39</v>
      </c>
      <c r="AO2" s="253">
        <f t="shared" si="22"/>
        <v>40</v>
      </c>
      <c r="AP2" s="253">
        <f t="shared" si="22"/>
        <v>41</v>
      </c>
      <c r="AQ2" s="253">
        <f t="shared" si="22"/>
        <v>42</v>
      </c>
      <c r="AR2" s="252">
        <f t="shared" si="22"/>
        <v>43</v>
      </c>
      <c r="AS2" s="252">
        <f t="shared" si="22"/>
        <v>44</v>
      </c>
      <c r="AT2" s="252">
        <f t="shared" si="22"/>
        <v>45</v>
      </c>
      <c r="AU2" s="252">
        <f t="shared" si="22"/>
        <v>46</v>
      </c>
      <c r="AV2" s="252">
        <f t="shared" si="22"/>
        <v>47</v>
      </c>
      <c r="AW2" s="252">
        <f t="shared" si="22"/>
        <v>48</v>
      </c>
      <c r="AX2" s="252">
        <f t="shared" si="22"/>
        <v>49</v>
      </c>
      <c r="AY2" s="252">
        <f t="shared" si="22"/>
        <v>50</v>
      </c>
      <c r="AZ2" s="252">
        <f t="shared" si="22"/>
        <v>51</v>
      </c>
      <c r="BA2" s="252">
        <f t="shared" si="22"/>
        <v>52</v>
      </c>
      <c r="BB2" s="252">
        <f t="shared" si="22"/>
        <v>53</v>
      </c>
      <c r="BC2" s="252">
        <f t="shared" si="22"/>
        <v>54</v>
      </c>
      <c r="BD2" s="252">
        <f t="shared" si="22"/>
        <v>55</v>
      </c>
      <c r="BE2" s="252">
        <f t="shared" si="22"/>
        <v>56</v>
      </c>
      <c r="BF2" s="252">
        <f t="shared" si="22"/>
        <v>57</v>
      </c>
      <c r="BG2" s="252">
        <f t="shared" si="22"/>
        <v>58</v>
      </c>
      <c r="BH2" s="242"/>
    </row>
    <row r="3" spans="1:63" ht="23.25" customHeight="1" x14ac:dyDescent="0.2">
      <c r="A3" s="224" t="s">
        <v>7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169"/>
      <c r="W3" s="169"/>
      <c r="X3" s="169"/>
      <c r="Y3" s="169"/>
      <c r="Z3" s="169"/>
      <c r="AA3" s="174"/>
      <c r="AB3" s="174"/>
      <c r="AC3" s="174"/>
      <c r="AD3" s="174"/>
      <c r="AE3" s="174"/>
      <c r="AF3" s="174"/>
      <c r="AG3" s="174"/>
      <c r="AH3" s="174"/>
      <c r="AI3" s="174"/>
      <c r="AJ3" s="182"/>
      <c r="AK3" s="182"/>
      <c r="AL3" s="182"/>
      <c r="AM3" s="182"/>
      <c r="AN3" s="182"/>
      <c r="AO3" s="182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53"/>
      <c r="BA3" s="153"/>
      <c r="BB3" s="154"/>
      <c r="BC3" s="129"/>
      <c r="BD3" s="129"/>
      <c r="BE3" s="129"/>
      <c r="BF3" s="129"/>
      <c r="BG3" s="129"/>
      <c r="BH3" s="242"/>
    </row>
    <row r="4" spans="1:63" ht="41.25" customHeight="1" x14ac:dyDescent="0.2">
      <c r="A4" s="125"/>
      <c r="B4" s="126"/>
      <c r="C4" s="126"/>
      <c r="D4" s="127"/>
      <c r="E4" s="226" t="s">
        <v>163</v>
      </c>
      <c r="F4" s="226"/>
      <c r="G4" s="226" t="s">
        <v>117</v>
      </c>
      <c r="H4" s="226"/>
      <c r="I4" s="226" t="s">
        <v>118</v>
      </c>
      <c r="J4" s="226"/>
      <c r="K4" s="226" t="s">
        <v>119</v>
      </c>
      <c r="L4" s="226"/>
      <c r="M4" s="226" t="s">
        <v>121</v>
      </c>
      <c r="N4" s="226"/>
      <c r="O4" s="226" t="s">
        <v>122</v>
      </c>
      <c r="P4" s="226"/>
      <c r="Q4" s="226" t="s">
        <v>185</v>
      </c>
      <c r="R4" s="226"/>
      <c r="S4" s="226" t="s">
        <v>187</v>
      </c>
      <c r="T4" s="226"/>
      <c r="U4" s="226" t="s">
        <v>199</v>
      </c>
      <c r="V4" s="226"/>
      <c r="W4" s="226" t="s">
        <v>200</v>
      </c>
      <c r="X4" s="226"/>
      <c r="Y4" s="226" t="s">
        <v>202</v>
      </c>
      <c r="Z4" s="226"/>
      <c r="AA4" s="188" t="s">
        <v>204</v>
      </c>
      <c r="AB4" s="241" t="s">
        <v>224</v>
      </c>
      <c r="AC4" s="241"/>
      <c r="AD4" s="240" t="s">
        <v>173</v>
      </c>
      <c r="AE4" s="240"/>
      <c r="AF4" s="240" t="s">
        <v>174</v>
      </c>
      <c r="AG4" s="240"/>
      <c r="AH4" s="240" t="s">
        <v>175</v>
      </c>
      <c r="AI4" s="240"/>
      <c r="AJ4" s="240" t="s">
        <v>188</v>
      </c>
      <c r="AK4" s="240"/>
      <c r="AL4" s="240" t="s">
        <v>189</v>
      </c>
      <c r="AM4" s="240"/>
      <c r="AN4" s="240" t="s">
        <v>190</v>
      </c>
      <c r="AO4" s="240"/>
      <c r="AP4" s="240" t="s">
        <v>206</v>
      </c>
      <c r="AQ4" s="240"/>
      <c r="AR4" s="240" t="s">
        <v>207</v>
      </c>
      <c r="AS4" s="240"/>
      <c r="AT4" s="240" t="s">
        <v>205</v>
      </c>
      <c r="AU4" s="240"/>
      <c r="AV4" s="240" t="s">
        <v>208</v>
      </c>
      <c r="AW4" s="240"/>
      <c r="AX4" s="240" t="s">
        <v>209</v>
      </c>
      <c r="AY4" s="240"/>
      <c r="AZ4" s="227" t="s">
        <v>139</v>
      </c>
      <c r="BA4" s="227" t="s">
        <v>140</v>
      </c>
      <c r="BB4" s="227" t="s">
        <v>143</v>
      </c>
      <c r="BC4" s="227" t="s">
        <v>152</v>
      </c>
      <c r="BD4" s="227" t="s">
        <v>161</v>
      </c>
      <c r="BE4" s="227" t="s">
        <v>172</v>
      </c>
      <c r="BF4" s="227" t="s">
        <v>197</v>
      </c>
      <c r="BG4" s="227" t="s">
        <v>220</v>
      </c>
      <c r="BH4" s="242"/>
    </row>
    <row r="5" spans="1:63" ht="33.75" customHeight="1" x14ac:dyDescent="0.2">
      <c r="A5" s="232" t="s">
        <v>2</v>
      </c>
      <c r="B5" s="233"/>
      <c r="C5" s="233"/>
      <c r="D5" s="234"/>
      <c r="E5" s="155" t="s">
        <v>0</v>
      </c>
      <c r="F5" s="155" t="s">
        <v>0</v>
      </c>
      <c r="G5" s="155" t="s">
        <v>0</v>
      </c>
      <c r="H5" s="155" t="s">
        <v>0</v>
      </c>
      <c r="I5" s="155" t="s">
        <v>0</v>
      </c>
      <c r="J5" s="155" t="s">
        <v>0</v>
      </c>
      <c r="K5" s="155" t="s">
        <v>0</v>
      </c>
      <c r="L5" s="155" t="s">
        <v>0</v>
      </c>
      <c r="M5" s="162" t="s">
        <v>0</v>
      </c>
      <c r="N5" s="162" t="s">
        <v>0</v>
      </c>
      <c r="O5" s="162" t="s">
        <v>0</v>
      </c>
      <c r="P5" s="162" t="s">
        <v>0</v>
      </c>
      <c r="Q5" s="162" t="s">
        <v>0</v>
      </c>
      <c r="R5" s="180" t="s">
        <v>0</v>
      </c>
      <c r="S5" s="162" t="s">
        <v>0</v>
      </c>
      <c r="T5" s="162" t="s">
        <v>0</v>
      </c>
      <c r="U5" s="170" t="s">
        <v>0</v>
      </c>
      <c r="V5" s="170" t="s">
        <v>0</v>
      </c>
      <c r="W5" s="170" t="s">
        <v>0</v>
      </c>
      <c r="X5" s="170" t="s">
        <v>0</v>
      </c>
      <c r="Y5" s="170" t="s">
        <v>0</v>
      </c>
      <c r="Z5" s="170" t="s">
        <v>0</v>
      </c>
      <c r="AA5" s="173" t="s">
        <v>0</v>
      </c>
      <c r="AB5" s="173" t="s">
        <v>0</v>
      </c>
      <c r="AC5" s="173" t="s">
        <v>0</v>
      </c>
      <c r="AD5" s="173" t="s">
        <v>0</v>
      </c>
      <c r="AE5" s="173" t="s">
        <v>0</v>
      </c>
      <c r="AF5" s="173" t="s">
        <v>0</v>
      </c>
      <c r="AG5" s="173" t="s">
        <v>0</v>
      </c>
      <c r="AH5" s="173" t="s">
        <v>0</v>
      </c>
      <c r="AI5" s="173" t="s">
        <v>0</v>
      </c>
      <c r="AJ5" s="181" t="s">
        <v>0</v>
      </c>
      <c r="AK5" s="181" t="s">
        <v>0</v>
      </c>
      <c r="AL5" s="181" t="s">
        <v>0</v>
      </c>
      <c r="AM5" s="181" t="s">
        <v>0</v>
      </c>
      <c r="AN5" s="181" t="s">
        <v>0</v>
      </c>
      <c r="AO5" s="181" t="s">
        <v>0</v>
      </c>
      <c r="AP5" s="186" t="s">
        <v>0</v>
      </c>
      <c r="AQ5" s="186" t="s">
        <v>0</v>
      </c>
      <c r="AR5" s="186" t="s">
        <v>0</v>
      </c>
      <c r="AS5" s="186" t="s">
        <v>0</v>
      </c>
      <c r="AT5" s="186" t="s">
        <v>0</v>
      </c>
      <c r="AU5" s="186" t="s">
        <v>0</v>
      </c>
      <c r="AV5" s="186" t="s">
        <v>0</v>
      </c>
      <c r="AW5" s="186" t="s">
        <v>0</v>
      </c>
      <c r="AX5" s="186" t="s">
        <v>0</v>
      </c>
      <c r="AY5" s="186" t="s">
        <v>0</v>
      </c>
      <c r="AZ5" s="228"/>
      <c r="BA5" s="228"/>
      <c r="BB5" s="228"/>
      <c r="BC5" s="228"/>
      <c r="BD5" s="228"/>
      <c r="BE5" s="228"/>
      <c r="BF5" s="228"/>
      <c r="BG5" s="228"/>
      <c r="BH5" s="242"/>
    </row>
    <row r="6" spans="1:63" ht="27.75" customHeight="1" x14ac:dyDescent="0.2">
      <c r="A6" s="232" t="s">
        <v>1</v>
      </c>
      <c r="B6" s="233"/>
      <c r="C6" s="233"/>
      <c r="D6" s="234"/>
      <c r="E6" s="166" t="s">
        <v>144</v>
      </c>
      <c r="F6" s="166" t="s">
        <v>145</v>
      </c>
      <c r="G6" s="166" t="s">
        <v>146</v>
      </c>
      <c r="H6" s="166" t="s">
        <v>147</v>
      </c>
      <c r="I6" s="166" t="s">
        <v>148</v>
      </c>
      <c r="J6" s="166" t="s">
        <v>149</v>
      </c>
      <c r="K6" s="166" t="s">
        <v>150</v>
      </c>
      <c r="L6" s="166" t="s">
        <v>151</v>
      </c>
      <c r="M6" s="166" t="s">
        <v>156</v>
      </c>
      <c r="N6" s="166" t="s">
        <v>157</v>
      </c>
      <c r="O6" s="166" t="s">
        <v>158</v>
      </c>
      <c r="P6" s="166" t="s">
        <v>159</v>
      </c>
      <c r="Q6" s="166" t="s">
        <v>160</v>
      </c>
      <c r="R6" s="166" t="s">
        <v>186</v>
      </c>
      <c r="S6" s="166" t="s">
        <v>154</v>
      </c>
      <c r="T6" s="166" t="s">
        <v>155</v>
      </c>
      <c r="U6" s="166" t="s">
        <v>164</v>
      </c>
      <c r="V6" s="166" t="s">
        <v>165</v>
      </c>
      <c r="W6" s="166" t="s">
        <v>166</v>
      </c>
      <c r="X6" s="166" t="s">
        <v>167</v>
      </c>
      <c r="Y6" s="166" t="s">
        <v>168</v>
      </c>
      <c r="Z6" s="166" t="s">
        <v>169</v>
      </c>
      <c r="AA6" s="166" t="s">
        <v>176</v>
      </c>
      <c r="AB6" s="166" t="s">
        <v>177</v>
      </c>
      <c r="AC6" s="166" t="s">
        <v>178</v>
      </c>
      <c r="AD6" s="166" t="s">
        <v>179</v>
      </c>
      <c r="AE6" s="166" t="s">
        <v>180</v>
      </c>
      <c r="AF6" s="166" t="s">
        <v>181</v>
      </c>
      <c r="AG6" s="166" t="s">
        <v>182</v>
      </c>
      <c r="AH6" s="166" t="s">
        <v>183</v>
      </c>
      <c r="AI6" s="166" t="s">
        <v>184</v>
      </c>
      <c r="AJ6" s="166" t="s">
        <v>191</v>
      </c>
      <c r="AK6" s="166" t="s">
        <v>192</v>
      </c>
      <c r="AL6" s="166" t="s">
        <v>193</v>
      </c>
      <c r="AM6" s="166" t="s">
        <v>194</v>
      </c>
      <c r="AN6" s="166" t="s">
        <v>195</v>
      </c>
      <c r="AO6" s="166" t="s">
        <v>196</v>
      </c>
      <c r="AP6" s="166" t="s">
        <v>210</v>
      </c>
      <c r="AQ6" s="166" t="s">
        <v>211</v>
      </c>
      <c r="AR6" s="166" t="s">
        <v>212</v>
      </c>
      <c r="AS6" s="166" t="s">
        <v>213</v>
      </c>
      <c r="AT6" s="166" t="s">
        <v>214</v>
      </c>
      <c r="AU6" s="166" t="s">
        <v>215</v>
      </c>
      <c r="AV6" s="166" t="s">
        <v>216</v>
      </c>
      <c r="AW6" s="166" t="s">
        <v>217</v>
      </c>
      <c r="AX6" s="166" t="s">
        <v>218</v>
      </c>
      <c r="AY6" s="166" t="s">
        <v>219</v>
      </c>
      <c r="AZ6" s="228"/>
      <c r="BA6" s="228"/>
      <c r="BB6" s="228"/>
      <c r="BC6" s="228"/>
      <c r="BD6" s="228"/>
      <c r="BE6" s="228"/>
      <c r="BF6" s="228"/>
      <c r="BG6" s="228"/>
      <c r="BH6" s="242"/>
    </row>
    <row r="7" spans="1:63" ht="27.75" customHeight="1" x14ac:dyDescent="0.2">
      <c r="A7" s="163"/>
      <c r="B7" s="164"/>
      <c r="C7" s="164"/>
      <c r="D7" s="165"/>
      <c r="E7" s="171" t="s">
        <v>170</v>
      </c>
      <c r="F7" s="167"/>
      <c r="G7" s="167"/>
      <c r="H7" s="171" t="s">
        <v>171</v>
      </c>
      <c r="I7" s="167"/>
      <c r="J7" s="167"/>
      <c r="K7" s="167"/>
      <c r="L7" s="167"/>
      <c r="M7" s="167"/>
      <c r="N7" s="167"/>
      <c r="O7" s="167"/>
      <c r="P7" s="171" t="s">
        <v>198</v>
      </c>
      <c r="Q7" s="167"/>
      <c r="R7" s="167"/>
      <c r="S7" s="167"/>
      <c r="T7" s="184" t="s">
        <v>201</v>
      </c>
      <c r="U7" s="184" t="s">
        <v>203</v>
      </c>
      <c r="V7" s="167"/>
      <c r="W7" s="167"/>
      <c r="X7" s="171" t="s">
        <v>222</v>
      </c>
      <c r="Y7" s="171" t="s">
        <v>223</v>
      </c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228"/>
      <c r="BA7" s="228"/>
      <c r="BB7" s="228"/>
      <c r="BC7" s="228"/>
      <c r="BD7" s="228"/>
      <c r="BE7" s="228"/>
      <c r="BF7" s="228"/>
      <c r="BG7" s="228"/>
      <c r="BH7" s="242"/>
    </row>
    <row r="8" spans="1:63" ht="27.75" customHeight="1" x14ac:dyDescent="0.2">
      <c r="A8" s="189"/>
      <c r="B8" s="190"/>
      <c r="C8" s="190"/>
      <c r="D8" s="191"/>
      <c r="E8" s="192"/>
      <c r="F8" s="193"/>
      <c r="G8" s="193"/>
      <c r="H8" s="192"/>
      <c r="I8" s="193"/>
      <c r="J8" s="193"/>
      <c r="K8" s="193"/>
      <c r="L8" s="193"/>
      <c r="M8" s="193"/>
      <c r="N8" s="193"/>
      <c r="O8" s="193"/>
      <c r="P8" s="192"/>
      <c r="Q8" s="193"/>
      <c r="R8" s="193"/>
      <c r="S8" s="193"/>
      <c r="T8" s="194"/>
      <c r="U8" s="194"/>
      <c r="V8" s="193"/>
      <c r="W8" s="193"/>
      <c r="X8" s="195"/>
      <c r="Y8" s="196" t="s">
        <v>225</v>
      </c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3"/>
      <c r="AU8" s="193"/>
      <c r="AV8" s="193"/>
      <c r="AW8" s="193"/>
      <c r="AX8" s="193"/>
      <c r="AY8" s="193"/>
      <c r="AZ8" s="228"/>
      <c r="BA8" s="228"/>
      <c r="BB8" s="228"/>
      <c r="BC8" s="228"/>
      <c r="BD8" s="228"/>
      <c r="BE8" s="228"/>
      <c r="BF8" s="228"/>
      <c r="BG8" s="228"/>
      <c r="BH8" s="242"/>
    </row>
    <row r="9" spans="1:63" ht="27.75" customHeight="1" x14ac:dyDescent="0.2">
      <c r="A9" s="232" t="s">
        <v>40</v>
      </c>
      <c r="B9" s="233"/>
      <c r="C9" s="233"/>
      <c r="D9" s="234"/>
      <c r="E9" s="115">
        <v>46028</v>
      </c>
      <c r="F9" s="115">
        <v>46029</v>
      </c>
      <c r="G9" s="115">
        <v>46035</v>
      </c>
      <c r="H9" s="115">
        <v>46036</v>
      </c>
      <c r="I9" s="115">
        <v>46042</v>
      </c>
      <c r="J9" s="115">
        <v>46043</v>
      </c>
      <c r="K9" s="115">
        <v>46049</v>
      </c>
      <c r="L9" s="115">
        <v>46050</v>
      </c>
      <c r="M9" s="115">
        <v>46056</v>
      </c>
      <c r="N9" s="115">
        <v>46057</v>
      </c>
      <c r="O9" s="115">
        <v>46063</v>
      </c>
      <c r="P9" s="115">
        <v>46064</v>
      </c>
      <c r="Q9" s="115">
        <v>46071</v>
      </c>
      <c r="R9" s="115">
        <v>46072</v>
      </c>
      <c r="S9" s="115">
        <v>46077</v>
      </c>
      <c r="T9" s="115">
        <v>46078</v>
      </c>
      <c r="U9" s="115">
        <v>46084</v>
      </c>
      <c r="V9" s="115">
        <v>46085</v>
      </c>
      <c r="W9" s="115">
        <v>46091</v>
      </c>
      <c r="X9" s="115">
        <v>46092</v>
      </c>
      <c r="Y9" s="115">
        <v>46098</v>
      </c>
      <c r="Z9" s="115">
        <v>46099</v>
      </c>
      <c r="AA9" s="115">
        <v>46113</v>
      </c>
      <c r="AB9" s="115">
        <v>46119</v>
      </c>
      <c r="AC9" s="115">
        <v>46120</v>
      </c>
      <c r="AD9" s="115">
        <v>46126</v>
      </c>
      <c r="AE9" s="115">
        <v>46127</v>
      </c>
      <c r="AF9" s="115">
        <v>46133</v>
      </c>
      <c r="AG9" s="115">
        <v>46134</v>
      </c>
      <c r="AH9" s="115">
        <v>46140</v>
      </c>
      <c r="AI9" s="115">
        <v>46141</v>
      </c>
      <c r="AJ9" s="115">
        <v>46147</v>
      </c>
      <c r="AK9" s="115">
        <v>46148</v>
      </c>
      <c r="AL9" s="115">
        <v>46154</v>
      </c>
      <c r="AM9" s="115">
        <v>46155</v>
      </c>
      <c r="AN9" s="115">
        <v>46161</v>
      </c>
      <c r="AO9" s="115">
        <v>46162</v>
      </c>
      <c r="AP9" s="115">
        <v>46175</v>
      </c>
      <c r="AQ9" s="115">
        <f>+AP9+1</f>
        <v>46176</v>
      </c>
      <c r="AR9" s="115">
        <f>+AP9+7</f>
        <v>46182</v>
      </c>
      <c r="AS9" s="115">
        <f>+AR9+1</f>
        <v>46183</v>
      </c>
      <c r="AT9" s="115">
        <f>+AR9+8</f>
        <v>46190</v>
      </c>
      <c r="AU9" s="115">
        <f>+AS9+8</f>
        <v>46191</v>
      </c>
      <c r="AV9" s="115">
        <f t="shared" ref="AV9:AY10" si="23">+AT9+6</f>
        <v>46196</v>
      </c>
      <c r="AW9" s="115">
        <f t="shared" si="23"/>
        <v>46197</v>
      </c>
      <c r="AX9" s="115">
        <f t="shared" si="23"/>
        <v>46202</v>
      </c>
      <c r="AY9" s="115">
        <f t="shared" si="23"/>
        <v>46203</v>
      </c>
      <c r="AZ9" s="229"/>
      <c r="BA9" s="229"/>
      <c r="BB9" s="229"/>
      <c r="BC9" s="229"/>
      <c r="BD9" s="229"/>
      <c r="BE9" s="229"/>
      <c r="BF9" s="229"/>
      <c r="BG9" s="229"/>
      <c r="BH9" s="242"/>
    </row>
    <row r="10" spans="1:63" ht="27.75" customHeight="1" x14ac:dyDescent="0.2">
      <c r="A10" s="235" t="s">
        <v>41</v>
      </c>
      <c r="B10" s="236"/>
      <c r="C10" s="236"/>
      <c r="D10" s="237"/>
      <c r="E10" s="115">
        <v>46028</v>
      </c>
      <c r="F10" s="115">
        <v>46029</v>
      </c>
      <c r="G10" s="115">
        <v>46035</v>
      </c>
      <c r="H10" s="115">
        <v>46036</v>
      </c>
      <c r="I10" s="115">
        <v>46042</v>
      </c>
      <c r="J10" s="115">
        <v>46043</v>
      </c>
      <c r="K10" s="115">
        <v>46049</v>
      </c>
      <c r="L10" s="115">
        <v>46050</v>
      </c>
      <c r="M10" s="115">
        <v>46056</v>
      </c>
      <c r="N10" s="115">
        <v>46057</v>
      </c>
      <c r="O10" s="115">
        <v>46063</v>
      </c>
      <c r="P10" s="115">
        <v>46064</v>
      </c>
      <c r="Q10" s="115">
        <v>46071</v>
      </c>
      <c r="R10" s="115">
        <v>46072</v>
      </c>
      <c r="S10" s="115">
        <v>46077</v>
      </c>
      <c r="T10" s="115">
        <v>46078</v>
      </c>
      <c r="U10" s="115">
        <v>46084</v>
      </c>
      <c r="V10" s="115">
        <v>46085</v>
      </c>
      <c r="W10" s="115">
        <v>46091</v>
      </c>
      <c r="X10" s="115">
        <v>46092</v>
      </c>
      <c r="Y10" s="115">
        <v>46098</v>
      </c>
      <c r="Z10" s="115">
        <v>46099</v>
      </c>
      <c r="AA10" s="115">
        <v>46113</v>
      </c>
      <c r="AB10" s="115">
        <v>46119</v>
      </c>
      <c r="AC10" s="115">
        <v>46120</v>
      </c>
      <c r="AD10" s="115">
        <v>46126</v>
      </c>
      <c r="AE10" s="115">
        <v>46127</v>
      </c>
      <c r="AF10" s="115">
        <v>46133</v>
      </c>
      <c r="AG10" s="115">
        <v>46134</v>
      </c>
      <c r="AH10" s="115">
        <v>46140</v>
      </c>
      <c r="AI10" s="115">
        <v>46141</v>
      </c>
      <c r="AJ10" s="115">
        <v>46147</v>
      </c>
      <c r="AK10" s="115">
        <v>46148</v>
      </c>
      <c r="AL10" s="115">
        <v>46154</v>
      </c>
      <c r="AM10" s="115">
        <v>46155</v>
      </c>
      <c r="AN10" s="115">
        <v>46161</v>
      </c>
      <c r="AO10" s="115">
        <v>46162</v>
      </c>
      <c r="AP10" s="115">
        <v>46175</v>
      </c>
      <c r="AQ10" s="115">
        <f>+AP10+1</f>
        <v>46176</v>
      </c>
      <c r="AR10" s="115">
        <f>+AP10+7</f>
        <v>46182</v>
      </c>
      <c r="AS10" s="115">
        <f>+AR10+1</f>
        <v>46183</v>
      </c>
      <c r="AT10" s="115">
        <f>+AR10+8</f>
        <v>46190</v>
      </c>
      <c r="AU10" s="115">
        <f>+AS10+8</f>
        <v>46191</v>
      </c>
      <c r="AV10" s="115">
        <f t="shared" si="23"/>
        <v>46196</v>
      </c>
      <c r="AW10" s="115">
        <f t="shared" si="23"/>
        <v>46197</v>
      </c>
      <c r="AX10" s="115">
        <f t="shared" si="23"/>
        <v>46202</v>
      </c>
      <c r="AY10" s="115">
        <f t="shared" si="23"/>
        <v>46203</v>
      </c>
      <c r="AZ10" s="238" t="s">
        <v>5</v>
      </c>
      <c r="BA10" s="238" t="s">
        <v>5</v>
      </c>
      <c r="BB10" s="238" t="s">
        <v>5</v>
      </c>
      <c r="BC10" s="238" t="s">
        <v>5</v>
      </c>
      <c r="BD10" s="238" t="s">
        <v>5</v>
      </c>
      <c r="BE10" s="238" t="s">
        <v>5</v>
      </c>
      <c r="BF10" s="238" t="s">
        <v>5</v>
      </c>
      <c r="BG10" s="238" t="s">
        <v>5</v>
      </c>
      <c r="BH10" s="242"/>
    </row>
    <row r="11" spans="1:63" ht="23.25" customHeight="1" thickBot="1" x14ac:dyDescent="0.25">
      <c r="A11" s="2" t="s">
        <v>3</v>
      </c>
      <c r="B11" s="3" t="s">
        <v>4</v>
      </c>
      <c r="C11" s="4" t="s">
        <v>9</v>
      </c>
      <c r="D11" s="122" t="s">
        <v>49</v>
      </c>
      <c r="E11" s="4" t="s">
        <v>5</v>
      </c>
      <c r="F11" s="4" t="s">
        <v>5</v>
      </c>
      <c r="G11" s="4" t="s">
        <v>5</v>
      </c>
      <c r="H11" s="4" t="s">
        <v>5</v>
      </c>
      <c r="I11" s="4" t="s">
        <v>5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5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 t="s">
        <v>5</v>
      </c>
      <c r="Y11" s="4" t="s">
        <v>5</v>
      </c>
      <c r="Z11" s="4" t="s">
        <v>5</v>
      </c>
      <c r="AA11" s="4" t="s">
        <v>5</v>
      </c>
      <c r="AB11" s="4" t="s">
        <v>5</v>
      </c>
      <c r="AC11" s="4" t="s">
        <v>5</v>
      </c>
      <c r="AD11" s="4" t="s">
        <v>5</v>
      </c>
      <c r="AE11" s="4" t="s">
        <v>5</v>
      </c>
      <c r="AF11" s="4" t="s">
        <v>5</v>
      </c>
      <c r="AG11" s="4" t="s">
        <v>5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5</v>
      </c>
      <c r="AO11" s="4" t="s">
        <v>5</v>
      </c>
      <c r="AP11" s="4" t="s">
        <v>5</v>
      </c>
      <c r="AQ11" s="4" t="s">
        <v>5</v>
      </c>
      <c r="AR11" s="4" t="s">
        <v>5</v>
      </c>
      <c r="AS11" s="4" t="s">
        <v>5</v>
      </c>
      <c r="AT11" s="4" t="s">
        <v>5</v>
      </c>
      <c r="AU11" s="4" t="s">
        <v>5</v>
      </c>
      <c r="AV11" s="4" t="s">
        <v>5</v>
      </c>
      <c r="AW11" s="4" t="s">
        <v>5</v>
      </c>
      <c r="AX11" s="4" t="s">
        <v>5</v>
      </c>
      <c r="AY11" s="4" t="s">
        <v>5</v>
      </c>
      <c r="AZ11" s="239"/>
      <c r="BA11" s="239"/>
      <c r="BB11" s="239"/>
      <c r="BC11" s="239"/>
      <c r="BD11" s="239"/>
      <c r="BE11" s="239"/>
      <c r="BF11" s="239"/>
      <c r="BG11" s="239"/>
      <c r="BH11" s="242"/>
      <c r="BI11" s="151"/>
      <c r="BJ11" s="151"/>
      <c r="BK11" s="151"/>
    </row>
    <row r="12" spans="1:63" ht="3.75" customHeight="1" x14ac:dyDescent="0.2">
      <c r="A12" s="5"/>
      <c r="B12" s="6"/>
      <c r="C12" s="6"/>
      <c r="D12" s="6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7"/>
      <c r="BA12" s="7"/>
      <c r="BB12" s="7"/>
      <c r="BC12" s="7"/>
      <c r="BD12" s="7"/>
      <c r="BE12" s="7"/>
      <c r="BF12" s="7"/>
      <c r="BG12" s="7"/>
      <c r="BH12" s="7"/>
    </row>
    <row r="13" spans="1:63" ht="35.25" customHeight="1" x14ac:dyDescent="0.2">
      <c r="A13" s="16">
        <v>1</v>
      </c>
      <c r="B13" s="145" t="s">
        <v>53</v>
      </c>
      <c r="C13" s="17" t="s">
        <v>53</v>
      </c>
      <c r="D13" s="17"/>
      <c r="E13" s="124">
        <v>0</v>
      </c>
      <c r="F13" s="124">
        <v>0</v>
      </c>
      <c r="G13" s="124">
        <v>0</v>
      </c>
      <c r="H13" s="124">
        <v>0</v>
      </c>
      <c r="I13" s="124">
        <v>0</v>
      </c>
      <c r="J13" s="124">
        <v>0</v>
      </c>
      <c r="K13" s="124">
        <v>0</v>
      </c>
      <c r="L13" s="124">
        <v>0</v>
      </c>
      <c r="M13" s="124">
        <v>0</v>
      </c>
      <c r="N13" s="124">
        <v>0</v>
      </c>
      <c r="O13" s="124">
        <v>0</v>
      </c>
      <c r="P13" s="124">
        <v>0</v>
      </c>
      <c r="Q13" s="124">
        <v>0</v>
      </c>
      <c r="R13" s="124">
        <v>0</v>
      </c>
      <c r="S13" s="124">
        <v>0</v>
      </c>
      <c r="T13" s="124">
        <v>0</v>
      </c>
      <c r="U13" s="124">
        <v>0</v>
      </c>
      <c r="V13" s="124">
        <v>0</v>
      </c>
      <c r="W13" s="124">
        <v>0</v>
      </c>
      <c r="X13" s="124">
        <v>0</v>
      </c>
      <c r="Y13" s="124">
        <v>0</v>
      </c>
      <c r="Z13" s="124">
        <v>0</v>
      </c>
      <c r="AA13" s="124">
        <v>0</v>
      </c>
      <c r="AB13" s="124">
        <v>0</v>
      </c>
      <c r="AC13" s="124">
        <v>0</v>
      </c>
      <c r="AD13" s="124">
        <v>0</v>
      </c>
      <c r="AE13" s="124">
        <v>0</v>
      </c>
      <c r="AF13" s="124">
        <v>0</v>
      </c>
      <c r="AG13" s="124">
        <v>0</v>
      </c>
      <c r="AH13" s="124">
        <v>0</v>
      </c>
      <c r="AI13" s="124">
        <v>0</v>
      </c>
      <c r="AJ13" s="124">
        <v>0</v>
      </c>
      <c r="AK13" s="124">
        <v>0</v>
      </c>
      <c r="AL13" s="124">
        <v>0</v>
      </c>
      <c r="AM13" s="124">
        <v>0</v>
      </c>
      <c r="AN13" s="124">
        <v>0</v>
      </c>
      <c r="AO13" s="124">
        <v>0</v>
      </c>
      <c r="AP13" s="124">
        <v>0</v>
      </c>
      <c r="AQ13" s="124">
        <v>0</v>
      </c>
      <c r="AR13" s="124">
        <v>0</v>
      </c>
      <c r="AS13" s="124">
        <v>0</v>
      </c>
      <c r="AT13" s="124">
        <v>0</v>
      </c>
      <c r="AU13" s="124">
        <v>0</v>
      </c>
      <c r="AV13" s="124">
        <v>0</v>
      </c>
      <c r="AW13" s="124">
        <v>0</v>
      </c>
      <c r="AX13" s="124">
        <v>0</v>
      </c>
      <c r="AY13" s="124">
        <v>0</v>
      </c>
      <c r="AZ13" s="124">
        <v>0</v>
      </c>
      <c r="BA13" s="124">
        <f>+SUM(M13:T13)</f>
        <v>0</v>
      </c>
      <c r="BB13" s="124">
        <v>0</v>
      </c>
      <c r="BC13" s="124">
        <f>SUM(AA13:AI13)</f>
        <v>0</v>
      </c>
      <c r="BD13" s="124">
        <f>SUM(AJ13:AO13)</f>
        <v>0</v>
      </c>
      <c r="BE13" s="124">
        <f>SUM(AP13:AY13)</f>
        <v>0</v>
      </c>
      <c r="BF13" s="124">
        <v>0</v>
      </c>
      <c r="BG13" s="124">
        <v>0</v>
      </c>
      <c r="BH13" s="148" t="s">
        <v>133</v>
      </c>
    </row>
    <row r="14" spans="1:63" ht="35.25" customHeight="1" x14ac:dyDescent="0.2">
      <c r="A14" s="119"/>
      <c r="B14" s="120"/>
      <c r="C14" s="120" t="s">
        <v>48</v>
      </c>
      <c r="D14" s="133">
        <f>E14</f>
        <v>610</v>
      </c>
      <c r="E14" s="123">
        <v>610</v>
      </c>
      <c r="F14" s="123">
        <f>+E14+F13</f>
        <v>610</v>
      </c>
      <c r="G14" s="123">
        <f>+F14+G13</f>
        <v>610</v>
      </c>
      <c r="H14" s="123">
        <f>+G14+H13</f>
        <v>610</v>
      </c>
      <c r="I14" s="123">
        <f>+H14+I13</f>
        <v>610</v>
      </c>
      <c r="J14" s="123">
        <f>+I14+J13</f>
        <v>610</v>
      </c>
      <c r="K14" s="123">
        <f t="shared" ref="K14:R14" si="24">+J14+K13</f>
        <v>610</v>
      </c>
      <c r="L14" s="123">
        <f t="shared" si="24"/>
        <v>610</v>
      </c>
      <c r="M14" s="123">
        <f t="shared" si="24"/>
        <v>610</v>
      </c>
      <c r="N14" s="123">
        <f t="shared" si="24"/>
        <v>610</v>
      </c>
      <c r="O14" s="123">
        <f t="shared" si="24"/>
        <v>610</v>
      </c>
      <c r="P14" s="123">
        <f t="shared" si="24"/>
        <v>610</v>
      </c>
      <c r="Q14" s="123">
        <f t="shared" si="24"/>
        <v>610</v>
      </c>
      <c r="R14" s="123">
        <f t="shared" si="24"/>
        <v>610</v>
      </c>
      <c r="S14" s="123">
        <f t="shared" ref="S14:X14" si="25">+R14+S13</f>
        <v>610</v>
      </c>
      <c r="T14" s="123">
        <f t="shared" si="25"/>
        <v>610</v>
      </c>
      <c r="U14" s="123">
        <f t="shared" si="25"/>
        <v>610</v>
      </c>
      <c r="V14" s="123">
        <f t="shared" si="25"/>
        <v>610</v>
      </c>
      <c r="W14" s="123">
        <f t="shared" si="25"/>
        <v>610</v>
      </c>
      <c r="X14" s="123">
        <f t="shared" si="25"/>
        <v>610</v>
      </c>
      <c r="Y14" s="123">
        <f t="shared" ref="Y14" si="26">+X14+Y13</f>
        <v>610</v>
      </c>
      <c r="Z14" s="123">
        <f t="shared" ref="Z14:AA14" si="27">+Y14+Z13</f>
        <v>610</v>
      </c>
      <c r="AA14" s="123">
        <f t="shared" si="27"/>
        <v>610</v>
      </c>
      <c r="AB14" s="123">
        <f>+AA14+AB13</f>
        <v>610</v>
      </c>
      <c r="AC14" s="123">
        <f>+AB14+AC13</f>
        <v>610</v>
      </c>
      <c r="AD14" s="123">
        <f>+AC14+AD13</f>
        <v>610</v>
      </c>
      <c r="AE14" s="123">
        <f>+AD14+AE13</f>
        <v>610</v>
      </c>
      <c r="AF14" s="123">
        <f t="shared" ref="AF14:AI14" si="28">+AE14+AF13</f>
        <v>610</v>
      </c>
      <c r="AG14" s="123">
        <f t="shared" si="28"/>
        <v>610</v>
      </c>
      <c r="AH14" s="123">
        <f t="shared" si="28"/>
        <v>610</v>
      </c>
      <c r="AI14" s="123">
        <f t="shared" si="28"/>
        <v>610</v>
      </c>
      <c r="AJ14" s="123">
        <f t="shared" ref="AJ14" si="29">+AI14+AJ13</f>
        <v>610</v>
      </c>
      <c r="AK14" s="123">
        <f t="shared" ref="AK14" si="30">+AJ14+AK13</f>
        <v>610</v>
      </c>
      <c r="AL14" s="123">
        <f t="shared" ref="AL14" si="31">+AK14+AL13</f>
        <v>610</v>
      </c>
      <c r="AM14" s="123">
        <f t="shared" ref="AM14" si="32">+AL14+AM13</f>
        <v>610</v>
      </c>
      <c r="AN14" s="123">
        <f t="shared" ref="AN14" si="33">+AM14+AN13</f>
        <v>610</v>
      </c>
      <c r="AO14" s="123">
        <f t="shared" ref="AO14" si="34">+AN14+AO13</f>
        <v>610</v>
      </c>
      <c r="AP14" s="123">
        <f t="shared" ref="AP14" si="35">+AG14+AP13</f>
        <v>610</v>
      </c>
      <c r="AQ14" s="123">
        <f t="shared" ref="AQ14" si="36">+AP14+AQ13</f>
        <v>610</v>
      </c>
      <c r="AR14" s="123">
        <f t="shared" ref="AR14" si="37">+AI14+AR13</f>
        <v>610</v>
      </c>
      <c r="AS14" s="123">
        <f t="shared" ref="AS14" si="38">+AR14+AS13</f>
        <v>610</v>
      </c>
      <c r="AT14" s="123">
        <f t="shared" ref="AT14" si="39">+AK14+AT13</f>
        <v>610</v>
      </c>
      <c r="AU14" s="123">
        <f t="shared" ref="AU14" si="40">+AT14+AU13</f>
        <v>610</v>
      </c>
      <c r="AV14" s="123">
        <f t="shared" ref="AV14" si="41">+AM14+AV13</f>
        <v>610</v>
      </c>
      <c r="AW14" s="123">
        <f t="shared" ref="AW14" si="42">+AV14+AW13</f>
        <v>610</v>
      </c>
      <c r="AX14" s="123">
        <f t="shared" ref="AX14" si="43">+AO14+AX13</f>
        <v>610</v>
      </c>
      <c r="AY14" s="123">
        <f t="shared" ref="AY14" si="44">+AX14+AY13</f>
        <v>610</v>
      </c>
      <c r="AZ14" s="123">
        <v>610</v>
      </c>
      <c r="BA14" s="123">
        <f t="shared" ref="BA14:BE14" si="45">+AZ14+BA13</f>
        <v>610</v>
      </c>
      <c r="BB14" s="123">
        <f t="shared" si="45"/>
        <v>610</v>
      </c>
      <c r="BC14" s="123">
        <f t="shared" si="45"/>
        <v>610</v>
      </c>
      <c r="BD14" s="123">
        <f t="shared" si="45"/>
        <v>610</v>
      </c>
      <c r="BE14" s="123">
        <f t="shared" si="45"/>
        <v>610</v>
      </c>
      <c r="BF14" s="123">
        <f>+BE14+BF13</f>
        <v>610</v>
      </c>
      <c r="BG14" s="123">
        <f>+BF14+BG13</f>
        <v>610</v>
      </c>
      <c r="BH14" s="121"/>
      <c r="BI14" s="118"/>
      <c r="BK14" s="118"/>
    </row>
    <row r="15" spans="1:63" ht="35.25" customHeight="1" x14ac:dyDescent="0.2">
      <c r="A15" s="16">
        <f>+A13+1</f>
        <v>2</v>
      </c>
      <c r="B15" s="149" t="s">
        <v>54</v>
      </c>
      <c r="C15" s="17" t="s">
        <v>54</v>
      </c>
      <c r="D15" s="17"/>
      <c r="E15" s="124">
        <v>0</v>
      </c>
      <c r="F15" s="124">
        <v>0</v>
      </c>
      <c r="G15" s="124">
        <v>0</v>
      </c>
      <c r="H15" s="124">
        <v>0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>
        <v>0</v>
      </c>
      <c r="S15" s="124">
        <v>0</v>
      </c>
      <c r="T15" s="124">
        <v>0</v>
      </c>
      <c r="U15" s="124">
        <v>0</v>
      </c>
      <c r="V15" s="124">
        <v>0</v>
      </c>
      <c r="W15" s="124">
        <v>0</v>
      </c>
      <c r="X15" s="124">
        <v>0</v>
      </c>
      <c r="Y15" s="124">
        <v>0</v>
      </c>
      <c r="Z15" s="124">
        <v>0</v>
      </c>
      <c r="AA15" s="124">
        <v>0</v>
      </c>
      <c r="AB15" s="124">
        <v>0</v>
      </c>
      <c r="AC15" s="124">
        <v>0</v>
      </c>
      <c r="AD15" s="124">
        <v>0</v>
      </c>
      <c r="AE15" s="124">
        <v>0</v>
      </c>
      <c r="AF15" s="124">
        <v>0</v>
      </c>
      <c r="AG15" s="124">
        <v>0</v>
      </c>
      <c r="AH15" s="124">
        <v>0</v>
      </c>
      <c r="AI15" s="124">
        <v>0</v>
      </c>
      <c r="AJ15" s="124">
        <v>0</v>
      </c>
      <c r="AK15" s="124">
        <v>0</v>
      </c>
      <c r="AL15" s="124">
        <v>0</v>
      </c>
      <c r="AM15" s="124">
        <v>0</v>
      </c>
      <c r="AN15" s="124">
        <v>0</v>
      </c>
      <c r="AO15" s="124">
        <v>0</v>
      </c>
      <c r="AP15" s="124">
        <v>0</v>
      </c>
      <c r="AQ15" s="124">
        <v>0</v>
      </c>
      <c r="AR15" s="124">
        <v>0</v>
      </c>
      <c r="AS15" s="124">
        <v>0</v>
      </c>
      <c r="AT15" s="124">
        <v>0</v>
      </c>
      <c r="AU15" s="124">
        <v>0</v>
      </c>
      <c r="AV15" s="124">
        <v>0</v>
      </c>
      <c r="AW15" s="124">
        <v>0</v>
      </c>
      <c r="AX15" s="124">
        <v>0</v>
      </c>
      <c r="AY15" s="124">
        <v>0</v>
      </c>
      <c r="AZ15" s="124">
        <v>0</v>
      </c>
      <c r="BA15" s="124">
        <f>+SUM(M15:T15)</f>
        <v>0</v>
      </c>
      <c r="BB15" s="124">
        <f>SUM(U15:Z15)</f>
        <v>0</v>
      </c>
      <c r="BC15" s="124">
        <f>SUM(AA15:AI15)</f>
        <v>0</v>
      </c>
      <c r="BD15" s="124">
        <f>SUM(AJ15:AO15)</f>
        <v>0</v>
      </c>
      <c r="BE15" s="124">
        <f>SUM(AP15:AY15)</f>
        <v>0</v>
      </c>
      <c r="BF15" s="124">
        <v>0</v>
      </c>
      <c r="BG15" s="124">
        <v>0</v>
      </c>
      <c r="BH15" s="148" t="s">
        <v>133</v>
      </c>
    </row>
    <row r="16" spans="1:63" ht="35.25" customHeight="1" x14ac:dyDescent="0.2">
      <c r="A16" s="119"/>
      <c r="B16" s="120"/>
      <c r="C16" s="120" t="s">
        <v>48</v>
      </c>
      <c r="D16" s="133">
        <f>E16</f>
        <v>510</v>
      </c>
      <c r="E16" s="123">
        <v>510</v>
      </c>
      <c r="F16" s="123">
        <f>+E16+F15</f>
        <v>510</v>
      </c>
      <c r="G16" s="123">
        <f>+F16+G15</f>
        <v>510</v>
      </c>
      <c r="H16" s="123">
        <f>+G16+H15</f>
        <v>510</v>
      </c>
      <c r="I16" s="123">
        <f>+H16+I15</f>
        <v>510</v>
      </c>
      <c r="J16" s="123">
        <f>+I16+J15</f>
        <v>510</v>
      </c>
      <c r="K16" s="123">
        <f t="shared" ref="K16" si="46">+J16+K15</f>
        <v>510</v>
      </c>
      <c r="L16" s="123">
        <f t="shared" ref="L16" si="47">+K16+L15</f>
        <v>510</v>
      </c>
      <c r="M16" s="123">
        <f t="shared" ref="M16" si="48">+L16+M15</f>
        <v>510</v>
      </c>
      <c r="N16" s="123">
        <f t="shared" ref="N16" si="49">+M16+N15</f>
        <v>510</v>
      </c>
      <c r="O16" s="123">
        <f t="shared" ref="O16" si="50">+N16+O15</f>
        <v>510</v>
      </c>
      <c r="P16" s="123">
        <f t="shared" ref="P16" si="51">+O16+P15</f>
        <v>510</v>
      </c>
      <c r="Q16" s="123">
        <f t="shared" ref="Q16" si="52">+P16+Q15</f>
        <v>510</v>
      </c>
      <c r="R16" s="123">
        <f t="shared" ref="R16" si="53">+Q16+R15</f>
        <v>510</v>
      </c>
      <c r="S16" s="123">
        <f>+R16+S15</f>
        <v>510</v>
      </c>
      <c r="T16" s="123">
        <f>+S16+T15</f>
        <v>510</v>
      </c>
      <c r="U16" s="123">
        <f t="shared" ref="U16" si="54">+T16+U15</f>
        <v>510</v>
      </c>
      <c r="V16" s="123">
        <f t="shared" ref="V16" si="55">+U16+V15</f>
        <v>510</v>
      </c>
      <c r="W16" s="123">
        <f t="shared" ref="W16" si="56">+V16+W15</f>
        <v>510</v>
      </c>
      <c r="X16" s="123">
        <f t="shared" ref="X16" si="57">+W16+X15</f>
        <v>510</v>
      </c>
      <c r="Y16" s="123">
        <f t="shared" ref="Y16" si="58">+X16+Y15</f>
        <v>510</v>
      </c>
      <c r="Z16" s="123">
        <f t="shared" ref="Z16" si="59">+Y16+Z15</f>
        <v>510</v>
      </c>
      <c r="AA16" s="123">
        <f t="shared" ref="AA16" si="60">+Z16+AA15</f>
        <v>510</v>
      </c>
      <c r="AB16" s="123">
        <f>+AA16+AB15</f>
        <v>510</v>
      </c>
      <c r="AC16" s="123">
        <f>+AB16+AC15</f>
        <v>510</v>
      </c>
      <c r="AD16" s="123">
        <f>+AC16+AD15</f>
        <v>510</v>
      </c>
      <c r="AE16" s="123">
        <f>+AD16+AE15</f>
        <v>510</v>
      </c>
      <c r="AF16" s="123">
        <f t="shared" ref="AF16" si="61">+AE16+AF15</f>
        <v>510</v>
      </c>
      <c r="AG16" s="123">
        <f t="shared" ref="AG16" si="62">+AF16+AG15</f>
        <v>510</v>
      </c>
      <c r="AH16" s="123">
        <f t="shared" ref="AH16" si="63">+AG16+AH15</f>
        <v>510</v>
      </c>
      <c r="AI16" s="123">
        <f t="shared" ref="AI16" si="64">+AH16+AI15</f>
        <v>510</v>
      </c>
      <c r="AJ16" s="123">
        <f t="shared" ref="AJ16" si="65">+AI16+AJ15</f>
        <v>510</v>
      </c>
      <c r="AK16" s="123">
        <f t="shared" ref="AK16" si="66">+AJ16+AK15</f>
        <v>510</v>
      </c>
      <c r="AL16" s="123">
        <f t="shared" ref="AL16" si="67">+AK16+AL15</f>
        <v>510</v>
      </c>
      <c r="AM16" s="123">
        <f t="shared" ref="AM16" si="68">+AL16+AM15</f>
        <v>510</v>
      </c>
      <c r="AN16" s="123">
        <f t="shared" ref="AN16" si="69">+AM16+AN15</f>
        <v>510</v>
      </c>
      <c r="AO16" s="123">
        <f t="shared" ref="AO16" si="70">+AN16+AO15</f>
        <v>510</v>
      </c>
      <c r="AP16" s="123">
        <f t="shared" ref="AP16" si="71">+AG16+AP15</f>
        <v>510</v>
      </c>
      <c r="AQ16" s="123">
        <f t="shared" ref="AQ16" si="72">+AP16+AQ15</f>
        <v>510</v>
      </c>
      <c r="AR16" s="123">
        <f t="shared" ref="AR16" si="73">+AI16+AR15</f>
        <v>510</v>
      </c>
      <c r="AS16" s="123">
        <f t="shared" ref="AS16" si="74">+AR16+AS15</f>
        <v>510</v>
      </c>
      <c r="AT16" s="123">
        <f t="shared" ref="AT16" si="75">+AK16+AT15</f>
        <v>510</v>
      </c>
      <c r="AU16" s="123">
        <f t="shared" ref="AU16" si="76">+AT16+AU15</f>
        <v>510</v>
      </c>
      <c r="AV16" s="123">
        <f t="shared" ref="AV16" si="77">+AM16+AV15</f>
        <v>510</v>
      </c>
      <c r="AW16" s="123">
        <f t="shared" ref="AW16" si="78">+AV16+AW15</f>
        <v>510</v>
      </c>
      <c r="AX16" s="123">
        <f t="shared" ref="AX16" si="79">+AO16+AX15</f>
        <v>510</v>
      </c>
      <c r="AY16" s="123">
        <f t="shared" ref="AY16" si="80">+AX16+AY15</f>
        <v>510</v>
      </c>
      <c r="AZ16" s="123">
        <v>510</v>
      </c>
      <c r="BA16" s="123">
        <f t="shared" ref="BA16:BG16" si="81">+AZ16+BA15</f>
        <v>510</v>
      </c>
      <c r="BB16" s="123">
        <f t="shared" si="81"/>
        <v>510</v>
      </c>
      <c r="BC16" s="123">
        <f t="shared" si="81"/>
        <v>510</v>
      </c>
      <c r="BD16" s="123">
        <f t="shared" si="81"/>
        <v>510</v>
      </c>
      <c r="BE16" s="123">
        <f t="shared" si="81"/>
        <v>510</v>
      </c>
      <c r="BF16" s="123">
        <f t="shared" si="81"/>
        <v>510</v>
      </c>
      <c r="BG16" s="123">
        <f t="shared" si="81"/>
        <v>510</v>
      </c>
      <c r="BH16" s="121"/>
      <c r="BI16" s="118"/>
      <c r="BK16" s="118"/>
    </row>
    <row r="17" spans="1:63" ht="35.25" customHeight="1" x14ac:dyDescent="0.2">
      <c r="A17" s="16">
        <f>+A15+1</f>
        <v>3</v>
      </c>
      <c r="B17" s="146" t="s">
        <v>55</v>
      </c>
      <c r="C17" s="17" t="s">
        <v>55</v>
      </c>
      <c r="D17" s="17"/>
      <c r="E17" s="124">
        <v>0</v>
      </c>
      <c r="F17" s="124">
        <v>0</v>
      </c>
      <c r="G17" s="124">
        <v>0</v>
      </c>
      <c r="H17" s="124">
        <v>0</v>
      </c>
      <c r="I17" s="124">
        <v>0</v>
      </c>
      <c r="J17" s="124">
        <v>0</v>
      </c>
      <c r="K17" s="124">
        <v>0</v>
      </c>
      <c r="L17" s="124">
        <v>0</v>
      </c>
      <c r="M17" s="124">
        <v>0</v>
      </c>
      <c r="N17" s="124">
        <v>0</v>
      </c>
      <c r="O17" s="124">
        <v>0</v>
      </c>
      <c r="P17" s="124">
        <v>0</v>
      </c>
      <c r="Q17" s="124">
        <v>0</v>
      </c>
      <c r="R17" s="124">
        <v>0</v>
      </c>
      <c r="S17" s="124">
        <v>0</v>
      </c>
      <c r="T17" s="124">
        <v>0</v>
      </c>
      <c r="U17" s="124">
        <v>0</v>
      </c>
      <c r="V17" s="124">
        <v>0</v>
      </c>
      <c r="W17" s="124">
        <v>0</v>
      </c>
      <c r="X17" s="124">
        <v>0</v>
      </c>
      <c r="Y17" s="124">
        <v>0</v>
      </c>
      <c r="Z17" s="124">
        <v>0</v>
      </c>
      <c r="AA17" s="124">
        <v>0</v>
      </c>
      <c r="AB17" s="124">
        <v>0</v>
      </c>
      <c r="AC17" s="124">
        <v>0</v>
      </c>
      <c r="AD17" s="124">
        <v>0</v>
      </c>
      <c r="AE17" s="124">
        <v>0</v>
      </c>
      <c r="AF17" s="124">
        <v>0</v>
      </c>
      <c r="AG17" s="124">
        <v>0</v>
      </c>
      <c r="AH17" s="124">
        <v>0</v>
      </c>
      <c r="AI17" s="124">
        <v>0</v>
      </c>
      <c r="AJ17" s="124">
        <v>0</v>
      </c>
      <c r="AK17" s="124">
        <v>0</v>
      </c>
      <c r="AL17" s="124">
        <v>0</v>
      </c>
      <c r="AM17" s="124">
        <v>0</v>
      </c>
      <c r="AN17" s="124">
        <v>0</v>
      </c>
      <c r="AO17" s="124">
        <v>0</v>
      </c>
      <c r="AP17" s="124">
        <v>0</v>
      </c>
      <c r="AQ17" s="124">
        <v>0</v>
      </c>
      <c r="AR17" s="124">
        <v>0</v>
      </c>
      <c r="AS17" s="124">
        <v>0</v>
      </c>
      <c r="AT17" s="124">
        <v>0</v>
      </c>
      <c r="AU17" s="124">
        <v>0</v>
      </c>
      <c r="AV17" s="124">
        <v>0</v>
      </c>
      <c r="AW17" s="124">
        <v>0</v>
      </c>
      <c r="AX17" s="124">
        <v>0</v>
      </c>
      <c r="AY17" s="124">
        <v>0</v>
      </c>
      <c r="AZ17" s="124">
        <v>0</v>
      </c>
      <c r="BA17" s="124">
        <f>+SUM(M17:T17)</f>
        <v>0</v>
      </c>
      <c r="BB17" s="124">
        <f>SUM(U17:Z17)</f>
        <v>0</v>
      </c>
      <c r="BC17" s="124">
        <f>SUM(AA17:AI17)</f>
        <v>0</v>
      </c>
      <c r="BD17" s="124">
        <f>SUM(AJ17:AO17)</f>
        <v>0</v>
      </c>
      <c r="BE17" s="124">
        <f>SUM(AP17:AY17)</f>
        <v>0</v>
      </c>
      <c r="BF17" s="124">
        <v>0</v>
      </c>
      <c r="BG17" s="124">
        <v>0</v>
      </c>
      <c r="BH17" s="148" t="s">
        <v>133</v>
      </c>
    </row>
    <row r="18" spans="1:63" ht="35.25" customHeight="1" x14ac:dyDescent="0.2">
      <c r="A18" s="119"/>
      <c r="B18" s="120"/>
      <c r="C18" s="120" t="s">
        <v>48</v>
      </c>
      <c r="D18" s="133">
        <f>E18</f>
        <v>830</v>
      </c>
      <c r="E18" s="123">
        <v>830</v>
      </c>
      <c r="F18" s="123">
        <f>+E18+F17</f>
        <v>830</v>
      </c>
      <c r="G18" s="123">
        <f>+F18+G17</f>
        <v>830</v>
      </c>
      <c r="H18" s="123">
        <f>+G18+H17</f>
        <v>830</v>
      </c>
      <c r="I18" s="123">
        <f>+H18+I17</f>
        <v>830</v>
      </c>
      <c r="J18" s="123">
        <f>+I18+J17</f>
        <v>830</v>
      </c>
      <c r="K18" s="123">
        <f t="shared" ref="K18" si="82">+J18+K17</f>
        <v>830</v>
      </c>
      <c r="L18" s="123">
        <f t="shared" ref="L18" si="83">+K18+L17</f>
        <v>830</v>
      </c>
      <c r="M18" s="123">
        <f t="shared" ref="M18" si="84">+L18+M17</f>
        <v>830</v>
      </c>
      <c r="N18" s="123">
        <f t="shared" ref="N18" si="85">+M18+N17</f>
        <v>830</v>
      </c>
      <c r="O18" s="123">
        <f t="shared" ref="O18" si="86">+N18+O17</f>
        <v>830</v>
      </c>
      <c r="P18" s="123">
        <f t="shared" ref="P18" si="87">+O18+P17</f>
        <v>830</v>
      </c>
      <c r="Q18" s="123">
        <f t="shared" ref="Q18" si="88">+P18+Q17</f>
        <v>830</v>
      </c>
      <c r="R18" s="123">
        <f t="shared" ref="R18" si="89">+Q18+R17</f>
        <v>830</v>
      </c>
      <c r="S18" s="123">
        <f>+R18+S17</f>
        <v>830</v>
      </c>
      <c r="T18" s="123">
        <f>+S18+T17</f>
        <v>830</v>
      </c>
      <c r="U18" s="123">
        <f t="shared" ref="U18" si="90">+T18+U17</f>
        <v>830</v>
      </c>
      <c r="V18" s="123">
        <f t="shared" ref="V18" si="91">+U18+V17</f>
        <v>830</v>
      </c>
      <c r="W18" s="123">
        <f t="shared" ref="W18" si="92">+V18+W17</f>
        <v>830</v>
      </c>
      <c r="X18" s="123">
        <f t="shared" ref="X18" si="93">+W18+X17</f>
        <v>830</v>
      </c>
      <c r="Y18" s="123">
        <f t="shared" ref="Y18" si="94">+X18+Y17</f>
        <v>830</v>
      </c>
      <c r="Z18" s="123">
        <f t="shared" ref="Z18" si="95">+Y18+Z17</f>
        <v>830</v>
      </c>
      <c r="AA18" s="123">
        <f t="shared" ref="AA18" si="96">+Z18+AA17</f>
        <v>830</v>
      </c>
      <c r="AB18" s="123">
        <f>+AA18+AB17</f>
        <v>830</v>
      </c>
      <c r="AC18" s="123">
        <f>+AB18+AC17</f>
        <v>830</v>
      </c>
      <c r="AD18" s="123">
        <f>+AC18+AD17</f>
        <v>830</v>
      </c>
      <c r="AE18" s="123">
        <f>+AD18+AE17</f>
        <v>830</v>
      </c>
      <c r="AF18" s="123">
        <f t="shared" ref="AF18" si="97">+AE18+AF17</f>
        <v>830</v>
      </c>
      <c r="AG18" s="123">
        <f t="shared" ref="AG18" si="98">+AF18+AG17</f>
        <v>830</v>
      </c>
      <c r="AH18" s="123">
        <f t="shared" ref="AH18" si="99">+AG18+AH17</f>
        <v>830</v>
      </c>
      <c r="AI18" s="123">
        <f t="shared" ref="AI18" si="100">+AH18+AI17</f>
        <v>830</v>
      </c>
      <c r="AJ18" s="123">
        <f t="shared" ref="AJ18" si="101">+AI18+AJ17</f>
        <v>830</v>
      </c>
      <c r="AK18" s="123">
        <f t="shared" ref="AK18" si="102">+AJ18+AK17</f>
        <v>830</v>
      </c>
      <c r="AL18" s="123">
        <f t="shared" ref="AL18" si="103">+AK18+AL17</f>
        <v>830</v>
      </c>
      <c r="AM18" s="123">
        <f t="shared" ref="AM18" si="104">+AL18+AM17</f>
        <v>830</v>
      </c>
      <c r="AN18" s="123">
        <f t="shared" ref="AN18" si="105">+AM18+AN17</f>
        <v>830</v>
      </c>
      <c r="AO18" s="123">
        <f t="shared" ref="AO18" si="106">+AN18+AO17</f>
        <v>830</v>
      </c>
      <c r="AP18" s="123">
        <f t="shared" ref="AP18" si="107">+AG18+AP17</f>
        <v>830</v>
      </c>
      <c r="AQ18" s="123">
        <f t="shared" ref="AQ18" si="108">+AP18+AQ17</f>
        <v>830</v>
      </c>
      <c r="AR18" s="123">
        <f t="shared" ref="AR18" si="109">+AI18+AR17</f>
        <v>830</v>
      </c>
      <c r="AS18" s="123">
        <f t="shared" ref="AS18" si="110">+AR18+AS17</f>
        <v>830</v>
      </c>
      <c r="AT18" s="123">
        <f t="shared" ref="AT18" si="111">+AK18+AT17</f>
        <v>830</v>
      </c>
      <c r="AU18" s="123">
        <f t="shared" ref="AU18" si="112">+AT18+AU17</f>
        <v>830</v>
      </c>
      <c r="AV18" s="123">
        <f t="shared" ref="AV18" si="113">+AM18+AV17</f>
        <v>830</v>
      </c>
      <c r="AW18" s="123">
        <f t="shared" ref="AW18" si="114">+AV18+AW17</f>
        <v>830</v>
      </c>
      <c r="AX18" s="123">
        <f t="shared" ref="AX18" si="115">+AO18+AX17</f>
        <v>830</v>
      </c>
      <c r="AY18" s="123">
        <f t="shared" ref="AY18" si="116">+AX18+AY17</f>
        <v>830</v>
      </c>
      <c r="AZ18" s="123">
        <v>830</v>
      </c>
      <c r="BA18" s="123">
        <f t="shared" ref="BA18:BG18" si="117">+AZ18+BA17</f>
        <v>830</v>
      </c>
      <c r="BB18" s="123">
        <f t="shared" si="117"/>
        <v>830</v>
      </c>
      <c r="BC18" s="123">
        <f t="shared" si="117"/>
        <v>830</v>
      </c>
      <c r="BD18" s="123">
        <f t="shared" si="117"/>
        <v>830</v>
      </c>
      <c r="BE18" s="123">
        <f t="shared" si="117"/>
        <v>830</v>
      </c>
      <c r="BF18" s="123">
        <f t="shared" si="117"/>
        <v>830</v>
      </c>
      <c r="BG18" s="123">
        <f t="shared" si="117"/>
        <v>830</v>
      </c>
      <c r="BH18" s="121"/>
      <c r="BI18" s="118"/>
      <c r="BK18" s="118"/>
    </row>
    <row r="19" spans="1:63" ht="35.25" customHeight="1" x14ac:dyDescent="0.2">
      <c r="A19" s="16">
        <f>+A17+1</f>
        <v>4</v>
      </c>
      <c r="B19" s="150" t="s">
        <v>56</v>
      </c>
      <c r="C19" s="17" t="s">
        <v>56</v>
      </c>
      <c r="D19" s="17"/>
      <c r="E19" s="124">
        <v>0</v>
      </c>
      <c r="F19" s="124">
        <v>0</v>
      </c>
      <c r="G19" s="124">
        <v>0</v>
      </c>
      <c r="H19" s="124">
        <v>0</v>
      </c>
      <c r="I19" s="124">
        <v>0</v>
      </c>
      <c r="J19" s="124">
        <v>0</v>
      </c>
      <c r="K19" s="124">
        <v>0</v>
      </c>
      <c r="L19" s="124">
        <v>0</v>
      </c>
      <c r="M19" s="124">
        <v>0</v>
      </c>
      <c r="N19" s="124">
        <v>0</v>
      </c>
      <c r="O19" s="124">
        <v>0</v>
      </c>
      <c r="P19" s="124">
        <v>0</v>
      </c>
      <c r="Q19" s="124">
        <v>0</v>
      </c>
      <c r="R19" s="124">
        <v>0</v>
      </c>
      <c r="S19" s="124">
        <v>0</v>
      </c>
      <c r="T19" s="124">
        <v>0</v>
      </c>
      <c r="U19" s="124">
        <v>0</v>
      </c>
      <c r="V19" s="124">
        <v>0</v>
      </c>
      <c r="W19" s="124">
        <v>0</v>
      </c>
      <c r="X19" s="124">
        <v>0</v>
      </c>
      <c r="Y19" s="124">
        <v>0</v>
      </c>
      <c r="Z19" s="124">
        <v>0</v>
      </c>
      <c r="AA19" s="124">
        <v>0</v>
      </c>
      <c r="AB19" s="124">
        <v>0</v>
      </c>
      <c r="AC19" s="124">
        <v>0</v>
      </c>
      <c r="AD19" s="124">
        <v>0</v>
      </c>
      <c r="AE19" s="124">
        <v>0</v>
      </c>
      <c r="AF19" s="124">
        <v>0</v>
      </c>
      <c r="AG19" s="124">
        <v>0</v>
      </c>
      <c r="AH19" s="124">
        <v>0</v>
      </c>
      <c r="AI19" s="124">
        <v>0</v>
      </c>
      <c r="AJ19" s="124">
        <v>0</v>
      </c>
      <c r="AK19" s="124">
        <v>0</v>
      </c>
      <c r="AL19" s="124">
        <v>0</v>
      </c>
      <c r="AM19" s="124">
        <v>0</v>
      </c>
      <c r="AN19" s="124">
        <v>0</v>
      </c>
      <c r="AO19" s="124">
        <v>0</v>
      </c>
      <c r="AP19" s="124">
        <v>0</v>
      </c>
      <c r="AQ19" s="124">
        <v>0</v>
      </c>
      <c r="AR19" s="124">
        <v>0</v>
      </c>
      <c r="AS19" s="124">
        <v>0</v>
      </c>
      <c r="AT19" s="124">
        <v>0</v>
      </c>
      <c r="AU19" s="124">
        <v>0</v>
      </c>
      <c r="AV19" s="124">
        <v>0</v>
      </c>
      <c r="AW19" s="124">
        <v>0</v>
      </c>
      <c r="AX19" s="124">
        <v>0</v>
      </c>
      <c r="AY19" s="124">
        <v>0</v>
      </c>
      <c r="AZ19" s="124">
        <v>0</v>
      </c>
      <c r="BA19" s="124">
        <f>+SUM(M19:T19)</f>
        <v>0</v>
      </c>
      <c r="BB19" s="124">
        <v>0</v>
      </c>
      <c r="BC19" s="124">
        <f>SUM(AA19:AI19)</f>
        <v>0</v>
      </c>
      <c r="BD19" s="124">
        <f>SUM(AJ19:AO19)</f>
        <v>0</v>
      </c>
      <c r="BE19" s="124">
        <f>SUM(AP19:AY19)</f>
        <v>0</v>
      </c>
      <c r="BF19" s="124">
        <v>0</v>
      </c>
      <c r="BG19" s="124">
        <v>0</v>
      </c>
      <c r="BH19" s="148" t="s">
        <v>133</v>
      </c>
    </row>
    <row r="20" spans="1:63" ht="35.25" customHeight="1" x14ac:dyDescent="0.2">
      <c r="A20" s="119"/>
      <c r="B20" s="120"/>
      <c r="C20" s="120" t="s">
        <v>48</v>
      </c>
      <c r="D20" s="133">
        <f>E20</f>
        <v>880</v>
      </c>
      <c r="E20" s="123">
        <v>880</v>
      </c>
      <c r="F20" s="123">
        <f>+E20+F19</f>
        <v>880</v>
      </c>
      <c r="G20" s="123">
        <f>+F20+G19</f>
        <v>880</v>
      </c>
      <c r="H20" s="123">
        <f>+G20+H19</f>
        <v>880</v>
      </c>
      <c r="I20" s="123">
        <f>+H20+I19</f>
        <v>880</v>
      </c>
      <c r="J20" s="123">
        <f>+I20+J19</f>
        <v>880</v>
      </c>
      <c r="K20" s="123">
        <f t="shared" ref="K20" si="118">+J20+K19</f>
        <v>880</v>
      </c>
      <c r="L20" s="123">
        <f t="shared" ref="L20" si="119">+K20+L19</f>
        <v>880</v>
      </c>
      <c r="M20" s="123">
        <f t="shared" ref="M20" si="120">+L20+M19</f>
        <v>880</v>
      </c>
      <c r="N20" s="123">
        <f t="shared" ref="N20" si="121">+M20+N19</f>
        <v>880</v>
      </c>
      <c r="O20" s="123">
        <f t="shared" ref="O20" si="122">+N20+O19</f>
        <v>880</v>
      </c>
      <c r="P20" s="123">
        <f t="shared" ref="P20" si="123">+O20+P19</f>
        <v>880</v>
      </c>
      <c r="Q20" s="123">
        <f t="shared" ref="Q20" si="124">+P20+Q19</f>
        <v>880</v>
      </c>
      <c r="R20" s="123">
        <f t="shared" ref="R20" si="125">+Q20+R19</f>
        <v>880</v>
      </c>
      <c r="S20" s="123">
        <f>+R20+S19</f>
        <v>880</v>
      </c>
      <c r="T20" s="123">
        <f>+S20+T19</f>
        <v>880</v>
      </c>
      <c r="U20" s="123">
        <f t="shared" ref="U20" si="126">+T20+U19</f>
        <v>880</v>
      </c>
      <c r="V20" s="123">
        <f t="shared" ref="V20" si="127">+U20+V19</f>
        <v>880</v>
      </c>
      <c r="W20" s="123">
        <f t="shared" ref="W20" si="128">+V20+W19</f>
        <v>880</v>
      </c>
      <c r="X20" s="123">
        <f t="shared" ref="X20" si="129">+W20+X19</f>
        <v>880</v>
      </c>
      <c r="Y20" s="123">
        <f t="shared" ref="Y20" si="130">+X20+Y19</f>
        <v>880</v>
      </c>
      <c r="Z20" s="123">
        <f t="shared" ref="Z20" si="131">+Y20+Z19</f>
        <v>880</v>
      </c>
      <c r="AA20" s="123">
        <f t="shared" ref="AA20" si="132">+Z20+AA19</f>
        <v>880</v>
      </c>
      <c r="AB20" s="123">
        <f>+AA20+AB19</f>
        <v>880</v>
      </c>
      <c r="AC20" s="123">
        <f>+AB20+AC19</f>
        <v>880</v>
      </c>
      <c r="AD20" s="123">
        <f>+AC20+AD19</f>
        <v>880</v>
      </c>
      <c r="AE20" s="123">
        <f>+AD20+AE19</f>
        <v>880</v>
      </c>
      <c r="AF20" s="123">
        <f t="shared" ref="AF20" si="133">+AE20+AF19</f>
        <v>880</v>
      </c>
      <c r="AG20" s="123">
        <f t="shared" ref="AG20" si="134">+AF20+AG19</f>
        <v>880</v>
      </c>
      <c r="AH20" s="123">
        <f t="shared" ref="AH20" si="135">+AG20+AH19</f>
        <v>880</v>
      </c>
      <c r="AI20" s="123">
        <f t="shared" ref="AI20" si="136">+AH20+AI19</f>
        <v>880</v>
      </c>
      <c r="AJ20" s="123">
        <f t="shared" ref="AJ20" si="137">+AI20+AJ19</f>
        <v>880</v>
      </c>
      <c r="AK20" s="123">
        <f t="shared" ref="AK20" si="138">+AJ20+AK19</f>
        <v>880</v>
      </c>
      <c r="AL20" s="123">
        <f t="shared" ref="AL20" si="139">+AK20+AL19</f>
        <v>880</v>
      </c>
      <c r="AM20" s="123">
        <f t="shared" ref="AM20" si="140">+AL20+AM19</f>
        <v>880</v>
      </c>
      <c r="AN20" s="123">
        <f t="shared" ref="AN20" si="141">+AM20+AN19</f>
        <v>880</v>
      </c>
      <c r="AO20" s="123">
        <f t="shared" ref="AO20" si="142">+AN20+AO19</f>
        <v>880</v>
      </c>
      <c r="AP20" s="123">
        <f t="shared" ref="AP20" si="143">+AG20+AP19</f>
        <v>880</v>
      </c>
      <c r="AQ20" s="123">
        <f t="shared" ref="AQ20" si="144">+AP20+AQ19</f>
        <v>880</v>
      </c>
      <c r="AR20" s="123">
        <f t="shared" ref="AR20" si="145">+AI20+AR19</f>
        <v>880</v>
      </c>
      <c r="AS20" s="123">
        <f t="shared" ref="AS20" si="146">+AR20+AS19</f>
        <v>880</v>
      </c>
      <c r="AT20" s="123">
        <f t="shared" ref="AT20" si="147">+AK20+AT19</f>
        <v>880</v>
      </c>
      <c r="AU20" s="123">
        <f t="shared" ref="AU20" si="148">+AT20+AU19</f>
        <v>880</v>
      </c>
      <c r="AV20" s="123">
        <f t="shared" ref="AV20" si="149">+AM20+AV19</f>
        <v>880</v>
      </c>
      <c r="AW20" s="123">
        <f t="shared" ref="AW20" si="150">+AV20+AW19</f>
        <v>880</v>
      </c>
      <c r="AX20" s="123">
        <f t="shared" ref="AX20" si="151">+AO20+AX19</f>
        <v>880</v>
      </c>
      <c r="AY20" s="123">
        <f t="shared" ref="AY20" si="152">+AX20+AY19</f>
        <v>880</v>
      </c>
      <c r="AZ20" s="123">
        <v>880</v>
      </c>
      <c r="BA20" s="123">
        <f t="shared" ref="BA20:BG20" si="153">+AZ20+BA19</f>
        <v>880</v>
      </c>
      <c r="BB20" s="123">
        <f t="shared" si="153"/>
        <v>880</v>
      </c>
      <c r="BC20" s="123">
        <f t="shared" si="153"/>
        <v>880</v>
      </c>
      <c r="BD20" s="123">
        <f t="shared" si="153"/>
        <v>880</v>
      </c>
      <c r="BE20" s="123">
        <f t="shared" si="153"/>
        <v>880</v>
      </c>
      <c r="BF20" s="123">
        <f t="shared" si="153"/>
        <v>880</v>
      </c>
      <c r="BG20" s="123">
        <f t="shared" si="153"/>
        <v>880</v>
      </c>
      <c r="BH20" s="121"/>
      <c r="BI20" s="118"/>
      <c r="BK20" s="118"/>
    </row>
    <row r="21" spans="1:63" ht="35.25" customHeight="1" x14ac:dyDescent="0.2">
      <c r="A21" s="16">
        <f>+A19+1</f>
        <v>5</v>
      </c>
      <c r="B21" s="17" t="s">
        <v>57</v>
      </c>
      <c r="C21" s="17" t="s">
        <v>57</v>
      </c>
      <c r="D21" s="17"/>
      <c r="E21" s="124">
        <v>80</v>
      </c>
      <c r="F21" s="124">
        <v>80</v>
      </c>
      <c r="G21" s="124">
        <v>240</v>
      </c>
      <c r="H21" s="124">
        <v>240</v>
      </c>
      <c r="I21" s="124">
        <v>320</v>
      </c>
      <c r="J21" s="124">
        <v>240</v>
      </c>
      <c r="K21" s="124">
        <v>160</v>
      </c>
      <c r="L21" s="124">
        <v>160</v>
      </c>
      <c r="M21" s="124">
        <v>240</v>
      </c>
      <c r="N21" s="124">
        <v>240</v>
      </c>
      <c r="O21" s="124">
        <v>320</v>
      </c>
      <c r="P21" s="168">
        <f>160+560</f>
        <v>720</v>
      </c>
      <c r="Q21" s="124">
        <v>320</v>
      </c>
      <c r="R21" s="124">
        <v>160</v>
      </c>
      <c r="S21" s="124">
        <v>720</v>
      </c>
      <c r="T21" s="124">
        <v>800</v>
      </c>
      <c r="U21" s="124">
        <v>0</v>
      </c>
      <c r="V21" s="124">
        <v>160</v>
      </c>
      <c r="W21" s="124">
        <v>160</v>
      </c>
      <c r="X21" s="124">
        <v>320</v>
      </c>
      <c r="Y21" s="168">
        <f>240+80</f>
        <v>320</v>
      </c>
      <c r="Z21" s="124">
        <v>400</v>
      </c>
      <c r="AA21" s="124">
        <v>800</v>
      </c>
      <c r="AB21" s="124">
        <v>240</v>
      </c>
      <c r="AC21" s="124">
        <v>320</v>
      </c>
      <c r="AD21" s="124">
        <v>320</v>
      </c>
      <c r="AE21" s="124">
        <v>240</v>
      </c>
      <c r="AF21" s="124">
        <v>400</v>
      </c>
      <c r="AG21" s="124">
        <v>240</v>
      </c>
      <c r="AH21" s="124">
        <v>400</v>
      </c>
      <c r="AI21" s="124">
        <v>320</v>
      </c>
      <c r="AJ21" s="124">
        <v>400</v>
      </c>
      <c r="AK21" s="124">
        <v>320</v>
      </c>
      <c r="AL21" s="124">
        <v>400</v>
      </c>
      <c r="AM21" s="124">
        <v>400</v>
      </c>
      <c r="AN21" s="124">
        <v>320</v>
      </c>
      <c r="AO21" s="124">
        <v>320</v>
      </c>
      <c r="AP21" s="124">
        <v>560</v>
      </c>
      <c r="AQ21" s="124">
        <v>320</v>
      </c>
      <c r="AR21" s="124">
        <v>480</v>
      </c>
      <c r="AS21" s="124">
        <v>320</v>
      </c>
      <c r="AT21" s="124">
        <v>240</v>
      </c>
      <c r="AU21" s="124">
        <v>320</v>
      </c>
      <c r="AV21" s="124">
        <v>480</v>
      </c>
      <c r="AW21" s="124">
        <v>320</v>
      </c>
      <c r="AX21" s="124">
        <v>320</v>
      </c>
      <c r="AY21" s="124">
        <v>480</v>
      </c>
      <c r="AZ21" s="124">
        <v>1520</v>
      </c>
      <c r="BA21" s="124">
        <f>+SUM(M21:T21)</f>
        <v>3520</v>
      </c>
      <c r="BB21" s="124">
        <f>SUM(U21:Z21)</f>
        <v>1360</v>
      </c>
      <c r="BC21" s="124">
        <f>SUM(AA21:AI21)</f>
        <v>3280</v>
      </c>
      <c r="BD21" s="124">
        <f>SUM(AJ21:AO21)</f>
        <v>2160</v>
      </c>
      <c r="BE21" s="124">
        <f>SUM(AP21:AY21)</f>
        <v>3840</v>
      </c>
      <c r="BF21" s="124">
        <v>3920</v>
      </c>
      <c r="BG21" s="124">
        <v>3440</v>
      </c>
      <c r="BH21" s="116" t="s">
        <v>79</v>
      </c>
    </row>
    <row r="22" spans="1:63" ht="35.25" customHeight="1" x14ac:dyDescent="0.2">
      <c r="A22" s="119"/>
      <c r="B22" s="120"/>
      <c r="C22" s="120" t="s">
        <v>48</v>
      </c>
      <c r="D22" s="133">
        <f>E22</f>
        <v>128280</v>
      </c>
      <c r="E22" s="123">
        <v>128280</v>
      </c>
      <c r="F22" s="123">
        <f>+E22+F21</f>
        <v>128360</v>
      </c>
      <c r="G22" s="123">
        <f>+F22+G21</f>
        <v>128600</v>
      </c>
      <c r="H22" s="123">
        <f>+G22+H21</f>
        <v>128840</v>
      </c>
      <c r="I22" s="123">
        <f>+H22+I21</f>
        <v>129160</v>
      </c>
      <c r="J22" s="123">
        <f>+I22+J21</f>
        <v>129400</v>
      </c>
      <c r="K22" s="123">
        <f t="shared" ref="K22" si="154">+J22+K21</f>
        <v>129560</v>
      </c>
      <c r="L22" s="123">
        <f t="shared" ref="L22" si="155">+K22+L21</f>
        <v>129720</v>
      </c>
      <c r="M22" s="123">
        <f t="shared" ref="M22" si="156">+L22+M21</f>
        <v>129960</v>
      </c>
      <c r="N22" s="123">
        <f t="shared" ref="N22" si="157">+M22+N21</f>
        <v>130200</v>
      </c>
      <c r="O22" s="123">
        <f t="shared" ref="O22" si="158">+N22+O21</f>
        <v>130520</v>
      </c>
      <c r="P22" s="123">
        <f t="shared" ref="P22" si="159">+O22+P21</f>
        <v>131240</v>
      </c>
      <c r="Q22" s="123">
        <f t="shared" ref="Q22" si="160">+P22+Q21</f>
        <v>131560</v>
      </c>
      <c r="R22" s="123">
        <f t="shared" ref="R22" si="161">+Q22+R21</f>
        <v>131720</v>
      </c>
      <c r="S22" s="123">
        <f>+R22+S21</f>
        <v>132440</v>
      </c>
      <c r="T22" s="123">
        <f>+S22+T21</f>
        <v>133240</v>
      </c>
      <c r="U22" s="123">
        <f t="shared" ref="U22" si="162">+T22+U21</f>
        <v>133240</v>
      </c>
      <c r="V22" s="123">
        <f t="shared" ref="V22" si="163">+U22+V21</f>
        <v>133400</v>
      </c>
      <c r="W22" s="123">
        <f t="shared" ref="W22" si="164">+V22+W21</f>
        <v>133560</v>
      </c>
      <c r="X22" s="123">
        <f t="shared" ref="X22" si="165">+W22+X21</f>
        <v>133880</v>
      </c>
      <c r="Y22" s="123">
        <f t="shared" ref="Y22" si="166">+X22+Y21</f>
        <v>134200</v>
      </c>
      <c r="Z22" s="123">
        <f t="shared" ref="Z22" si="167">+Y22+Z21</f>
        <v>134600</v>
      </c>
      <c r="AA22" s="123">
        <f t="shared" ref="AA22" si="168">+Z22+AA21</f>
        <v>135400</v>
      </c>
      <c r="AB22" s="123">
        <f>+AA22+AB21</f>
        <v>135640</v>
      </c>
      <c r="AC22" s="123">
        <f>+AB22+AC21</f>
        <v>135960</v>
      </c>
      <c r="AD22" s="123">
        <f>+AC22+AD21</f>
        <v>136280</v>
      </c>
      <c r="AE22" s="123">
        <f>+AD22+AE21</f>
        <v>136520</v>
      </c>
      <c r="AF22" s="123">
        <f t="shared" ref="AF22" si="169">+AE22+AF21</f>
        <v>136920</v>
      </c>
      <c r="AG22" s="123">
        <f t="shared" ref="AG22" si="170">+AF22+AG21</f>
        <v>137160</v>
      </c>
      <c r="AH22" s="123">
        <f t="shared" ref="AH22" si="171">+AG22+AH21</f>
        <v>137560</v>
      </c>
      <c r="AI22" s="123">
        <f t="shared" ref="AI22" si="172">+AH22+AI21</f>
        <v>137880</v>
      </c>
      <c r="AJ22" s="123">
        <f t="shared" ref="AJ22" si="173">+AI22+AJ21</f>
        <v>138280</v>
      </c>
      <c r="AK22" s="123">
        <f t="shared" ref="AK22" si="174">+AJ22+AK21</f>
        <v>138600</v>
      </c>
      <c r="AL22" s="123">
        <f t="shared" ref="AL22" si="175">+AK22+AL21</f>
        <v>139000</v>
      </c>
      <c r="AM22" s="123">
        <f t="shared" ref="AM22" si="176">+AL22+AM21</f>
        <v>139400</v>
      </c>
      <c r="AN22" s="123">
        <f t="shared" ref="AN22" si="177">+AM22+AN21</f>
        <v>139720</v>
      </c>
      <c r="AO22" s="123">
        <f t="shared" ref="AO22" si="178">+AN22+AO21</f>
        <v>140040</v>
      </c>
      <c r="AP22" s="123">
        <f t="shared" ref="AP22" si="179">+AG22+AP21</f>
        <v>137720</v>
      </c>
      <c r="AQ22" s="123">
        <f t="shared" ref="AQ22" si="180">+AP22+AQ21</f>
        <v>138040</v>
      </c>
      <c r="AR22" s="123">
        <f t="shared" ref="AR22" si="181">+AI22+AR21</f>
        <v>138360</v>
      </c>
      <c r="AS22" s="123">
        <f t="shared" ref="AS22" si="182">+AR22+AS21</f>
        <v>138680</v>
      </c>
      <c r="AT22" s="123">
        <f t="shared" ref="AT22" si="183">+AK22+AT21</f>
        <v>138840</v>
      </c>
      <c r="AU22" s="123">
        <f t="shared" ref="AU22" si="184">+AT22+AU21</f>
        <v>139160</v>
      </c>
      <c r="AV22" s="123">
        <f t="shared" ref="AV22" si="185">+AM22+AV21</f>
        <v>139880</v>
      </c>
      <c r="AW22" s="123">
        <f t="shared" ref="AW22" si="186">+AV22+AW21</f>
        <v>140200</v>
      </c>
      <c r="AX22" s="123">
        <f t="shared" ref="AX22" si="187">+AO22+AX21</f>
        <v>140360</v>
      </c>
      <c r="AY22" s="123">
        <f t="shared" ref="AY22" si="188">+AX22+AY21</f>
        <v>140840</v>
      </c>
      <c r="AZ22" s="123">
        <v>146760</v>
      </c>
      <c r="BA22" s="123">
        <f t="shared" ref="BA22:BG22" si="189">+AZ22+BA21</f>
        <v>150280</v>
      </c>
      <c r="BB22" s="123">
        <f t="shared" si="189"/>
        <v>151640</v>
      </c>
      <c r="BC22" s="123">
        <f t="shared" si="189"/>
        <v>154920</v>
      </c>
      <c r="BD22" s="123">
        <f t="shared" si="189"/>
        <v>157080</v>
      </c>
      <c r="BE22" s="123">
        <f t="shared" si="189"/>
        <v>160920</v>
      </c>
      <c r="BF22" s="123">
        <f t="shared" si="189"/>
        <v>164840</v>
      </c>
      <c r="BG22" s="123">
        <f t="shared" si="189"/>
        <v>168280</v>
      </c>
      <c r="BH22" s="121"/>
      <c r="BI22" s="118"/>
      <c r="BK22" s="118"/>
    </row>
    <row r="23" spans="1:63" ht="35.25" customHeight="1" x14ac:dyDescent="0.2">
      <c r="A23" s="16">
        <f>+A21+1</f>
        <v>6</v>
      </c>
      <c r="B23" s="17" t="s">
        <v>128</v>
      </c>
      <c r="C23" s="17" t="s">
        <v>120</v>
      </c>
      <c r="D23" s="17"/>
      <c r="E23" s="124">
        <v>0</v>
      </c>
      <c r="F23" s="124">
        <v>0</v>
      </c>
      <c r="G23" s="124">
        <v>0</v>
      </c>
      <c r="H23" s="124">
        <v>0</v>
      </c>
      <c r="I23" s="124">
        <v>0</v>
      </c>
      <c r="J23" s="124">
        <v>0</v>
      </c>
      <c r="K23" s="124">
        <v>0</v>
      </c>
      <c r="L23" s="124">
        <v>0</v>
      </c>
      <c r="M23" s="124">
        <v>0</v>
      </c>
      <c r="N23" s="124">
        <v>0</v>
      </c>
      <c r="O23" s="124">
        <v>0</v>
      </c>
      <c r="P23" s="124">
        <v>0</v>
      </c>
      <c r="Q23" s="124">
        <v>0</v>
      </c>
      <c r="R23" s="124">
        <v>0</v>
      </c>
      <c r="S23" s="124">
        <v>0</v>
      </c>
      <c r="T23" s="124">
        <v>0</v>
      </c>
      <c r="U23" s="124">
        <v>0</v>
      </c>
      <c r="V23" s="124">
        <v>0</v>
      </c>
      <c r="W23" s="124">
        <v>0</v>
      </c>
      <c r="X23" s="124">
        <v>0</v>
      </c>
      <c r="Y23" s="124">
        <v>0</v>
      </c>
      <c r="Z23" s="124">
        <v>0</v>
      </c>
      <c r="AA23" s="124">
        <v>0</v>
      </c>
      <c r="AB23" s="124">
        <v>0</v>
      </c>
      <c r="AC23" s="124">
        <v>0</v>
      </c>
      <c r="AD23" s="124">
        <v>0</v>
      </c>
      <c r="AE23" s="124">
        <v>0</v>
      </c>
      <c r="AF23" s="124">
        <v>0</v>
      </c>
      <c r="AG23" s="124">
        <v>0</v>
      </c>
      <c r="AH23" s="124">
        <v>0</v>
      </c>
      <c r="AI23" s="124">
        <v>0</v>
      </c>
      <c r="AJ23" s="124">
        <v>0</v>
      </c>
      <c r="AK23" s="124">
        <v>0</v>
      </c>
      <c r="AL23" s="124">
        <v>0</v>
      </c>
      <c r="AM23" s="124">
        <v>0</v>
      </c>
      <c r="AN23" s="124">
        <v>0</v>
      </c>
      <c r="AO23" s="124">
        <v>0</v>
      </c>
      <c r="AP23" s="124">
        <v>0</v>
      </c>
      <c r="AQ23" s="124">
        <v>0</v>
      </c>
      <c r="AR23" s="124">
        <v>0</v>
      </c>
      <c r="AS23" s="124">
        <v>0</v>
      </c>
      <c r="AT23" s="124">
        <v>0</v>
      </c>
      <c r="AU23" s="124">
        <v>0</v>
      </c>
      <c r="AV23" s="124">
        <v>0</v>
      </c>
      <c r="AW23" s="124">
        <v>0</v>
      </c>
      <c r="AX23" s="124">
        <v>0</v>
      </c>
      <c r="AY23" s="124">
        <v>0</v>
      </c>
      <c r="AZ23" s="124">
        <v>0</v>
      </c>
      <c r="BA23" s="124">
        <f>+SUM(M23:T23)</f>
        <v>0</v>
      </c>
      <c r="BB23" s="124">
        <f>SUM(U23:Z23)</f>
        <v>0</v>
      </c>
      <c r="BC23" s="124">
        <f>SUM(AA23:AI23)</f>
        <v>0</v>
      </c>
      <c r="BD23" s="124">
        <f>SUM(AJ23:AO23)</f>
        <v>0</v>
      </c>
      <c r="BE23" s="124">
        <f>SUM(AP23:AY23)</f>
        <v>0</v>
      </c>
      <c r="BF23" s="124">
        <v>0</v>
      </c>
      <c r="BG23" s="124">
        <v>0</v>
      </c>
      <c r="BH23" s="116" t="s">
        <v>79</v>
      </c>
    </row>
    <row r="24" spans="1:63" ht="35.25" customHeight="1" x14ac:dyDescent="0.2">
      <c r="A24" s="119"/>
      <c r="B24" s="120"/>
      <c r="C24" s="120" t="s">
        <v>48</v>
      </c>
      <c r="D24" s="133">
        <f>E24</f>
        <v>510</v>
      </c>
      <c r="E24" s="123">
        <v>510</v>
      </c>
      <c r="F24" s="123">
        <f>+E24+F23</f>
        <v>510</v>
      </c>
      <c r="G24" s="123">
        <f>+F24+G23</f>
        <v>510</v>
      </c>
      <c r="H24" s="123">
        <f>+G24+H23</f>
        <v>510</v>
      </c>
      <c r="I24" s="123">
        <f>+H24+I23</f>
        <v>510</v>
      </c>
      <c r="J24" s="123">
        <f>+I24+J23</f>
        <v>510</v>
      </c>
      <c r="K24" s="123">
        <f t="shared" ref="K24" si="190">+J24+K23</f>
        <v>510</v>
      </c>
      <c r="L24" s="123">
        <f t="shared" ref="L24" si="191">+K24+L23</f>
        <v>510</v>
      </c>
      <c r="M24" s="123">
        <f t="shared" ref="M24" si="192">+L24+M23</f>
        <v>510</v>
      </c>
      <c r="N24" s="123">
        <f t="shared" ref="N24" si="193">+M24+N23</f>
        <v>510</v>
      </c>
      <c r="O24" s="123">
        <f t="shared" ref="O24" si="194">+N24+O23</f>
        <v>510</v>
      </c>
      <c r="P24" s="123">
        <f t="shared" ref="P24" si="195">+O24+P23</f>
        <v>510</v>
      </c>
      <c r="Q24" s="123">
        <f t="shared" ref="Q24" si="196">+P24+Q23</f>
        <v>510</v>
      </c>
      <c r="R24" s="123">
        <f t="shared" ref="R24" si="197">+Q24+R23</f>
        <v>510</v>
      </c>
      <c r="S24" s="123">
        <f>+R24+S23</f>
        <v>510</v>
      </c>
      <c r="T24" s="123">
        <f>+S24+T23</f>
        <v>510</v>
      </c>
      <c r="U24" s="123">
        <f t="shared" ref="U24" si="198">+T24+U23</f>
        <v>510</v>
      </c>
      <c r="V24" s="123">
        <f t="shared" ref="V24" si="199">+U24+V23</f>
        <v>510</v>
      </c>
      <c r="W24" s="123">
        <f t="shared" ref="W24" si="200">+V24+W23</f>
        <v>510</v>
      </c>
      <c r="X24" s="123">
        <f t="shared" ref="X24" si="201">+W24+X23</f>
        <v>510</v>
      </c>
      <c r="Y24" s="123">
        <f t="shared" ref="Y24" si="202">+X24+Y23</f>
        <v>510</v>
      </c>
      <c r="Z24" s="123">
        <f t="shared" ref="Z24" si="203">+Y24+Z23</f>
        <v>510</v>
      </c>
      <c r="AA24" s="123">
        <f t="shared" ref="AA24" si="204">+Z24+AA23</f>
        <v>510</v>
      </c>
      <c r="AB24" s="123">
        <f>+AA24+AB23</f>
        <v>510</v>
      </c>
      <c r="AC24" s="123">
        <f>+AB24+AC23</f>
        <v>510</v>
      </c>
      <c r="AD24" s="123">
        <f>+AC24+AD23</f>
        <v>510</v>
      </c>
      <c r="AE24" s="123">
        <f>+AD24+AE23</f>
        <v>510</v>
      </c>
      <c r="AF24" s="123">
        <f t="shared" ref="AF24" si="205">+AE24+AF23</f>
        <v>510</v>
      </c>
      <c r="AG24" s="123">
        <f t="shared" ref="AG24" si="206">+AF24+AG23</f>
        <v>510</v>
      </c>
      <c r="AH24" s="123">
        <f t="shared" ref="AH24" si="207">+AG24+AH23</f>
        <v>510</v>
      </c>
      <c r="AI24" s="123">
        <f t="shared" ref="AI24" si="208">+AH24+AI23</f>
        <v>510</v>
      </c>
      <c r="AJ24" s="123">
        <f t="shared" ref="AJ24" si="209">+AI24+AJ23</f>
        <v>510</v>
      </c>
      <c r="AK24" s="123">
        <f t="shared" ref="AK24" si="210">+AJ24+AK23</f>
        <v>510</v>
      </c>
      <c r="AL24" s="123">
        <f t="shared" ref="AL24" si="211">+AK24+AL23</f>
        <v>510</v>
      </c>
      <c r="AM24" s="123">
        <f t="shared" ref="AM24" si="212">+AL24+AM23</f>
        <v>510</v>
      </c>
      <c r="AN24" s="123">
        <f t="shared" ref="AN24" si="213">+AM24+AN23</f>
        <v>510</v>
      </c>
      <c r="AO24" s="123">
        <f t="shared" ref="AO24" si="214">+AN24+AO23</f>
        <v>510</v>
      </c>
      <c r="AP24" s="123">
        <f t="shared" ref="AP24" si="215">+AG24+AP23</f>
        <v>510</v>
      </c>
      <c r="AQ24" s="123">
        <f t="shared" ref="AQ24" si="216">+AP24+AQ23</f>
        <v>510</v>
      </c>
      <c r="AR24" s="123">
        <f t="shared" ref="AR24" si="217">+AI24+AR23</f>
        <v>510</v>
      </c>
      <c r="AS24" s="123">
        <f t="shared" ref="AS24" si="218">+AR24+AS23</f>
        <v>510</v>
      </c>
      <c r="AT24" s="123">
        <f t="shared" ref="AT24" si="219">+AK24+AT23</f>
        <v>510</v>
      </c>
      <c r="AU24" s="123">
        <f t="shared" ref="AU24" si="220">+AT24+AU23</f>
        <v>510</v>
      </c>
      <c r="AV24" s="123">
        <f t="shared" ref="AV24" si="221">+AM24+AV23</f>
        <v>510</v>
      </c>
      <c r="AW24" s="123">
        <f t="shared" ref="AW24" si="222">+AV24+AW23</f>
        <v>510</v>
      </c>
      <c r="AX24" s="123">
        <f t="shared" ref="AX24" si="223">+AO24+AX23</f>
        <v>510</v>
      </c>
      <c r="AY24" s="123">
        <f t="shared" ref="AY24" si="224">+AX24+AY23</f>
        <v>510</v>
      </c>
      <c r="AZ24" s="123">
        <v>510</v>
      </c>
      <c r="BA24" s="123">
        <f t="shared" ref="BA24:BG24" si="225">+AZ24+BA23</f>
        <v>510</v>
      </c>
      <c r="BB24" s="123">
        <f t="shared" si="225"/>
        <v>510</v>
      </c>
      <c r="BC24" s="123">
        <f t="shared" si="225"/>
        <v>510</v>
      </c>
      <c r="BD24" s="123">
        <f t="shared" si="225"/>
        <v>510</v>
      </c>
      <c r="BE24" s="123">
        <f t="shared" si="225"/>
        <v>510</v>
      </c>
      <c r="BF24" s="123">
        <f t="shared" si="225"/>
        <v>510</v>
      </c>
      <c r="BG24" s="123">
        <f t="shared" si="225"/>
        <v>510</v>
      </c>
      <c r="BH24" s="121"/>
      <c r="BI24" s="118"/>
      <c r="BK24" s="118"/>
    </row>
    <row r="25" spans="1:63" ht="35.25" customHeight="1" x14ac:dyDescent="0.2">
      <c r="A25" s="16">
        <f>+A23+1</f>
        <v>7</v>
      </c>
      <c r="B25" s="17" t="s">
        <v>58</v>
      </c>
      <c r="C25" s="17" t="s">
        <v>58</v>
      </c>
      <c r="D25" s="17"/>
      <c r="E25" s="124">
        <v>0</v>
      </c>
      <c r="F25" s="124">
        <v>0</v>
      </c>
      <c r="G25" s="124">
        <v>0</v>
      </c>
      <c r="H25" s="124">
        <v>0</v>
      </c>
      <c r="I25" s="124">
        <v>0</v>
      </c>
      <c r="J25" s="124">
        <v>0</v>
      </c>
      <c r="K25" s="124">
        <v>0</v>
      </c>
      <c r="L25" s="124">
        <v>0</v>
      </c>
      <c r="M25" s="124">
        <v>0</v>
      </c>
      <c r="N25" s="124">
        <v>0</v>
      </c>
      <c r="O25" s="124">
        <v>0</v>
      </c>
      <c r="P25" s="124">
        <v>0</v>
      </c>
      <c r="Q25" s="124">
        <v>0</v>
      </c>
      <c r="R25" s="124">
        <v>0</v>
      </c>
      <c r="S25" s="124">
        <v>0</v>
      </c>
      <c r="T25" s="124">
        <v>0</v>
      </c>
      <c r="U25" s="124">
        <v>0</v>
      </c>
      <c r="V25" s="124">
        <v>0</v>
      </c>
      <c r="W25" s="124">
        <v>0</v>
      </c>
      <c r="X25" s="124">
        <v>0</v>
      </c>
      <c r="Y25" s="124">
        <v>0</v>
      </c>
      <c r="Z25" s="124">
        <v>0</v>
      </c>
      <c r="AA25" s="124">
        <v>60</v>
      </c>
      <c r="AB25" s="124">
        <v>0</v>
      </c>
      <c r="AC25" s="124">
        <v>30</v>
      </c>
      <c r="AD25" s="124">
        <v>0</v>
      </c>
      <c r="AE25" s="124">
        <v>30</v>
      </c>
      <c r="AF25" s="124">
        <v>0</v>
      </c>
      <c r="AG25" s="124">
        <v>0</v>
      </c>
      <c r="AH25" s="124">
        <v>30</v>
      </c>
      <c r="AI25" s="124">
        <v>0</v>
      </c>
      <c r="AJ25" s="124">
        <v>0</v>
      </c>
      <c r="AK25" s="124">
        <v>30</v>
      </c>
      <c r="AL25" s="124">
        <v>0</v>
      </c>
      <c r="AM25" s="124">
        <v>30</v>
      </c>
      <c r="AN25" s="124">
        <v>0</v>
      </c>
      <c r="AO25" s="124">
        <v>0</v>
      </c>
      <c r="AP25" s="124">
        <v>30</v>
      </c>
      <c r="AQ25" s="124">
        <v>0</v>
      </c>
      <c r="AR25" s="124">
        <v>30</v>
      </c>
      <c r="AS25" s="124">
        <v>0</v>
      </c>
      <c r="AT25" s="124">
        <v>0</v>
      </c>
      <c r="AU25" s="124">
        <v>30</v>
      </c>
      <c r="AV25" s="124">
        <v>0</v>
      </c>
      <c r="AW25" s="124">
        <v>30</v>
      </c>
      <c r="AX25" s="124">
        <v>0</v>
      </c>
      <c r="AY25" s="124">
        <v>30</v>
      </c>
      <c r="AZ25" s="124">
        <v>0</v>
      </c>
      <c r="BA25" s="124">
        <f>+SUM(M25:T25)</f>
        <v>0</v>
      </c>
      <c r="BB25" s="124">
        <f>SUM(U25:Z25)</f>
        <v>0</v>
      </c>
      <c r="BC25" s="124">
        <f>SUM(AA25:AI25)</f>
        <v>150</v>
      </c>
      <c r="BD25" s="124">
        <f>SUM(AJ25:AO25)</f>
        <v>60</v>
      </c>
      <c r="BE25" s="124">
        <f>SUM(AP25:AY25)</f>
        <v>150</v>
      </c>
      <c r="BF25" s="124">
        <v>150</v>
      </c>
      <c r="BG25" s="124">
        <v>120</v>
      </c>
      <c r="BH25" s="116" t="s">
        <v>79</v>
      </c>
    </row>
    <row r="26" spans="1:63" ht="35.25" customHeight="1" x14ac:dyDescent="0.2">
      <c r="A26" s="119"/>
      <c r="B26" s="120"/>
      <c r="C26" s="120" t="s">
        <v>48</v>
      </c>
      <c r="D26" s="133">
        <f>E26</f>
        <v>960</v>
      </c>
      <c r="E26" s="123">
        <v>960</v>
      </c>
      <c r="F26" s="123">
        <f>+E26+F25</f>
        <v>960</v>
      </c>
      <c r="G26" s="123">
        <f>+F26+G25</f>
        <v>960</v>
      </c>
      <c r="H26" s="123">
        <f>+G26+H25</f>
        <v>960</v>
      </c>
      <c r="I26" s="123">
        <f>+H26+I25</f>
        <v>960</v>
      </c>
      <c r="J26" s="123">
        <f>+I26+J25</f>
        <v>960</v>
      </c>
      <c r="K26" s="123">
        <f t="shared" ref="K26" si="226">+J26+K25</f>
        <v>960</v>
      </c>
      <c r="L26" s="123">
        <f t="shared" ref="L26" si="227">+K26+L25</f>
        <v>960</v>
      </c>
      <c r="M26" s="123">
        <f t="shared" ref="M26" si="228">+L26+M25</f>
        <v>960</v>
      </c>
      <c r="N26" s="123">
        <f t="shared" ref="N26" si="229">+M26+N25</f>
        <v>960</v>
      </c>
      <c r="O26" s="123">
        <f t="shared" ref="O26" si="230">+N26+O25</f>
        <v>960</v>
      </c>
      <c r="P26" s="123">
        <f t="shared" ref="P26" si="231">+O26+P25</f>
        <v>960</v>
      </c>
      <c r="Q26" s="123">
        <f t="shared" ref="Q26" si="232">+P26+Q25</f>
        <v>960</v>
      </c>
      <c r="R26" s="123">
        <f t="shared" ref="R26" si="233">+Q26+R25</f>
        <v>960</v>
      </c>
      <c r="S26" s="123">
        <f>+R26+S25</f>
        <v>960</v>
      </c>
      <c r="T26" s="123">
        <f>+S26+T25</f>
        <v>960</v>
      </c>
      <c r="U26" s="123">
        <f t="shared" ref="U26" si="234">+T26+U25</f>
        <v>960</v>
      </c>
      <c r="V26" s="123">
        <f t="shared" ref="V26" si="235">+U26+V25</f>
        <v>960</v>
      </c>
      <c r="W26" s="123">
        <f t="shared" ref="W26" si="236">+V26+W25</f>
        <v>960</v>
      </c>
      <c r="X26" s="123">
        <f t="shared" ref="X26" si="237">+W26+X25</f>
        <v>960</v>
      </c>
      <c r="Y26" s="123">
        <f t="shared" ref="Y26" si="238">+X26+Y25</f>
        <v>960</v>
      </c>
      <c r="Z26" s="123">
        <f t="shared" ref="Z26" si="239">+Y26+Z25</f>
        <v>960</v>
      </c>
      <c r="AA26" s="123">
        <f t="shared" ref="AA26" si="240">+Z26+AA25</f>
        <v>1020</v>
      </c>
      <c r="AB26" s="123">
        <f>+AA26+AB25</f>
        <v>1020</v>
      </c>
      <c r="AC26" s="123">
        <f>+AB26+AC25</f>
        <v>1050</v>
      </c>
      <c r="AD26" s="123">
        <f>+AC26+AD25</f>
        <v>1050</v>
      </c>
      <c r="AE26" s="123">
        <f>+AD26+AE25</f>
        <v>1080</v>
      </c>
      <c r="AF26" s="123">
        <f t="shared" ref="AF26" si="241">+AE26+AF25</f>
        <v>1080</v>
      </c>
      <c r="AG26" s="123">
        <f t="shared" ref="AG26" si="242">+AF26+AG25</f>
        <v>1080</v>
      </c>
      <c r="AH26" s="123">
        <f t="shared" ref="AH26" si="243">+AG26+AH25</f>
        <v>1110</v>
      </c>
      <c r="AI26" s="123">
        <f t="shared" ref="AI26" si="244">+AH26+AI25</f>
        <v>1110</v>
      </c>
      <c r="AJ26" s="123">
        <f t="shared" ref="AJ26" si="245">+AI26+AJ25</f>
        <v>1110</v>
      </c>
      <c r="AK26" s="123">
        <f t="shared" ref="AK26" si="246">+AJ26+AK25</f>
        <v>1140</v>
      </c>
      <c r="AL26" s="123">
        <f t="shared" ref="AL26" si="247">+AK26+AL25</f>
        <v>1140</v>
      </c>
      <c r="AM26" s="123">
        <f t="shared" ref="AM26" si="248">+AL26+AM25</f>
        <v>1170</v>
      </c>
      <c r="AN26" s="123">
        <f t="shared" ref="AN26" si="249">+AM26+AN25</f>
        <v>1170</v>
      </c>
      <c r="AO26" s="123">
        <f t="shared" ref="AO26" si="250">+AN26+AO25</f>
        <v>1170</v>
      </c>
      <c r="AP26" s="123">
        <f t="shared" ref="AP26" si="251">+AG26+AP25</f>
        <v>1110</v>
      </c>
      <c r="AQ26" s="123">
        <f t="shared" ref="AQ26" si="252">+AP26+AQ25</f>
        <v>1110</v>
      </c>
      <c r="AR26" s="123">
        <f t="shared" ref="AR26" si="253">+AI26+AR25</f>
        <v>1140</v>
      </c>
      <c r="AS26" s="123">
        <f t="shared" ref="AS26" si="254">+AR26+AS25</f>
        <v>1140</v>
      </c>
      <c r="AT26" s="123">
        <f t="shared" ref="AT26" si="255">+AK26+AT25</f>
        <v>1140</v>
      </c>
      <c r="AU26" s="123">
        <f t="shared" ref="AU26" si="256">+AT26+AU25</f>
        <v>1170</v>
      </c>
      <c r="AV26" s="123">
        <f t="shared" ref="AV26" si="257">+AM26+AV25</f>
        <v>1170</v>
      </c>
      <c r="AW26" s="123">
        <f t="shared" ref="AW26" si="258">+AV26+AW25</f>
        <v>1200</v>
      </c>
      <c r="AX26" s="123">
        <f t="shared" ref="AX26" si="259">+AO26+AX25</f>
        <v>1170</v>
      </c>
      <c r="AY26" s="123">
        <f t="shared" ref="AY26" si="260">+AX26+AY25</f>
        <v>1200</v>
      </c>
      <c r="AZ26" s="123">
        <v>960</v>
      </c>
      <c r="BA26" s="123">
        <f t="shared" ref="BA26:BG26" si="261">+AZ26+BA25</f>
        <v>960</v>
      </c>
      <c r="BB26" s="123">
        <f t="shared" si="261"/>
        <v>960</v>
      </c>
      <c r="BC26" s="123">
        <f t="shared" si="261"/>
        <v>1110</v>
      </c>
      <c r="BD26" s="123">
        <f t="shared" si="261"/>
        <v>1170</v>
      </c>
      <c r="BE26" s="123">
        <f t="shared" si="261"/>
        <v>1320</v>
      </c>
      <c r="BF26" s="123">
        <f t="shared" si="261"/>
        <v>1470</v>
      </c>
      <c r="BG26" s="123">
        <f t="shared" si="261"/>
        <v>1590</v>
      </c>
      <c r="BH26" s="121"/>
      <c r="BI26" s="118"/>
      <c r="BK26" s="118"/>
    </row>
    <row r="27" spans="1:63" ht="35.25" customHeight="1" x14ac:dyDescent="0.2">
      <c r="A27" s="16">
        <f>+A25+1</f>
        <v>8</v>
      </c>
      <c r="B27" s="17" t="s">
        <v>59</v>
      </c>
      <c r="C27" s="17" t="s">
        <v>59</v>
      </c>
      <c r="D27" s="17"/>
      <c r="E27" s="124">
        <v>180</v>
      </c>
      <c r="F27" s="124">
        <v>260</v>
      </c>
      <c r="G27" s="124">
        <v>580</v>
      </c>
      <c r="H27" s="168">
        <f>640+160</f>
        <v>800</v>
      </c>
      <c r="I27" s="124">
        <v>1060</v>
      </c>
      <c r="J27" s="124">
        <v>540</v>
      </c>
      <c r="K27" s="124">
        <v>660</v>
      </c>
      <c r="L27" s="124">
        <v>480</v>
      </c>
      <c r="M27" s="124">
        <v>480</v>
      </c>
      <c r="N27" s="124">
        <v>520</v>
      </c>
      <c r="O27" s="124">
        <v>560</v>
      </c>
      <c r="P27" s="124">
        <v>480</v>
      </c>
      <c r="Q27" s="124">
        <v>580</v>
      </c>
      <c r="R27" s="124">
        <v>400</v>
      </c>
      <c r="S27" s="124">
        <v>0</v>
      </c>
      <c r="T27" s="124">
        <v>340</v>
      </c>
      <c r="U27" s="124">
        <v>320</v>
      </c>
      <c r="V27" s="124">
        <v>380</v>
      </c>
      <c r="W27" s="124">
        <v>440</v>
      </c>
      <c r="X27" s="124">
        <v>400</v>
      </c>
      <c r="Y27" s="124">
        <v>560</v>
      </c>
      <c r="Z27" s="124">
        <v>560</v>
      </c>
      <c r="AA27" s="124">
        <v>0</v>
      </c>
      <c r="AB27" s="124">
        <v>0</v>
      </c>
      <c r="AC27" s="124">
        <v>0</v>
      </c>
      <c r="AD27" s="124">
        <v>80</v>
      </c>
      <c r="AE27" s="124">
        <v>180</v>
      </c>
      <c r="AF27" s="124">
        <v>260</v>
      </c>
      <c r="AG27" s="124">
        <v>180</v>
      </c>
      <c r="AH27" s="124">
        <v>280</v>
      </c>
      <c r="AI27" s="124">
        <v>160</v>
      </c>
      <c r="AJ27" s="124">
        <v>280</v>
      </c>
      <c r="AK27" s="124">
        <v>160</v>
      </c>
      <c r="AL27" s="124">
        <v>260</v>
      </c>
      <c r="AM27" s="124">
        <v>260</v>
      </c>
      <c r="AN27" s="124">
        <v>160</v>
      </c>
      <c r="AO27" s="124">
        <v>200</v>
      </c>
      <c r="AP27" s="124">
        <v>400</v>
      </c>
      <c r="AQ27" s="124">
        <v>200</v>
      </c>
      <c r="AR27" s="124">
        <v>300</v>
      </c>
      <c r="AS27" s="124">
        <v>180</v>
      </c>
      <c r="AT27" s="124">
        <v>200</v>
      </c>
      <c r="AU27" s="124">
        <v>200</v>
      </c>
      <c r="AV27" s="124">
        <v>280</v>
      </c>
      <c r="AW27" s="124">
        <v>220</v>
      </c>
      <c r="AX27" s="124">
        <v>240</v>
      </c>
      <c r="AY27" s="124">
        <v>360</v>
      </c>
      <c r="AZ27" s="124">
        <v>4560</v>
      </c>
      <c r="BA27" s="124">
        <f>+SUM(M27:T27)</f>
        <v>3360</v>
      </c>
      <c r="BB27" s="124">
        <f>SUM(U27:Z27)</f>
        <v>2660</v>
      </c>
      <c r="BC27" s="124">
        <f>SUM(AA27:AI27)</f>
        <v>1140</v>
      </c>
      <c r="BD27" s="124">
        <f>SUM(AJ27:AO27)</f>
        <v>1320</v>
      </c>
      <c r="BE27" s="124">
        <f>SUM(AP27:AY27)</f>
        <v>2580</v>
      </c>
      <c r="BF27" s="124">
        <v>3120</v>
      </c>
      <c r="BG27" s="124">
        <v>2540</v>
      </c>
      <c r="BH27" s="116" t="s">
        <v>79</v>
      </c>
    </row>
    <row r="28" spans="1:63" ht="35.25" customHeight="1" x14ac:dyDescent="0.2">
      <c r="A28" s="119"/>
      <c r="B28" s="120"/>
      <c r="C28" s="120" t="s">
        <v>48</v>
      </c>
      <c r="D28" s="133">
        <f>E28</f>
        <v>304840</v>
      </c>
      <c r="E28" s="123">
        <v>304840</v>
      </c>
      <c r="F28" s="123">
        <f>+E28+F27</f>
        <v>305100</v>
      </c>
      <c r="G28" s="123">
        <f>+F28+G27</f>
        <v>305680</v>
      </c>
      <c r="H28" s="123">
        <f>+G28+H27</f>
        <v>306480</v>
      </c>
      <c r="I28" s="123">
        <f>+H28+I27</f>
        <v>307540</v>
      </c>
      <c r="J28" s="123">
        <f>+I28+J27</f>
        <v>308080</v>
      </c>
      <c r="K28" s="123">
        <f t="shared" ref="K28" si="262">+J28+K27</f>
        <v>308740</v>
      </c>
      <c r="L28" s="123">
        <f t="shared" ref="L28" si="263">+K28+L27</f>
        <v>309220</v>
      </c>
      <c r="M28" s="123">
        <f t="shared" ref="M28" si="264">+L28+M27</f>
        <v>309700</v>
      </c>
      <c r="N28" s="123">
        <f t="shared" ref="N28" si="265">+M28+N27</f>
        <v>310220</v>
      </c>
      <c r="O28" s="123">
        <f t="shared" ref="O28" si="266">+N28+O27</f>
        <v>310780</v>
      </c>
      <c r="P28" s="123">
        <f t="shared" ref="P28" si="267">+O28+P27</f>
        <v>311260</v>
      </c>
      <c r="Q28" s="123">
        <f t="shared" ref="Q28" si="268">+P28+Q27</f>
        <v>311840</v>
      </c>
      <c r="R28" s="123">
        <f t="shared" ref="R28" si="269">+Q28+R27</f>
        <v>312240</v>
      </c>
      <c r="S28" s="123">
        <f>+R28+S27</f>
        <v>312240</v>
      </c>
      <c r="T28" s="123">
        <f>+S28+T27</f>
        <v>312580</v>
      </c>
      <c r="U28" s="123">
        <f t="shared" ref="U28" si="270">+T28+U27</f>
        <v>312900</v>
      </c>
      <c r="V28" s="123">
        <f t="shared" ref="V28" si="271">+U28+V27</f>
        <v>313280</v>
      </c>
      <c r="W28" s="123">
        <f t="shared" ref="W28" si="272">+V28+W27</f>
        <v>313720</v>
      </c>
      <c r="X28" s="123">
        <f t="shared" ref="X28" si="273">+W28+X27</f>
        <v>314120</v>
      </c>
      <c r="Y28" s="123">
        <f t="shared" ref="Y28" si="274">+X28+Y27</f>
        <v>314680</v>
      </c>
      <c r="Z28" s="123">
        <f t="shared" ref="Z28" si="275">+Y28+Z27</f>
        <v>315240</v>
      </c>
      <c r="AA28" s="123">
        <f t="shared" ref="AA28" si="276">+Z28+AA27</f>
        <v>315240</v>
      </c>
      <c r="AB28" s="123">
        <f>+AA28+AB27</f>
        <v>315240</v>
      </c>
      <c r="AC28" s="123">
        <f>+AB28+AC27</f>
        <v>315240</v>
      </c>
      <c r="AD28" s="123">
        <f>+AC28+AD27</f>
        <v>315320</v>
      </c>
      <c r="AE28" s="123">
        <f>+AD28+AE27</f>
        <v>315500</v>
      </c>
      <c r="AF28" s="123">
        <f t="shared" ref="AF28" si="277">+AE28+AF27</f>
        <v>315760</v>
      </c>
      <c r="AG28" s="123">
        <f t="shared" ref="AG28" si="278">+AF28+AG27</f>
        <v>315940</v>
      </c>
      <c r="AH28" s="123">
        <f t="shared" ref="AH28" si="279">+AG28+AH27</f>
        <v>316220</v>
      </c>
      <c r="AI28" s="123">
        <f t="shared" ref="AI28" si="280">+AH28+AI27</f>
        <v>316380</v>
      </c>
      <c r="AJ28" s="123">
        <f t="shared" ref="AJ28" si="281">+AI28+AJ27</f>
        <v>316660</v>
      </c>
      <c r="AK28" s="123">
        <f t="shared" ref="AK28" si="282">+AJ28+AK27</f>
        <v>316820</v>
      </c>
      <c r="AL28" s="123">
        <f t="shared" ref="AL28" si="283">+AK28+AL27</f>
        <v>317080</v>
      </c>
      <c r="AM28" s="123">
        <f t="shared" ref="AM28" si="284">+AL28+AM27</f>
        <v>317340</v>
      </c>
      <c r="AN28" s="123">
        <f t="shared" ref="AN28" si="285">+AM28+AN27</f>
        <v>317500</v>
      </c>
      <c r="AO28" s="123">
        <f t="shared" ref="AO28" si="286">+AN28+AO27</f>
        <v>317700</v>
      </c>
      <c r="AP28" s="123">
        <f t="shared" ref="AP28" si="287">+AG28+AP27</f>
        <v>316340</v>
      </c>
      <c r="AQ28" s="123">
        <f t="shared" ref="AQ28" si="288">+AP28+AQ27</f>
        <v>316540</v>
      </c>
      <c r="AR28" s="123">
        <f t="shared" ref="AR28" si="289">+AI28+AR27</f>
        <v>316680</v>
      </c>
      <c r="AS28" s="123">
        <f t="shared" ref="AS28" si="290">+AR28+AS27</f>
        <v>316860</v>
      </c>
      <c r="AT28" s="123">
        <f t="shared" ref="AT28" si="291">+AK28+AT27</f>
        <v>317020</v>
      </c>
      <c r="AU28" s="123">
        <f t="shared" ref="AU28" si="292">+AT28+AU27</f>
        <v>317220</v>
      </c>
      <c r="AV28" s="123">
        <f t="shared" ref="AV28" si="293">+AM28+AV27</f>
        <v>317620</v>
      </c>
      <c r="AW28" s="123">
        <f t="shared" ref="AW28" si="294">+AV28+AW27</f>
        <v>317840</v>
      </c>
      <c r="AX28" s="123">
        <f t="shared" ref="AX28" si="295">+AO28+AX27</f>
        <v>317940</v>
      </c>
      <c r="AY28" s="123">
        <f t="shared" ref="AY28" si="296">+AX28+AY27</f>
        <v>318300</v>
      </c>
      <c r="AZ28" s="123">
        <v>352540</v>
      </c>
      <c r="BA28" s="123">
        <f t="shared" ref="BA28:BG28" si="297">+AZ28+BA27</f>
        <v>355900</v>
      </c>
      <c r="BB28" s="123">
        <f t="shared" si="297"/>
        <v>358560</v>
      </c>
      <c r="BC28" s="123">
        <f t="shared" si="297"/>
        <v>359700</v>
      </c>
      <c r="BD28" s="123">
        <f t="shared" si="297"/>
        <v>361020</v>
      </c>
      <c r="BE28" s="123">
        <f t="shared" si="297"/>
        <v>363600</v>
      </c>
      <c r="BF28" s="123">
        <f t="shared" si="297"/>
        <v>366720</v>
      </c>
      <c r="BG28" s="123">
        <f t="shared" si="297"/>
        <v>369260</v>
      </c>
      <c r="BH28" s="121"/>
      <c r="BI28" s="118"/>
      <c r="BK28" s="118"/>
    </row>
    <row r="29" spans="1:63" ht="35.25" customHeight="1" x14ac:dyDescent="0.2">
      <c r="A29" s="16">
        <f>+A27+1</f>
        <v>9</v>
      </c>
      <c r="B29" s="17" t="s">
        <v>60</v>
      </c>
      <c r="C29" s="17" t="s">
        <v>60</v>
      </c>
      <c r="D29" s="17"/>
      <c r="E29" s="168">
        <v>330</v>
      </c>
      <c r="F29" s="124">
        <v>60</v>
      </c>
      <c r="G29" s="124">
        <v>420</v>
      </c>
      <c r="H29" s="168">
        <f>120+210</f>
        <v>330</v>
      </c>
      <c r="I29" s="124">
        <v>570</v>
      </c>
      <c r="J29" s="124">
        <v>420</v>
      </c>
      <c r="K29" s="124">
        <v>210</v>
      </c>
      <c r="L29" s="124">
        <v>270</v>
      </c>
      <c r="M29" s="124">
        <v>390</v>
      </c>
      <c r="N29" s="124">
        <v>330</v>
      </c>
      <c r="O29" s="124">
        <v>300</v>
      </c>
      <c r="P29" s="168">
        <f>300+210</f>
        <v>510</v>
      </c>
      <c r="Q29" s="183">
        <v>420</v>
      </c>
      <c r="R29" s="124">
        <v>270</v>
      </c>
      <c r="S29" s="124">
        <v>630</v>
      </c>
      <c r="T29" s="124">
        <v>510</v>
      </c>
      <c r="U29" s="124">
        <v>510</v>
      </c>
      <c r="V29" s="124">
        <v>150</v>
      </c>
      <c r="W29" s="124">
        <v>390</v>
      </c>
      <c r="X29" s="168">
        <f>390+90</f>
        <v>480</v>
      </c>
      <c r="Y29" s="168">
        <f>360+150</f>
        <v>510</v>
      </c>
      <c r="Z29" s="124">
        <v>420</v>
      </c>
      <c r="AA29" s="124">
        <v>840</v>
      </c>
      <c r="AB29" s="124">
        <v>390</v>
      </c>
      <c r="AC29" s="124">
        <v>330</v>
      </c>
      <c r="AD29" s="124">
        <v>390</v>
      </c>
      <c r="AE29" s="124">
        <v>270</v>
      </c>
      <c r="AF29" s="124">
        <v>420</v>
      </c>
      <c r="AG29" s="124">
        <v>270</v>
      </c>
      <c r="AH29" s="124">
        <v>360</v>
      </c>
      <c r="AI29" s="124">
        <v>240</v>
      </c>
      <c r="AJ29" s="124">
        <v>330</v>
      </c>
      <c r="AK29" s="124">
        <v>240</v>
      </c>
      <c r="AL29" s="124">
        <v>360</v>
      </c>
      <c r="AM29" s="124">
        <v>330</v>
      </c>
      <c r="AN29" s="124">
        <v>240</v>
      </c>
      <c r="AO29" s="124">
        <v>240</v>
      </c>
      <c r="AP29" s="124">
        <v>540</v>
      </c>
      <c r="AQ29" s="124">
        <v>240</v>
      </c>
      <c r="AR29" s="124">
        <v>390</v>
      </c>
      <c r="AS29" s="124">
        <v>270</v>
      </c>
      <c r="AT29" s="124">
        <v>240</v>
      </c>
      <c r="AU29" s="124">
        <v>270</v>
      </c>
      <c r="AV29" s="124">
        <v>360</v>
      </c>
      <c r="AW29" s="124">
        <v>300</v>
      </c>
      <c r="AX29" s="124">
        <v>270</v>
      </c>
      <c r="AY29" s="124">
        <v>450</v>
      </c>
      <c r="AZ29" s="124">
        <v>2610</v>
      </c>
      <c r="BA29" s="124">
        <f>+SUM(M29:T29)</f>
        <v>3360</v>
      </c>
      <c r="BB29" s="124">
        <f>SUM(U29:Z29)</f>
        <v>2460</v>
      </c>
      <c r="BC29" s="124">
        <f>SUM(AA29:AI29)</f>
        <v>3510</v>
      </c>
      <c r="BD29" s="124">
        <f>SUM(AJ29:AO29)</f>
        <v>1740</v>
      </c>
      <c r="BE29" s="124">
        <f>SUM(AP29:AY29)</f>
        <v>3330</v>
      </c>
      <c r="BF29" s="124">
        <v>2940</v>
      </c>
      <c r="BG29" s="124">
        <v>2400</v>
      </c>
      <c r="BH29" s="116" t="s">
        <v>79</v>
      </c>
    </row>
    <row r="30" spans="1:63" ht="35.25" customHeight="1" x14ac:dyDescent="0.2">
      <c r="A30" s="119"/>
      <c r="B30" s="120"/>
      <c r="C30" s="120" t="s">
        <v>48</v>
      </c>
      <c r="D30" s="133">
        <f>E30</f>
        <v>113250</v>
      </c>
      <c r="E30" s="123">
        <v>113250</v>
      </c>
      <c r="F30" s="123">
        <f>+E30+F29</f>
        <v>113310</v>
      </c>
      <c r="G30" s="123">
        <f>+F30+G29</f>
        <v>113730</v>
      </c>
      <c r="H30" s="123">
        <f>+G30+H29</f>
        <v>114060</v>
      </c>
      <c r="I30" s="123">
        <f>+H30+I29</f>
        <v>114630</v>
      </c>
      <c r="J30" s="123">
        <f>+I30+J29</f>
        <v>115050</v>
      </c>
      <c r="K30" s="123">
        <f t="shared" ref="K30" si="298">+J30+K29</f>
        <v>115260</v>
      </c>
      <c r="L30" s="123">
        <f t="shared" ref="L30" si="299">+K30+L29</f>
        <v>115530</v>
      </c>
      <c r="M30" s="123">
        <f t="shared" ref="M30" si="300">+L30+M29</f>
        <v>115920</v>
      </c>
      <c r="N30" s="123">
        <f t="shared" ref="N30" si="301">+M30+N29</f>
        <v>116250</v>
      </c>
      <c r="O30" s="123">
        <f t="shared" ref="O30" si="302">+N30+O29</f>
        <v>116550</v>
      </c>
      <c r="P30" s="123">
        <f t="shared" ref="P30" si="303">+O30+P29</f>
        <v>117060</v>
      </c>
      <c r="Q30" s="123">
        <f t="shared" ref="Q30" si="304">+P30+Q29</f>
        <v>117480</v>
      </c>
      <c r="R30" s="123">
        <f t="shared" ref="R30" si="305">+Q30+R29</f>
        <v>117750</v>
      </c>
      <c r="S30" s="123">
        <f>+R30+S29</f>
        <v>118380</v>
      </c>
      <c r="T30" s="123">
        <f>+S30+T29</f>
        <v>118890</v>
      </c>
      <c r="U30" s="123">
        <f t="shared" ref="U30" si="306">+T30+U29</f>
        <v>119400</v>
      </c>
      <c r="V30" s="123">
        <f t="shared" ref="V30" si="307">+U30+V29</f>
        <v>119550</v>
      </c>
      <c r="W30" s="123">
        <f t="shared" ref="W30" si="308">+V30+W29</f>
        <v>119940</v>
      </c>
      <c r="X30" s="123">
        <f t="shared" ref="X30" si="309">+W30+X29</f>
        <v>120420</v>
      </c>
      <c r="Y30" s="123">
        <f t="shared" ref="Y30" si="310">+X30+Y29</f>
        <v>120930</v>
      </c>
      <c r="Z30" s="123">
        <f t="shared" ref="Z30" si="311">+Y30+Z29</f>
        <v>121350</v>
      </c>
      <c r="AA30" s="123">
        <f t="shared" ref="AA30" si="312">+Z30+AA29</f>
        <v>122190</v>
      </c>
      <c r="AB30" s="123">
        <f>+AA30+AB29</f>
        <v>122580</v>
      </c>
      <c r="AC30" s="123">
        <f>+AB30+AC29</f>
        <v>122910</v>
      </c>
      <c r="AD30" s="123">
        <f>+AC30+AD29</f>
        <v>123300</v>
      </c>
      <c r="AE30" s="123">
        <f>+AD30+AE29</f>
        <v>123570</v>
      </c>
      <c r="AF30" s="123">
        <f t="shared" ref="AF30" si="313">+AE30+AF29</f>
        <v>123990</v>
      </c>
      <c r="AG30" s="123">
        <f t="shared" ref="AG30" si="314">+AF30+AG29</f>
        <v>124260</v>
      </c>
      <c r="AH30" s="123">
        <f t="shared" ref="AH30" si="315">+AG30+AH29</f>
        <v>124620</v>
      </c>
      <c r="AI30" s="123">
        <f t="shared" ref="AI30" si="316">+AH30+AI29</f>
        <v>124860</v>
      </c>
      <c r="AJ30" s="123">
        <f t="shared" ref="AJ30" si="317">+AI30+AJ29</f>
        <v>125190</v>
      </c>
      <c r="AK30" s="123">
        <f t="shared" ref="AK30" si="318">+AJ30+AK29</f>
        <v>125430</v>
      </c>
      <c r="AL30" s="123">
        <f t="shared" ref="AL30" si="319">+AK30+AL29</f>
        <v>125790</v>
      </c>
      <c r="AM30" s="123">
        <f t="shared" ref="AM30" si="320">+AL30+AM29</f>
        <v>126120</v>
      </c>
      <c r="AN30" s="123">
        <f t="shared" ref="AN30" si="321">+AM30+AN29</f>
        <v>126360</v>
      </c>
      <c r="AO30" s="123">
        <f t="shared" ref="AO30" si="322">+AN30+AO29</f>
        <v>126600</v>
      </c>
      <c r="AP30" s="123">
        <f t="shared" ref="AP30" si="323">+AG30+AP29</f>
        <v>124800</v>
      </c>
      <c r="AQ30" s="123">
        <f t="shared" ref="AQ30" si="324">+AP30+AQ29</f>
        <v>125040</v>
      </c>
      <c r="AR30" s="123">
        <f t="shared" ref="AR30" si="325">+AI30+AR29</f>
        <v>125250</v>
      </c>
      <c r="AS30" s="123">
        <f t="shared" ref="AS30" si="326">+AR30+AS29</f>
        <v>125520</v>
      </c>
      <c r="AT30" s="123">
        <f t="shared" ref="AT30" si="327">+AK30+AT29</f>
        <v>125670</v>
      </c>
      <c r="AU30" s="123">
        <f t="shared" ref="AU30" si="328">+AT30+AU29</f>
        <v>125940</v>
      </c>
      <c r="AV30" s="123">
        <f t="shared" ref="AV30" si="329">+AM30+AV29</f>
        <v>126480</v>
      </c>
      <c r="AW30" s="123">
        <f t="shared" ref="AW30" si="330">+AV30+AW29</f>
        <v>126780</v>
      </c>
      <c r="AX30" s="123">
        <f t="shared" ref="AX30" si="331">+AO30+AX29</f>
        <v>126870</v>
      </c>
      <c r="AY30" s="123">
        <f t="shared" ref="AY30" si="332">+AX30+AY29</f>
        <v>127320</v>
      </c>
      <c r="AZ30" s="123">
        <v>140220</v>
      </c>
      <c r="BA30" s="123">
        <f t="shared" ref="BA30:BG30" si="333">+AZ30+BA29</f>
        <v>143580</v>
      </c>
      <c r="BB30" s="123">
        <f t="shared" si="333"/>
        <v>146040</v>
      </c>
      <c r="BC30" s="123">
        <f t="shared" si="333"/>
        <v>149550</v>
      </c>
      <c r="BD30" s="123">
        <f t="shared" si="333"/>
        <v>151290</v>
      </c>
      <c r="BE30" s="123">
        <f t="shared" si="333"/>
        <v>154620</v>
      </c>
      <c r="BF30" s="123">
        <f t="shared" si="333"/>
        <v>157560</v>
      </c>
      <c r="BG30" s="123">
        <f t="shared" si="333"/>
        <v>159960</v>
      </c>
      <c r="BH30" s="121"/>
      <c r="BI30" s="118"/>
      <c r="BK30" s="118"/>
    </row>
    <row r="31" spans="1:63" ht="35.25" customHeight="1" x14ac:dyDescent="0.2">
      <c r="A31" s="16">
        <f>+A29+1</f>
        <v>10</v>
      </c>
      <c r="B31" s="17" t="s">
        <v>61</v>
      </c>
      <c r="C31" s="17" t="s">
        <v>61</v>
      </c>
      <c r="D31" s="17"/>
      <c r="E31" s="168">
        <v>330</v>
      </c>
      <c r="F31" s="124">
        <v>60</v>
      </c>
      <c r="G31" s="124">
        <v>420</v>
      </c>
      <c r="H31" s="168">
        <f>120+210</f>
        <v>330</v>
      </c>
      <c r="I31" s="124">
        <v>570</v>
      </c>
      <c r="J31" s="124">
        <v>420</v>
      </c>
      <c r="K31" s="124">
        <v>240</v>
      </c>
      <c r="L31" s="124">
        <v>270</v>
      </c>
      <c r="M31" s="124">
        <v>390</v>
      </c>
      <c r="N31" s="124">
        <v>330</v>
      </c>
      <c r="O31" s="124">
        <v>300</v>
      </c>
      <c r="P31" s="168">
        <f>300+210</f>
        <v>510</v>
      </c>
      <c r="Q31" s="183">
        <v>390</v>
      </c>
      <c r="R31" s="124">
        <v>270</v>
      </c>
      <c r="S31" s="124">
        <v>630</v>
      </c>
      <c r="T31" s="124">
        <v>510</v>
      </c>
      <c r="U31" s="124">
        <v>510</v>
      </c>
      <c r="V31" s="124">
        <v>150</v>
      </c>
      <c r="W31" s="124">
        <v>390</v>
      </c>
      <c r="X31" s="168">
        <f>390+90</f>
        <v>480</v>
      </c>
      <c r="Y31" s="168">
        <f>360+150</f>
        <v>510</v>
      </c>
      <c r="Z31" s="124">
        <v>420</v>
      </c>
      <c r="AA31" s="124">
        <v>840</v>
      </c>
      <c r="AB31" s="124">
        <v>390</v>
      </c>
      <c r="AC31" s="124">
        <v>330</v>
      </c>
      <c r="AD31" s="124">
        <v>390</v>
      </c>
      <c r="AE31" s="124">
        <v>270</v>
      </c>
      <c r="AF31" s="124">
        <v>420</v>
      </c>
      <c r="AG31" s="124">
        <v>270</v>
      </c>
      <c r="AH31" s="124">
        <v>360</v>
      </c>
      <c r="AI31" s="124">
        <v>240</v>
      </c>
      <c r="AJ31" s="124">
        <v>330</v>
      </c>
      <c r="AK31" s="124">
        <v>240</v>
      </c>
      <c r="AL31" s="124">
        <v>360</v>
      </c>
      <c r="AM31" s="124">
        <v>330</v>
      </c>
      <c r="AN31" s="124">
        <v>240</v>
      </c>
      <c r="AO31" s="124">
        <v>240</v>
      </c>
      <c r="AP31" s="124">
        <v>540</v>
      </c>
      <c r="AQ31" s="124">
        <v>240</v>
      </c>
      <c r="AR31" s="124">
        <v>390</v>
      </c>
      <c r="AS31" s="124">
        <v>270</v>
      </c>
      <c r="AT31" s="124">
        <v>240</v>
      </c>
      <c r="AU31" s="124">
        <v>270</v>
      </c>
      <c r="AV31" s="124">
        <v>360</v>
      </c>
      <c r="AW31" s="124">
        <v>300</v>
      </c>
      <c r="AX31" s="124">
        <v>270</v>
      </c>
      <c r="AY31" s="124">
        <v>450</v>
      </c>
      <c r="AZ31" s="124">
        <v>2640</v>
      </c>
      <c r="BA31" s="124">
        <f>+SUM(M31:T31)</f>
        <v>3330</v>
      </c>
      <c r="BB31" s="124">
        <f>SUM(U31:Z31)</f>
        <v>2460</v>
      </c>
      <c r="BC31" s="124">
        <f>SUM(AA31:AI31)</f>
        <v>3510</v>
      </c>
      <c r="BD31" s="124">
        <f>SUM(AJ31:AO31)</f>
        <v>1740</v>
      </c>
      <c r="BE31" s="124">
        <f>SUM(AP31:AY31)</f>
        <v>3330</v>
      </c>
      <c r="BF31" s="124">
        <v>2940</v>
      </c>
      <c r="BG31" s="124">
        <v>2400</v>
      </c>
      <c r="BH31" s="116" t="s">
        <v>79</v>
      </c>
    </row>
    <row r="32" spans="1:63" ht="35.25" customHeight="1" x14ac:dyDescent="0.2">
      <c r="A32" s="119"/>
      <c r="B32" s="120"/>
      <c r="C32" s="120" t="s">
        <v>48</v>
      </c>
      <c r="D32" s="133">
        <f>E32</f>
        <v>113040</v>
      </c>
      <c r="E32" s="123">
        <v>113040</v>
      </c>
      <c r="F32" s="123">
        <f>+E32+F31</f>
        <v>113100</v>
      </c>
      <c r="G32" s="123">
        <f>+F32+G31</f>
        <v>113520</v>
      </c>
      <c r="H32" s="123">
        <f>+G32+H31</f>
        <v>113850</v>
      </c>
      <c r="I32" s="123">
        <f>+H32+I31</f>
        <v>114420</v>
      </c>
      <c r="J32" s="123">
        <f>+I32+J31</f>
        <v>114840</v>
      </c>
      <c r="K32" s="123">
        <f t="shared" ref="K32" si="334">+J32+K31</f>
        <v>115080</v>
      </c>
      <c r="L32" s="123">
        <f t="shared" ref="L32" si="335">+K32+L31</f>
        <v>115350</v>
      </c>
      <c r="M32" s="123">
        <f t="shared" ref="M32" si="336">+L32+M31</f>
        <v>115740</v>
      </c>
      <c r="N32" s="123">
        <f t="shared" ref="N32" si="337">+M32+N31</f>
        <v>116070</v>
      </c>
      <c r="O32" s="123">
        <f t="shared" ref="O32" si="338">+N32+O31</f>
        <v>116370</v>
      </c>
      <c r="P32" s="123">
        <f t="shared" ref="P32" si="339">+O32+P31</f>
        <v>116880</v>
      </c>
      <c r="Q32" s="123">
        <f t="shared" ref="Q32" si="340">+P32+Q31</f>
        <v>117270</v>
      </c>
      <c r="R32" s="123">
        <f t="shared" ref="R32" si="341">+Q32+R31</f>
        <v>117540</v>
      </c>
      <c r="S32" s="123">
        <f>+R32+S31</f>
        <v>118170</v>
      </c>
      <c r="T32" s="123">
        <f>+S32+T31</f>
        <v>118680</v>
      </c>
      <c r="U32" s="123">
        <f t="shared" ref="U32" si="342">+T32+U31</f>
        <v>119190</v>
      </c>
      <c r="V32" s="123">
        <f t="shared" ref="V32" si="343">+U32+V31</f>
        <v>119340</v>
      </c>
      <c r="W32" s="123">
        <f t="shared" ref="W32" si="344">+V32+W31</f>
        <v>119730</v>
      </c>
      <c r="X32" s="123">
        <f t="shared" ref="X32" si="345">+W32+X31</f>
        <v>120210</v>
      </c>
      <c r="Y32" s="123">
        <f t="shared" ref="Y32" si="346">+X32+Y31</f>
        <v>120720</v>
      </c>
      <c r="Z32" s="123">
        <f t="shared" ref="Z32" si="347">+Y32+Z31</f>
        <v>121140</v>
      </c>
      <c r="AA32" s="123">
        <f t="shared" ref="AA32" si="348">+Z32+AA31</f>
        <v>121980</v>
      </c>
      <c r="AB32" s="123">
        <f>+AA32+AB31</f>
        <v>122370</v>
      </c>
      <c r="AC32" s="123">
        <f>+AB32+AC31</f>
        <v>122700</v>
      </c>
      <c r="AD32" s="123">
        <f>+AC32+AD31</f>
        <v>123090</v>
      </c>
      <c r="AE32" s="123">
        <f>+AD32+AE31</f>
        <v>123360</v>
      </c>
      <c r="AF32" s="123">
        <f t="shared" ref="AF32" si="349">+AE32+AF31</f>
        <v>123780</v>
      </c>
      <c r="AG32" s="123">
        <f t="shared" ref="AG32" si="350">+AF32+AG31</f>
        <v>124050</v>
      </c>
      <c r="AH32" s="123">
        <f t="shared" ref="AH32" si="351">+AG32+AH31</f>
        <v>124410</v>
      </c>
      <c r="AI32" s="123">
        <f t="shared" ref="AI32" si="352">+AH32+AI31</f>
        <v>124650</v>
      </c>
      <c r="AJ32" s="123">
        <f t="shared" ref="AJ32" si="353">+AI32+AJ31</f>
        <v>124980</v>
      </c>
      <c r="AK32" s="123">
        <f t="shared" ref="AK32" si="354">+AJ32+AK31</f>
        <v>125220</v>
      </c>
      <c r="AL32" s="123">
        <f t="shared" ref="AL32" si="355">+AK32+AL31</f>
        <v>125580</v>
      </c>
      <c r="AM32" s="123">
        <f t="shared" ref="AM32" si="356">+AL32+AM31</f>
        <v>125910</v>
      </c>
      <c r="AN32" s="123">
        <f t="shared" ref="AN32" si="357">+AM32+AN31</f>
        <v>126150</v>
      </c>
      <c r="AO32" s="123">
        <f t="shared" ref="AO32" si="358">+AN32+AO31</f>
        <v>126390</v>
      </c>
      <c r="AP32" s="123">
        <f t="shared" ref="AP32" si="359">+AG32+AP31</f>
        <v>124590</v>
      </c>
      <c r="AQ32" s="123">
        <f t="shared" ref="AQ32" si="360">+AP32+AQ31</f>
        <v>124830</v>
      </c>
      <c r="AR32" s="123">
        <f t="shared" ref="AR32" si="361">+AI32+AR31</f>
        <v>125040</v>
      </c>
      <c r="AS32" s="123">
        <f t="shared" ref="AS32" si="362">+AR32+AS31</f>
        <v>125310</v>
      </c>
      <c r="AT32" s="123">
        <f t="shared" ref="AT32" si="363">+AK32+AT31</f>
        <v>125460</v>
      </c>
      <c r="AU32" s="123">
        <f t="shared" ref="AU32" si="364">+AT32+AU31</f>
        <v>125730</v>
      </c>
      <c r="AV32" s="123">
        <f t="shared" ref="AV32" si="365">+AM32+AV31</f>
        <v>126270</v>
      </c>
      <c r="AW32" s="123">
        <f t="shared" ref="AW32" si="366">+AV32+AW31</f>
        <v>126570</v>
      </c>
      <c r="AX32" s="123">
        <f t="shared" ref="AX32" si="367">+AO32+AX31</f>
        <v>126660</v>
      </c>
      <c r="AY32" s="123">
        <f t="shared" ref="AY32" si="368">+AX32+AY31</f>
        <v>127110</v>
      </c>
      <c r="AZ32" s="123">
        <v>140040</v>
      </c>
      <c r="BA32" s="123">
        <f t="shared" ref="BA32:BG32" si="369">+AZ32+BA31</f>
        <v>143370</v>
      </c>
      <c r="BB32" s="123">
        <f t="shared" si="369"/>
        <v>145830</v>
      </c>
      <c r="BC32" s="123">
        <f t="shared" si="369"/>
        <v>149340</v>
      </c>
      <c r="BD32" s="123">
        <f t="shared" si="369"/>
        <v>151080</v>
      </c>
      <c r="BE32" s="123">
        <f t="shared" si="369"/>
        <v>154410</v>
      </c>
      <c r="BF32" s="123">
        <f t="shared" si="369"/>
        <v>157350</v>
      </c>
      <c r="BG32" s="123">
        <f t="shared" si="369"/>
        <v>159750</v>
      </c>
      <c r="BH32" s="121"/>
      <c r="BI32" s="118"/>
      <c r="BK32" s="118"/>
    </row>
    <row r="33" spans="1:63" ht="35.25" customHeight="1" x14ac:dyDescent="0.2">
      <c r="A33" s="16">
        <f>+A31+1</f>
        <v>11</v>
      </c>
      <c r="B33" s="17" t="s">
        <v>64</v>
      </c>
      <c r="C33" s="17" t="s">
        <v>64</v>
      </c>
      <c r="D33" s="17"/>
      <c r="E33" s="124">
        <v>0</v>
      </c>
      <c r="F33" s="124">
        <v>0</v>
      </c>
      <c r="G33" s="124">
        <v>0</v>
      </c>
      <c r="H33" s="124">
        <v>0</v>
      </c>
      <c r="I33" s="124">
        <v>0</v>
      </c>
      <c r="J33" s="124">
        <v>0</v>
      </c>
      <c r="K33" s="124">
        <v>0</v>
      </c>
      <c r="L33" s="124">
        <v>0</v>
      </c>
      <c r="M33" s="124">
        <v>0</v>
      </c>
      <c r="N33" s="124">
        <v>0</v>
      </c>
      <c r="O33" s="124">
        <v>0</v>
      </c>
      <c r="P33" s="124">
        <v>0</v>
      </c>
      <c r="Q33" s="124">
        <v>0</v>
      </c>
      <c r="R33" s="124">
        <v>0</v>
      </c>
      <c r="S33" s="124">
        <v>0</v>
      </c>
      <c r="T33" s="124">
        <v>0</v>
      </c>
      <c r="U33" s="124">
        <v>0</v>
      </c>
      <c r="V33" s="124">
        <v>0</v>
      </c>
      <c r="W33" s="124">
        <v>0</v>
      </c>
      <c r="X33" s="124">
        <v>0</v>
      </c>
      <c r="Y33" s="124">
        <v>0</v>
      </c>
      <c r="Z33" s="124">
        <v>0</v>
      </c>
      <c r="AA33" s="124">
        <v>0</v>
      </c>
      <c r="AB33" s="124">
        <v>0</v>
      </c>
      <c r="AC33" s="124">
        <v>0</v>
      </c>
      <c r="AD33" s="124">
        <v>0</v>
      </c>
      <c r="AE33" s="124">
        <v>0</v>
      </c>
      <c r="AF33" s="124">
        <v>0</v>
      </c>
      <c r="AG33" s="124">
        <v>0</v>
      </c>
      <c r="AH33" s="124">
        <v>0</v>
      </c>
      <c r="AI33" s="124">
        <v>0</v>
      </c>
      <c r="AJ33" s="124">
        <v>0</v>
      </c>
      <c r="AK33" s="124">
        <v>0</v>
      </c>
      <c r="AL33" s="124">
        <v>0</v>
      </c>
      <c r="AM33" s="124">
        <v>0</v>
      </c>
      <c r="AN33" s="124">
        <v>0</v>
      </c>
      <c r="AO33" s="124">
        <v>0</v>
      </c>
      <c r="AP33" s="124">
        <v>0</v>
      </c>
      <c r="AQ33" s="124">
        <v>0</v>
      </c>
      <c r="AR33" s="124">
        <v>0</v>
      </c>
      <c r="AS33" s="124">
        <v>0</v>
      </c>
      <c r="AT33" s="124">
        <v>0</v>
      </c>
      <c r="AU33" s="124">
        <v>0</v>
      </c>
      <c r="AV33" s="124">
        <v>0</v>
      </c>
      <c r="AW33" s="124">
        <v>0</v>
      </c>
      <c r="AX33" s="124">
        <v>0</v>
      </c>
      <c r="AY33" s="124">
        <v>0</v>
      </c>
      <c r="AZ33" s="124">
        <v>0</v>
      </c>
      <c r="BA33" s="124">
        <f>+SUM(M33:T33)</f>
        <v>0</v>
      </c>
      <c r="BB33" s="124">
        <f>SUM(U33:Z33)</f>
        <v>0</v>
      </c>
      <c r="BC33" s="124">
        <f>SUM(AA33:AI33)</f>
        <v>0</v>
      </c>
      <c r="BD33" s="124">
        <f>SUM(AJ33:AO33)</f>
        <v>0</v>
      </c>
      <c r="BE33" s="124">
        <f>SUM(AP33:AY33)</f>
        <v>0</v>
      </c>
      <c r="BF33" s="124">
        <v>2440</v>
      </c>
      <c r="BG33" s="124">
        <v>2020</v>
      </c>
      <c r="BH33" s="116" t="s">
        <v>79</v>
      </c>
    </row>
    <row r="34" spans="1:63" ht="35.25" customHeight="1" x14ac:dyDescent="0.2">
      <c r="A34" s="119"/>
      <c r="B34" s="120"/>
      <c r="C34" s="120" t="s">
        <v>48</v>
      </c>
      <c r="D34" s="133">
        <f>E34</f>
        <v>43430</v>
      </c>
      <c r="E34" s="123">
        <v>43430</v>
      </c>
      <c r="F34" s="123">
        <f>+E34+F33</f>
        <v>43430</v>
      </c>
      <c r="G34" s="123">
        <f>+F34+G33</f>
        <v>43430</v>
      </c>
      <c r="H34" s="123">
        <f>+G34+H33</f>
        <v>43430</v>
      </c>
      <c r="I34" s="123">
        <f>+H34+I33</f>
        <v>43430</v>
      </c>
      <c r="J34" s="123">
        <f>+I34+J33</f>
        <v>43430</v>
      </c>
      <c r="K34" s="123">
        <f t="shared" ref="K34" si="370">+J34+K33</f>
        <v>43430</v>
      </c>
      <c r="L34" s="123">
        <f t="shared" ref="L34" si="371">+K34+L33</f>
        <v>43430</v>
      </c>
      <c r="M34" s="123">
        <f t="shared" ref="M34" si="372">+L34+M33</f>
        <v>43430</v>
      </c>
      <c r="N34" s="123">
        <f t="shared" ref="N34" si="373">+M34+N33</f>
        <v>43430</v>
      </c>
      <c r="O34" s="123">
        <f t="shared" ref="O34" si="374">+N34+O33</f>
        <v>43430</v>
      </c>
      <c r="P34" s="123">
        <f t="shared" ref="P34" si="375">+O34+P33</f>
        <v>43430</v>
      </c>
      <c r="Q34" s="123">
        <f t="shared" ref="Q34" si="376">+P34+Q33</f>
        <v>43430</v>
      </c>
      <c r="R34" s="123">
        <f t="shared" ref="R34" si="377">+Q34+R33</f>
        <v>43430</v>
      </c>
      <c r="S34" s="123">
        <f>+R34+S33</f>
        <v>43430</v>
      </c>
      <c r="T34" s="123">
        <f>+S34+T33</f>
        <v>43430</v>
      </c>
      <c r="U34" s="123">
        <f t="shared" ref="U34" si="378">+T34+U33</f>
        <v>43430</v>
      </c>
      <c r="V34" s="123">
        <f t="shared" ref="V34" si="379">+U34+V33</f>
        <v>43430</v>
      </c>
      <c r="W34" s="123">
        <f t="shared" ref="W34" si="380">+V34+W33</f>
        <v>43430</v>
      </c>
      <c r="X34" s="123">
        <f t="shared" ref="X34" si="381">+W34+X33</f>
        <v>43430</v>
      </c>
      <c r="Y34" s="123">
        <f t="shared" ref="Y34" si="382">+X34+Y33</f>
        <v>43430</v>
      </c>
      <c r="Z34" s="123">
        <f t="shared" ref="Z34" si="383">+Y34+Z33</f>
        <v>43430</v>
      </c>
      <c r="AA34" s="123">
        <f t="shared" ref="AA34" si="384">+Z34+AA33</f>
        <v>43430</v>
      </c>
      <c r="AB34" s="123">
        <f>+AA34+AB33</f>
        <v>43430</v>
      </c>
      <c r="AC34" s="123">
        <f>+AB34+AC33</f>
        <v>43430</v>
      </c>
      <c r="AD34" s="123">
        <f>+AC34+AD33</f>
        <v>43430</v>
      </c>
      <c r="AE34" s="123">
        <f>+AD34+AE33</f>
        <v>43430</v>
      </c>
      <c r="AF34" s="123">
        <f t="shared" ref="AF34" si="385">+AE34+AF33</f>
        <v>43430</v>
      </c>
      <c r="AG34" s="123">
        <f t="shared" ref="AG34" si="386">+AF34+AG33</f>
        <v>43430</v>
      </c>
      <c r="AH34" s="123">
        <f t="shared" ref="AH34" si="387">+AG34+AH33</f>
        <v>43430</v>
      </c>
      <c r="AI34" s="123">
        <f t="shared" ref="AI34" si="388">+AH34+AI33</f>
        <v>43430</v>
      </c>
      <c r="AJ34" s="123">
        <f t="shared" ref="AJ34" si="389">+AI34+AJ33</f>
        <v>43430</v>
      </c>
      <c r="AK34" s="123">
        <f t="shared" ref="AK34" si="390">+AJ34+AK33</f>
        <v>43430</v>
      </c>
      <c r="AL34" s="123">
        <f t="shared" ref="AL34" si="391">+AK34+AL33</f>
        <v>43430</v>
      </c>
      <c r="AM34" s="123">
        <f t="shared" ref="AM34" si="392">+AL34+AM33</f>
        <v>43430</v>
      </c>
      <c r="AN34" s="123">
        <f t="shared" ref="AN34" si="393">+AM34+AN33</f>
        <v>43430</v>
      </c>
      <c r="AO34" s="123">
        <f t="shared" ref="AO34" si="394">+AN34+AO33</f>
        <v>43430</v>
      </c>
      <c r="AP34" s="123">
        <f t="shared" ref="AP34" si="395">+AG34+AP33</f>
        <v>43430</v>
      </c>
      <c r="AQ34" s="123">
        <f t="shared" ref="AQ34" si="396">+AP34+AQ33</f>
        <v>43430</v>
      </c>
      <c r="AR34" s="123">
        <f t="shared" ref="AR34" si="397">+AI34+AR33</f>
        <v>43430</v>
      </c>
      <c r="AS34" s="123">
        <f t="shared" ref="AS34" si="398">+AR34+AS33</f>
        <v>43430</v>
      </c>
      <c r="AT34" s="123">
        <f t="shared" ref="AT34" si="399">+AK34+AT33</f>
        <v>43430</v>
      </c>
      <c r="AU34" s="123">
        <f t="shared" ref="AU34" si="400">+AT34+AU33</f>
        <v>43430</v>
      </c>
      <c r="AV34" s="123">
        <f t="shared" ref="AV34" si="401">+AM34+AV33</f>
        <v>43430</v>
      </c>
      <c r="AW34" s="123">
        <f t="shared" ref="AW34" si="402">+AV34+AW33</f>
        <v>43430</v>
      </c>
      <c r="AX34" s="123">
        <f t="shared" ref="AX34" si="403">+AO34+AX33</f>
        <v>43430</v>
      </c>
      <c r="AY34" s="123">
        <f t="shared" ref="AY34" si="404">+AX34+AY33</f>
        <v>43430</v>
      </c>
      <c r="AZ34" s="123">
        <v>45590</v>
      </c>
      <c r="BA34" s="123">
        <f t="shared" ref="BA34:BG34" si="405">+AZ34+BA33</f>
        <v>45590</v>
      </c>
      <c r="BB34" s="123">
        <f t="shared" si="405"/>
        <v>45590</v>
      </c>
      <c r="BC34" s="123">
        <f t="shared" si="405"/>
        <v>45590</v>
      </c>
      <c r="BD34" s="123">
        <f t="shared" si="405"/>
        <v>45590</v>
      </c>
      <c r="BE34" s="123">
        <f t="shared" si="405"/>
        <v>45590</v>
      </c>
      <c r="BF34" s="123">
        <f t="shared" si="405"/>
        <v>48030</v>
      </c>
      <c r="BG34" s="123">
        <f t="shared" si="405"/>
        <v>50050</v>
      </c>
      <c r="BH34" s="121"/>
      <c r="BI34" s="118"/>
      <c r="BK34" s="118"/>
    </row>
    <row r="35" spans="1:63" ht="35.25" customHeight="1" x14ac:dyDescent="0.2">
      <c r="A35" s="16">
        <f>+A33+1</f>
        <v>12</v>
      </c>
      <c r="B35" s="17" t="s">
        <v>113</v>
      </c>
      <c r="C35" s="17" t="s">
        <v>113</v>
      </c>
      <c r="D35" s="17"/>
      <c r="E35" s="168">
        <v>450</v>
      </c>
      <c r="F35" s="124">
        <v>240</v>
      </c>
      <c r="G35" s="124">
        <v>600</v>
      </c>
      <c r="H35" s="124">
        <v>240</v>
      </c>
      <c r="I35" s="124">
        <v>240</v>
      </c>
      <c r="J35" s="124">
        <v>660</v>
      </c>
      <c r="K35" s="124">
        <v>270</v>
      </c>
      <c r="L35" s="124">
        <v>450</v>
      </c>
      <c r="M35" s="124">
        <v>840</v>
      </c>
      <c r="N35" s="124">
        <v>510</v>
      </c>
      <c r="O35" s="124">
        <v>30</v>
      </c>
      <c r="P35" s="168">
        <f>420+750</f>
        <v>1170</v>
      </c>
      <c r="Q35" s="124">
        <v>390</v>
      </c>
      <c r="R35" s="124">
        <v>420</v>
      </c>
      <c r="S35" s="183">
        <v>1320</v>
      </c>
      <c r="T35" s="124">
        <v>1170</v>
      </c>
      <c r="U35" s="124">
        <v>0</v>
      </c>
      <c r="V35" s="124">
        <v>360</v>
      </c>
      <c r="W35" s="124">
        <v>540</v>
      </c>
      <c r="X35" s="124">
        <v>540</v>
      </c>
      <c r="Y35" s="124">
        <v>780</v>
      </c>
      <c r="Z35" s="124">
        <v>600</v>
      </c>
      <c r="AA35" s="124">
        <v>810</v>
      </c>
      <c r="AB35" s="124">
        <v>420</v>
      </c>
      <c r="AC35" s="124">
        <v>450</v>
      </c>
      <c r="AD35" s="124">
        <v>510</v>
      </c>
      <c r="AE35" s="124">
        <v>330</v>
      </c>
      <c r="AF35" s="124">
        <v>540</v>
      </c>
      <c r="AG35" s="124">
        <v>360</v>
      </c>
      <c r="AH35" s="124">
        <v>570</v>
      </c>
      <c r="AI35" s="124">
        <v>390</v>
      </c>
      <c r="AJ35" s="124">
        <v>600</v>
      </c>
      <c r="AK35" s="124">
        <v>390</v>
      </c>
      <c r="AL35" s="124">
        <v>570</v>
      </c>
      <c r="AM35" s="124">
        <v>570</v>
      </c>
      <c r="AN35" s="124">
        <v>390</v>
      </c>
      <c r="AO35" s="124">
        <v>420</v>
      </c>
      <c r="AP35" s="124">
        <v>840</v>
      </c>
      <c r="AQ35" s="124">
        <v>390</v>
      </c>
      <c r="AR35" s="124">
        <v>630</v>
      </c>
      <c r="AS35" s="124">
        <v>420</v>
      </c>
      <c r="AT35" s="124">
        <v>390</v>
      </c>
      <c r="AU35" s="124">
        <v>420</v>
      </c>
      <c r="AV35" s="124">
        <v>600</v>
      </c>
      <c r="AW35" s="124">
        <v>360</v>
      </c>
      <c r="AX35" s="124">
        <v>360</v>
      </c>
      <c r="AY35" s="124">
        <v>510</v>
      </c>
      <c r="AZ35" s="124">
        <v>3150</v>
      </c>
      <c r="BA35" s="124">
        <f>+SUM(M35:T35)</f>
        <v>5850</v>
      </c>
      <c r="BB35" s="124">
        <f>SUM(U35:Z35)</f>
        <v>2820</v>
      </c>
      <c r="BC35" s="124">
        <f>SUM(AA35:AI35)</f>
        <v>4380</v>
      </c>
      <c r="BD35" s="124">
        <f>SUM(AJ35:AO35)</f>
        <v>2940</v>
      </c>
      <c r="BE35" s="124">
        <f>SUM(AP35:AY35)</f>
        <v>4920</v>
      </c>
      <c r="BF35" s="124">
        <v>4290</v>
      </c>
      <c r="BG35" s="124">
        <v>3570</v>
      </c>
      <c r="BH35" s="116" t="s">
        <v>80</v>
      </c>
    </row>
    <row r="36" spans="1:63" ht="35.25" customHeight="1" x14ac:dyDescent="0.2">
      <c r="A36" s="119"/>
      <c r="B36" s="120"/>
      <c r="C36" s="120" t="s">
        <v>48</v>
      </c>
      <c r="D36" s="133">
        <f>E36</f>
        <v>137940</v>
      </c>
      <c r="E36" s="123">
        <v>137940</v>
      </c>
      <c r="F36" s="123">
        <f>+E36+F35</f>
        <v>138180</v>
      </c>
      <c r="G36" s="123">
        <f>+F36+G35</f>
        <v>138780</v>
      </c>
      <c r="H36" s="123">
        <f>+G36+H35</f>
        <v>139020</v>
      </c>
      <c r="I36" s="123">
        <f>+H36+I35</f>
        <v>139260</v>
      </c>
      <c r="J36" s="123">
        <f>+I36+J35</f>
        <v>139920</v>
      </c>
      <c r="K36" s="123">
        <f t="shared" ref="K36" si="406">+J36+K35</f>
        <v>140190</v>
      </c>
      <c r="L36" s="123">
        <f t="shared" ref="L36" si="407">+K36+L35</f>
        <v>140640</v>
      </c>
      <c r="M36" s="123">
        <f t="shared" ref="M36" si="408">+L36+M35</f>
        <v>141480</v>
      </c>
      <c r="N36" s="123">
        <f t="shared" ref="N36" si="409">+M36+N35</f>
        <v>141990</v>
      </c>
      <c r="O36" s="123">
        <f t="shared" ref="O36" si="410">+N36+O35</f>
        <v>142020</v>
      </c>
      <c r="P36" s="123">
        <f t="shared" ref="P36" si="411">+O36+P35</f>
        <v>143190</v>
      </c>
      <c r="Q36" s="123">
        <f t="shared" ref="Q36" si="412">+P36+Q35</f>
        <v>143580</v>
      </c>
      <c r="R36" s="123">
        <f t="shared" ref="R36" si="413">+Q36+R35</f>
        <v>144000</v>
      </c>
      <c r="S36" s="123">
        <f>+R36+S35</f>
        <v>145320</v>
      </c>
      <c r="T36" s="123">
        <f>+S36+T35</f>
        <v>146490</v>
      </c>
      <c r="U36" s="123">
        <f t="shared" ref="U36" si="414">+T36+U35</f>
        <v>146490</v>
      </c>
      <c r="V36" s="123">
        <f t="shared" ref="V36" si="415">+U36+V35</f>
        <v>146850</v>
      </c>
      <c r="W36" s="123">
        <f t="shared" ref="W36" si="416">+V36+W35</f>
        <v>147390</v>
      </c>
      <c r="X36" s="123">
        <f t="shared" ref="X36" si="417">+W36+X35</f>
        <v>147930</v>
      </c>
      <c r="Y36" s="123">
        <f t="shared" ref="Y36" si="418">+X36+Y35</f>
        <v>148710</v>
      </c>
      <c r="Z36" s="123">
        <f t="shared" ref="Z36" si="419">+Y36+Z35</f>
        <v>149310</v>
      </c>
      <c r="AA36" s="123">
        <f t="shared" ref="AA36" si="420">+Z36+AA35</f>
        <v>150120</v>
      </c>
      <c r="AB36" s="123">
        <f>+AA36+AB35</f>
        <v>150540</v>
      </c>
      <c r="AC36" s="123">
        <f>+AB36+AC35</f>
        <v>150990</v>
      </c>
      <c r="AD36" s="123">
        <f>+AC36+AD35</f>
        <v>151500</v>
      </c>
      <c r="AE36" s="123">
        <f>+AD36+AE35</f>
        <v>151830</v>
      </c>
      <c r="AF36" s="123">
        <f t="shared" ref="AF36" si="421">+AE36+AF35</f>
        <v>152370</v>
      </c>
      <c r="AG36" s="123">
        <f t="shared" ref="AG36" si="422">+AF36+AG35</f>
        <v>152730</v>
      </c>
      <c r="AH36" s="123">
        <f t="shared" ref="AH36" si="423">+AG36+AH35</f>
        <v>153300</v>
      </c>
      <c r="AI36" s="123">
        <f t="shared" ref="AI36" si="424">+AH36+AI35</f>
        <v>153690</v>
      </c>
      <c r="AJ36" s="123">
        <f t="shared" ref="AJ36" si="425">+AI36+AJ35</f>
        <v>154290</v>
      </c>
      <c r="AK36" s="123">
        <f t="shared" ref="AK36" si="426">+AJ36+AK35</f>
        <v>154680</v>
      </c>
      <c r="AL36" s="123">
        <f t="shared" ref="AL36" si="427">+AK36+AL35</f>
        <v>155250</v>
      </c>
      <c r="AM36" s="123">
        <f t="shared" ref="AM36" si="428">+AL36+AM35</f>
        <v>155820</v>
      </c>
      <c r="AN36" s="123">
        <f t="shared" ref="AN36" si="429">+AM36+AN35</f>
        <v>156210</v>
      </c>
      <c r="AO36" s="123">
        <f t="shared" ref="AO36" si="430">+AN36+AO35</f>
        <v>156630</v>
      </c>
      <c r="AP36" s="123">
        <f t="shared" ref="AP36" si="431">+AG36+AP35</f>
        <v>153570</v>
      </c>
      <c r="AQ36" s="123">
        <f t="shared" ref="AQ36" si="432">+AP36+AQ35</f>
        <v>153960</v>
      </c>
      <c r="AR36" s="123">
        <f t="shared" ref="AR36" si="433">+AI36+AR35</f>
        <v>154320</v>
      </c>
      <c r="AS36" s="123">
        <f t="shared" ref="AS36" si="434">+AR36+AS35</f>
        <v>154740</v>
      </c>
      <c r="AT36" s="123">
        <f t="shared" ref="AT36" si="435">+AK36+AT35</f>
        <v>155070</v>
      </c>
      <c r="AU36" s="123">
        <f t="shared" ref="AU36" si="436">+AT36+AU35</f>
        <v>155490</v>
      </c>
      <c r="AV36" s="123">
        <f t="shared" ref="AV36" si="437">+AM36+AV35</f>
        <v>156420</v>
      </c>
      <c r="AW36" s="123">
        <f t="shared" ref="AW36" si="438">+AV36+AW35</f>
        <v>156780</v>
      </c>
      <c r="AX36" s="123">
        <f t="shared" ref="AX36" si="439">+AO36+AX35</f>
        <v>156990</v>
      </c>
      <c r="AY36" s="123">
        <f t="shared" ref="AY36" si="440">+AX36+AY35</f>
        <v>157500</v>
      </c>
      <c r="AZ36" s="123">
        <v>177300</v>
      </c>
      <c r="BA36" s="123">
        <f t="shared" ref="BA36:BG36" si="441">+AZ36+BA35</f>
        <v>183150</v>
      </c>
      <c r="BB36" s="123">
        <f t="shared" si="441"/>
        <v>185970</v>
      </c>
      <c r="BC36" s="123">
        <f t="shared" si="441"/>
        <v>190350</v>
      </c>
      <c r="BD36" s="123">
        <f t="shared" si="441"/>
        <v>193290</v>
      </c>
      <c r="BE36" s="123">
        <f t="shared" si="441"/>
        <v>198210</v>
      </c>
      <c r="BF36" s="123">
        <f t="shared" si="441"/>
        <v>202500</v>
      </c>
      <c r="BG36" s="123">
        <f t="shared" si="441"/>
        <v>206070</v>
      </c>
      <c r="BH36" s="121"/>
      <c r="BI36" s="118"/>
      <c r="BK36" s="118"/>
    </row>
    <row r="37" spans="1:63" ht="35.25" customHeight="1" x14ac:dyDescent="0.2">
      <c r="A37" s="16">
        <f>+A35+1</f>
        <v>13</v>
      </c>
      <c r="B37" s="17" t="s">
        <v>114</v>
      </c>
      <c r="C37" s="17" t="s">
        <v>114</v>
      </c>
      <c r="D37" s="17"/>
      <c r="E37" s="124">
        <v>220</v>
      </c>
      <c r="F37" s="124">
        <v>100</v>
      </c>
      <c r="G37" s="124">
        <v>40</v>
      </c>
      <c r="H37" s="124">
        <v>220</v>
      </c>
      <c r="I37" s="124">
        <v>180</v>
      </c>
      <c r="J37" s="124">
        <v>120</v>
      </c>
      <c r="K37" s="124">
        <v>160</v>
      </c>
      <c r="L37" s="124">
        <v>140</v>
      </c>
      <c r="M37" s="124">
        <v>200</v>
      </c>
      <c r="N37" s="124">
        <v>140</v>
      </c>
      <c r="O37" s="124">
        <v>0</v>
      </c>
      <c r="P37" s="168">
        <f>120+140</f>
        <v>260</v>
      </c>
      <c r="Q37" s="124">
        <v>100</v>
      </c>
      <c r="R37" s="124">
        <v>120</v>
      </c>
      <c r="S37" s="124">
        <v>360</v>
      </c>
      <c r="T37" s="124">
        <v>200</v>
      </c>
      <c r="U37" s="124">
        <v>60</v>
      </c>
      <c r="V37" s="124">
        <v>140</v>
      </c>
      <c r="W37" s="124">
        <v>160</v>
      </c>
      <c r="X37" s="168">
        <f>160+300</f>
        <v>460</v>
      </c>
      <c r="Y37" s="124">
        <v>120</v>
      </c>
      <c r="Z37" s="124">
        <v>200</v>
      </c>
      <c r="AA37" s="124">
        <v>280</v>
      </c>
      <c r="AB37" s="124">
        <v>120</v>
      </c>
      <c r="AC37" s="124">
        <v>180</v>
      </c>
      <c r="AD37" s="124">
        <v>160</v>
      </c>
      <c r="AE37" s="124">
        <v>120</v>
      </c>
      <c r="AF37" s="124">
        <v>180</v>
      </c>
      <c r="AG37" s="124">
        <v>120</v>
      </c>
      <c r="AH37" s="124">
        <v>240</v>
      </c>
      <c r="AI37" s="124">
        <v>140</v>
      </c>
      <c r="AJ37" s="124">
        <v>220</v>
      </c>
      <c r="AK37" s="124">
        <v>160</v>
      </c>
      <c r="AL37" s="124">
        <v>220</v>
      </c>
      <c r="AM37" s="124">
        <v>220</v>
      </c>
      <c r="AN37" s="124">
        <v>140</v>
      </c>
      <c r="AO37" s="124">
        <v>140</v>
      </c>
      <c r="AP37" s="124">
        <v>320</v>
      </c>
      <c r="AQ37" s="124">
        <v>140</v>
      </c>
      <c r="AR37" s="124">
        <v>220</v>
      </c>
      <c r="AS37" s="124">
        <v>140</v>
      </c>
      <c r="AT37" s="124">
        <v>160</v>
      </c>
      <c r="AU37" s="124">
        <v>140</v>
      </c>
      <c r="AV37" s="124">
        <v>220</v>
      </c>
      <c r="AW37" s="124">
        <v>140</v>
      </c>
      <c r="AX37" s="124">
        <v>160</v>
      </c>
      <c r="AY37" s="124">
        <v>220</v>
      </c>
      <c r="AZ37" s="124">
        <v>1180</v>
      </c>
      <c r="BA37" s="124">
        <f>+SUM(M37:T37)</f>
        <v>1380</v>
      </c>
      <c r="BB37" s="124">
        <f>SUM(U37:Z37)</f>
        <v>1140</v>
      </c>
      <c r="BC37" s="124">
        <f>SUM(AA37:AI37)</f>
        <v>1540</v>
      </c>
      <c r="BD37" s="124">
        <f>SUM(AJ37:AO37)</f>
        <v>1100</v>
      </c>
      <c r="BE37" s="124">
        <f>SUM(AP37:AY37)</f>
        <v>1860</v>
      </c>
      <c r="BF37" s="124">
        <v>1620</v>
      </c>
      <c r="BG37" s="124">
        <v>1320</v>
      </c>
      <c r="BH37" s="116" t="s">
        <v>80</v>
      </c>
    </row>
    <row r="38" spans="1:63" ht="35.25" customHeight="1" x14ac:dyDescent="0.2">
      <c r="A38" s="119"/>
      <c r="B38" s="120"/>
      <c r="C38" s="120" t="s">
        <v>48</v>
      </c>
      <c r="D38" s="133">
        <f>E38</f>
        <v>48970</v>
      </c>
      <c r="E38" s="123">
        <v>48970</v>
      </c>
      <c r="F38" s="123">
        <f>+E38+F37</f>
        <v>49070</v>
      </c>
      <c r="G38" s="123">
        <f>+F38+G37</f>
        <v>49110</v>
      </c>
      <c r="H38" s="123">
        <f>+G38+H37</f>
        <v>49330</v>
      </c>
      <c r="I38" s="123">
        <f>+H38+I37</f>
        <v>49510</v>
      </c>
      <c r="J38" s="123">
        <f>+I38+J37</f>
        <v>49630</v>
      </c>
      <c r="K38" s="123">
        <f t="shared" ref="K38" si="442">+J38+K37</f>
        <v>49790</v>
      </c>
      <c r="L38" s="123">
        <f t="shared" ref="L38" si="443">+K38+L37</f>
        <v>49930</v>
      </c>
      <c r="M38" s="123">
        <f t="shared" ref="M38" si="444">+L38+M37</f>
        <v>50130</v>
      </c>
      <c r="N38" s="123">
        <f t="shared" ref="N38" si="445">+M38+N37</f>
        <v>50270</v>
      </c>
      <c r="O38" s="123">
        <f t="shared" ref="O38" si="446">+N38+O37</f>
        <v>50270</v>
      </c>
      <c r="P38" s="123">
        <f t="shared" ref="P38" si="447">+O38+P37</f>
        <v>50530</v>
      </c>
      <c r="Q38" s="123">
        <f t="shared" ref="Q38" si="448">+P38+Q37</f>
        <v>50630</v>
      </c>
      <c r="R38" s="123">
        <f t="shared" ref="R38" si="449">+Q38+R37</f>
        <v>50750</v>
      </c>
      <c r="S38" s="123">
        <f>+R38+S37</f>
        <v>51110</v>
      </c>
      <c r="T38" s="123">
        <f>+S38+T37</f>
        <v>51310</v>
      </c>
      <c r="U38" s="123">
        <f t="shared" ref="U38" si="450">+T38+U37</f>
        <v>51370</v>
      </c>
      <c r="V38" s="123">
        <f t="shared" ref="V38" si="451">+U38+V37</f>
        <v>51510</v>
      </c>
      <c r="W38" s="123">
        <f t="shared" ref="W38" si="452">+V38+W37</f>
        <v>51670</v>
      </c>
      <c r="X38" s="123">
        <f t="shared" ref="X38" si="453">+W38+X37</f>
        <v>52130</v>
      </c>
      <c r="Y38" s="123">
        <f t="shared" ref="Y38" si="454">+X38+Y37</f>
        <v>52250</v>
      </c>
      <c r="Z38" s="123">
        <f t="shared" ref="Z38" si="455">+Y38+Z37</f>
        <v>52450</v>
      </c>
      <c r="AA38" s="123">
        <f t="shared" ref="AA38" si="456">+Z38+AA37</f>
        <v>52730</v>
      </c>
      <c r="AB38" s="123">
        <f>+AA38+AB37</f>
        <v>52850</v>
      </c>
      <c r="AC38" s="123">
        <f>+AB38+AC37</f>
        <v>53030</v>
      </c>
      <c r="AD38" s="123">
        <f>+AC38+AD37</f>
        <v>53190</v>
      </c>
      <c r="AE38" s="123">
        <f>+AD38+AE37</f>
        <v>53310</v>
      </c>
      <c r="AF38" s="123">
        <f t="shared" ref="AF38" si="457">+AE38+AF37</f>
        <v>53490</v>
      </c>
      <c r="AG38" s="123">
        <f t="shared" ref="AG38" si="458">+AF38+AG37</f>
        <v>53610</v>
      </c>
      <c r="AH38" s="123">
        <f t="shared" ref="AH38" si="459">+AG38+AH37</f>
        <v>53850</v>
      </c>
      <c r="AI38" s="123">
        <f t="shared" ref="AI38" si="460">+AH38+AI37</f>
        <v>53990</v>
      </c>
      <c r="AJ38" s="123">
        <f t="shared" ref="AJ38" si="461">+AI38+AJ37</f>
        <v>54210</v>
      </c>
      <c r="AK38" s="123">
        <f t="shared" ref="AK38" si="462">+AJ38+AK37</f>
        <v>54370</v>
      </c>
      <c r="AL38" s="123">
        <f t="shared" ref="AL38" si="463">+AK38+AL37</f>
        <v>54590</v>
      </c>
      <c r="AM38" s="123">
        <f t="shared" ref="AM38" si="464">+AL38+AM37</f>
        <v>54810</v>
      </c>
      <c r="AN38" s="123">
        <f t="shared" ref="AN38" si="465">+AM38+AN37</f>
        <v>54950</v>
      </c>
      <c r="AO38" s="123">
        <f t="shared" ref="AO38" si="466">+AN38+AO37</f>
        <v>55090</v>
      </c>
      <c r="AP38" s="123">
        <f t="shared" ref="AP38" si="467">+AG38+AP37</f>
        <v>53930</v>
      </c>
      <c r="AQ38" s="123">
        <f t="shared" ref="AQ38" si="468">+AP38+AQ37</f>
        <v>54070</v>
      </c>
      <c r="AR38" s="123">
        <f t="shared" ref="AR38" si="469">+AI38+AR37</f>
        <v>54210</v>
      </c>
      <c r="AS38" s="123">
        <f t="shared" ref="AS38" si="470">+AR38+AS37</f>
        <v>54350</v>
      </c>
      <c r="AT38" s="123">
        <f t="shared" ref="AT38" si="471">+AK38+AT37</f>
        <v>54530</v>
      </c>
      <c r="AU38" s="123">
        <f t="shared" ref="AU38" si="472">+AT38+AU37</f>
        <v>54670</v>
      </c>
      <c r="AV38" s="123">
        <f t="shared" ref="AV38" si="473">+AM38+AV37</f>
        <v>55030</v>
      </c>
      <c r="AW38" s="123">
        <f t="shared" ref="AW38" si="474">+AV38+AW37</f>
        <v>55170</v>
      </c>
      <c r="AX38" s="123">
        <f t="shared" ref="AX38" si="475">+AO38+AX37</f>
        <v>55250</v>
      </c>
      <c r="AY38" s="123">
        <f t="shared" ref="AY38" si="476">+AX38+AY37</f>
        <v>55470</v>
      </c>
      <c r="AZ38" s="123">
        <v>67550</v>
      </c>
      <c r="BA38" s="123">
        <f t="shared" ref="BA38:BG38" si="477">+AZ38+BA37</f>
        <v>68930</v>
      </c>
      <c r="BB38" s="123">
        <f t="shared" si="477"/>
        <v>70070</v>
      </c>
      <c r="BC38" s="123">
        <f t="shared" si="477"/>
        <v>71610</v>
      </c>
      <c r="BD38" s="123">
        <f t="shared" si="477"/>
        <v>72710</v>
      </c>
      <c r="BE38" s="123">
        <f t="shared" si="477"/>
        <v>74570</v>
      </c>
      <c r="BF38" s="123">
        <f t="shared" si="477"/>
        <v>76190</v>
      </c>
      <c r="BG38" s="123">
        <f t="shared" si="477"/>
        <v>77510</v>
      </c>
      <c r="BH38" s="121"/>
      <c r="BI38" s="118"/>
      <c r="BK38" s="118"/>
    </row>
    <row r="39" spans="1:63" ht="35.25" customHeight="1" x14ac:dyDescent="0.2">
      <c r="A39" s="16">
        <f>+A37+1</f>
        <v>14</v>
      </c>
      <c r="B39" s="17" t="s">
        <v>115</v>
      </c>
      <c r="C39" s="17" t="s">
        <v>115</v>
      </c>
      <c r="D39" s="17"/>
      <c r="E39" s="124">
        <v>180</v>
      </c>
      <c r="F39" s="124">
        <v>150</v>
      </c>
      <c r="G39" s="124">
        <v>240</v>
      </c>
      <c r="H39" s="124">
        <v>300</v>
      </c>
      <c r="I39" s="124">
        <v>240</v>
      </c>
      <c r="J39" s="124">
        <v>360</v>
      </c>
      <c r="K39" s="124">
        <v>180</v>
      </c>
      <c r="L39" s="124">
        <v>210</v>
      </c>
      <c r="M39" s="124">
        <v>330</v>
      </c>
      <c r="N39" s="124">
        <v>240</v>
      </c>
      <c r="O39" s="124">
        <v>120</v>
      </c>
      <c r="P39" s="168">
        <f>240+60</f>
        <v>300</v>
      </c>
      <c r="Q39" s="124">
        <v>90</v>
      </c>
      <c r="R39" s="124">
        <v>210</v>
      </c>
      <c r="S39" s="124">
        <v>330</v>
      </c>
      <c r="T39" s="124">
        <v>240</v>
      </c>
      <c r="U39" s="124">
        <v>240</v>
      </c>
      <c r="V39" s="124">
        <v>210</v>
      </c>
      <c r="W39" s="124">
        <v>0</v>
      </c>
      <c r="X39" s="124">
        <v>0</v>
      </c>
      <c r="Y39" s="124">
        <v>0</v>
      </c>
      <c r="Z39" s="124">
        <v>120</v>
      </c>
      <c r="AA39" s="124">
        <v>0</v>
      </c>
      <c r="AB39" s="124">
        <v>0</v>
      </c>
      <c r="AC39" s="124">
        <v>0</v>
      </c>
      <c r="AD39" s="124">
        <v>0</v>
      </c>
      <c r="AE39" s="124">
        <v>0</v>
      </c>
      <c r="AF39" s="124">
        <v>0</v>
      </c>
      <c r="AG39" s="124">
        <v>0</v>
      </c>
      <c r="AH39" s="124">
        <v>60</v>
      </c>
      <c r="AI39" s="124">
        <v>180</v>
      </c>
      <c r="AJ39" s="124">
        <v>300</v>
      </c>
      <c r="AK39" s="124">
        <v>210</v>
      </c>
      <c r="AL39" s="124">
        <v>300</v>
      </c>
      <c r="AM39" s="124">
        <v>270</v>
      </c>
      <c r="AN39" s="124">
        <v>210</v>
      </c>
      <c r="AO39" s="124">
        <v>240</v>
      </c>
      <c r="AP39" s="124">
        <v>450</v>
      </c>
      <c r="AQ39" s="124">
        <v>210</v>
      </c>
      <c r="AR39" s="124">
        <v>360</v>
      </c>
      <c r="AS39" s="124">
        <v>210</v>
      </c>
      <c r="AT39" s="124">
        <v>240</v>
      </c>
      <c r="AU39" s="124">
        <v>210</v>
      </c>
      <c r="AV39" s="124">
        <v>360</v>
      </c>
      <c r="AW39" s="124">
        <v>210</v>
      </c>
      <c r="AX39" s="124">
        <v>210</v>
      </c>
      <c r="AY39" s="124">
        <v>300</v>
      </c>
      <c r="AZ39" s="124">
        <v>1860</v>
      </c>
      <c r="BA39" s="124">
        <f>+SUM(M39:T39)</f>
        <v>1860</v>
      </c>
      <c r="BB39" s="124">
        <f>SUM(U39:Z39)</f>
        <v>570</v>
      </c>
      <c r="BC39" s="124">
        <f>SUM(AA39:AI39)</f>
        <v>240</v>
      </c>
      <c r="BD39" s="124">
        <f>SUM(AJ39:AO39)</f>
        <v>1530</v>
      </c>
      <c r="BE39" s="124">
        <f>SUM(AP39:AY39)</f>
        <v>2760</v>
      </c>
      <c r="BF39" s="124">
        <v>2070</v>
      </c>
      <c r="BG39" s="124">
        <v>1710</v>
      </c>
      <c r="BH39" s="116" t="s">
        <v>80</v>
      </c>
    </row>
    <row r="40" spans="1:63" ht="35.25" customHeight="1" x14ac:dyDescent="0.2">
      <c r="A40" s="119"/>
      <c r="B40" s="120"/>
      <c r="C40" s="120" t="s">
        <v>48</v>
      </c>
      <c r="D40" s="133">
        <f>E40</f>
        <v>43286</v>
      </c>
      <c r="E40" s="123">
        <v>43286</v>
      </c>
      <c r="F40" s="123">
        <f>+E40+F39</f>
        <v>43436</v>
      </c>
      <c r="G40" s="123">
        <f>+F40+G39</f>
        <v>43676</v>
      </c>
      <c r="H40" s="123">
        <f>+G40+H39</f>
        <v>43976</v>
      </c>
      <c r="I40" s="123">
        <f>+H40+I39</f>
        <v>44216</v>
      </c>
      <c r="J40" s="123">
        <f>+I40+J39</f>
        <v>44576</v>
      </c>
      <c r="K40" s="123">
        <f t="shared" ref="K40" si="478">+J40+K39</f>
        <v>44756</v>
      </c>
      <c r="L40" s="123">
        <f t="shared" ref="L40" si="479">+K40+L39</f>
        <v>44966</v>
      </c>
      <c r="M40" s="123">
        <f t="shared" ref="M40" si="480">+L40+M39</f>
        <v>45296</v>
      </c>
      <c r="N40" s="123">
        <f t="shared" ref="N40" si="481">+M40+N39</f>
        <v>45536</v>
      </c>
      <c r="O40" s="123">
        <f t="shared" ref="O40" si="482">+N40+O39</f>
        <v>45656</v>
      </c>
      <c r="P40" s="123">
        <f t="shared" ref="P40" si="483">+O40+P39</f>
        <v>45956</v>
      </c>
      <c r="Q40" s="123">
        <f t="shared" ref="Q40" si="484">+P40+Q39</f>
        <v>46046</v>
      </c>
      <c r="R40" s="123">
        <f t="shared" ref="R40" si="485">+Q40+R39</f>
        <v>46256</v>
      </c>
      <c r="S40" s="123">
        <f>+R40+S39</f>
        <v>46586</v>
      </c>
      <c r="T40" s="123">
        <f>+S40+T39</f>
        <v>46826</v>
      </c>
      <c r="U40" s="123">
        <f t="shared" ref="U40" si="486">+T40+U39</f>
        <v>47066</v>
      </c>
      <c r="V40" s="123">
        <f t="shared" ref="V40" si="487">+U40+V39</f>
        <v>47276</v>
      </c>
      <c r="W40" s="123">
        <f t="shared" ref="W40" si="488">+V40+W39</f>
        <v>47276</v>
      </c>
      <c r="X40" s="123">
        <f t="shared" ref="X40" si="489">+W40+X39</f>
        <v>47276</v>
      </c>
      <c r="Y40" s="123">
        <f t="shared" ref="Y40" si="490">+X40+Y39</f>
        <v>47276</v>
      </c>
      <c r="Z40" s="123">
        <f t="shared" ref="Z40" si="491">+Y40+Z39</f>
        <v>47396</v>
      </c>
      <c r="AA40" s="123">
        <f t="shared" ref="AA40" si="492">+Z40+AA39</f>
        <v>47396</v>
      </c>
      <c r="AB40" s="123">
        <f>+AA40+AB39</f>
        <v>47396</v>
      </c>
      <c r="AC40" s="123">
        <f>+AB40+AC39</f>
        <v>47396</v>
      </c>
      <c r="AD40" s="123">
        <f>+AC40+AD39</f>
        <v>47396</v>
      </c>
      <c r="AE40" s="123">
        <f>+AD40+AE39</f>
        <v>47396</v>
      </c>
      <c r="AF40" s="123">
        <f t="shared" ref="AF40" si="493">+AE40+AF39</f>
        <v>47396</v>
      </c>
      <c r="AG40" s="123">
        <f t="shared" ref="AG40" si="494">+AF40+AG39</f>
        <v>47396</v>
      </c>
      <c r="AH40" s="123">
        <f t="shared" ref="AH40" si="495">+AG40+AH39</f>
        <v>47456</v>
      </c>
      <c r="AI40" s="123">
        <f t="shared" ref="AI40" si="496">+AH40+AI39</f>
        <v>47636</v>
      </c>
      <c r="AJ40" s="123">
        <f t="shared" ref="AJ40" si="497">+AI40+AJ39</f>
        <v>47936</v>
      </c>
      <c r="AK40" s="123">
        <f t="shared" ref="AK40" si="498">+AJ40+AK39</f>
        <v>48146</v>
      </c>
      <c r="AL40" s="123">
        <f t="shared" ref="AL40" si="499">+AK40+AL39</f>
        <v>48446</v>
      </c>
      <c r="AM40" s="123">
        <f t="shared" ref="AM40" si="500">+AL40+AM39</f>
        <v>48716</v>
      </c>
      <c r="AN40" s="123">
        <f t="shared" ref="AN40" si="501">+AM40+AN39</f>
        <v>48926</v>
      </c>
      <c r="AO40" s="123">
        <f t="shared" ref="AO40" si="502">+AN40+AO39</f>
        <v>49166</v>
      </c>
      <c r="AP40" s="123">
        <f t="shared" ref="AP40" si="503">+AG40+AP39</f>
        <v>47846</v>
      </c>
      <c r="AQ40" s="123">
        <f t="shared" ref="AQ40" si="504">+AP40+AQ39</f>
        <v>48056</v>
      </c>
      <c r="AR40" s="123">
        <f t="shared" ref="AR40" si="505">+AI40+AR39</f>
        <v>47996</v>
      </c>
      <c r="AS40" s="123">
        <f t="shared" ref="AS40" si="506">+AR40+AS39</f>
        <v>48206</v>
      </c>
      <c r="AT40" s="123">
        <f t="shared" ref="AT40" si="507">+AK40+AT39</f>
        <v>48386</v>
      </c>
      <c r="AU40" s="123">
        <f t="shared" ref="AU40" si="508">+AT40+AU39</f>
        <v>48596</v>
      </c>
      <c r="AV40" s="123">
        <f t="shared" ref="AV40" si="509">+AM40+AV39</f>
        <v>49076</v>
      </c>
      <c r="AW40" s="123">
        <f t="shared" ref="AW40" si="510">+AV40+AW39</f>
        <v>49286</v>
      </c>
      <c r="AX40" s="123">
        <f t="shared" ref="AX40" si="511">+AO40+AX39</f>
        <v>49376</v>
      </c>
      <c r="AY40" s="123">
        <f t="shared" ref="AY40" si="512">+AX40+AY39</f>
        <v>49676</v>
      </c>
      <c r="AZ40" s="123">
        <v>65816</v>
      </c>
      <c r="BA40" s="123">
        <f t="shared" ref="BA40:BG40" si="513">+AZ40+BA39</f>
        <v>67676</v>
      </c>
      <c r="BB40" s="123">
        <f t="shared" si="513"/>
        <v>68246</v>
      </c>
      <c r="BC40" s="123">
        <f t="shared" si="513"/>
        <v>68486</v>
      </c>
      <c r="BD40" s="123">
        <f t="shared" si="513"/>
        <v>70016</v>
      </c>
      <c r="BE40" s="123">
        <f t="shared" si="513"/>
        <v>72776</v>
      </c>
      <c r="BF40" s="123">
        <f t="shared" si="513"/>
        <v>74846</v>
      </c>
      <c r="BG40" s="123">
        <f t="shared" si="513"/>
        <v>76556</v>
      </c>
      <c r="BH40" s="121"/>
      <c r="BI40" s="118"/>
      <c r="BK40" s="118"/>
    </row>
    <row r="41" spans="1:63" ht="35.25" customHeight="1" x14ac:dyDescent="0.2">
      <c r="A41" s="16">
        <f>+A39+1</f>
        <v>15</v>
      </c>
      <c r="B41" s="17" t="s">
        <v>65</v>
      </c>
      <c r="C41" s="17" t="s">
        <v>65</v>
      </c>
      <c r="D41" s="17"/>
      <c r="E41" s="124">
        <v>240</v>
      </c>
      <c r="F41" s="124">
        <v>300</v>
      </c>
      <c r="G41" s="124">
        <v>480</v>
      </c>
      <c r="H41" s="124">
        <v>420</v>
      </c>
      <c r="I41" s="124">
        <v>480</v>
      </c>
      <c r="J41" s="124">
        <v>600</v>
      </c>
      <c r="K41" s="124">
        <v>840</v>
      </c>
      <c r="L41" s="124">
        <v>660</v>
      </c>
      <c r="M41" s="124">
        <v>540</v>
      </c>
      <c r="N41" s="124">
        <v>780</v>
      </c>
      <c r="O41" s="124">
        <v>1080</v>
      </c>
      <c r="P41" s="124">
        <v>720</v>
      </c>
      <c r="Q41" s="124">
        <v>840</v>
      </c>
      <c r="R41" s="124">
        <v>660</v>
      </c>
      <c r="S41" s="124">
        <v>0</v>
      </c>
      <c r="T41" s="124">
        <v>240</v>
      </c>
      <c r="U41" s="124">
        <v>420</v>
      </c>
      <c r="V41" s="124">
        <v>480</v>
      </c>
      <c r="W41" s="124">
        <v>660</v>
      </c>
      <c r="X41" s="168">
        <f>480+360</f>
        <v>840</v>
      </c>
      <c r="Y41" s="124">
        <v>540</v>
      </c>
      <c r="Z41" s="124">
        <v>120</v>
      </c>
      <c r="AA41" s="124">
        <v>0</v>
      </c>
      <c r="AB41" s="124">
        <v>0</v>
      </c>
      <c r="AC41" s="124">
        <v>0</v>
      </c>
      <c r="AD41" s="124">
        <v>0</v>
      </c>
      <c r="AE41" s="124">
        <v>0</v>
      </c>
      <c r="AF41" s="124">
        <v>0</v>
      </c>
      <c r="AG41" s="124">
        <v>0</v>
      </c>
      <c r="AH41" s="124">
        <v>0</v>
      </c>
      <c r="AI41" s="124">
        <v>0</v>
      </c>
      <c r="AJ41" s="124">
        <v>0</v>
      </c>
      <c r="AK41" s="124">
        <v>0</v>
      </c>
      <c r="AL41" s="124">
        <v>60</v>
      </c>
      <c r="AM41" s="124">
        <v>60</v>
      </c>
      <c r="AN41" s="124">
        <v>60</v>
      </c>
      <c r="AO41" s="124">
        <v>60</v>
      </c>
      <c r="AP41" s="124">
        <v>60</v>
      </c>
      <c r="AQ41" s="124">
        <v>60</v>
      </c>
      <c r="AR41" s="124">
        <v>60</v>
      </c>
      <c r="AS41" s="124">
        <v>60</v>
      </c>
      <c r="AT41" s="124">
        <v>60</v>
      </c>
      <c r="AU41" s="124">
        <v>0</v>
      </c>
      <c r="AV41" s="124">
        <v>60</v>
      </c>
      <c r="AW41" s="124">
        <v>60</v>
      </c>
      <c r="AX41" s="124">
        <v>0</v>
      </c>
      <c r="AY41" s="124">
        <v>60</v>
      </c>
      <c r="AZ41" s="124">
        <v>4020</v>
      </c>
      <c r="BA41" s="124">
        <f>+SUM(M41:T41)</f>
        <v>4860</v>
      </c>
      <c r="BB41" s="124">
        <f>SUM(U41:Z41)</f>
        <v>3060</v>
      </c>
      <c r="BC41" s="124">
        <f>SUM(AA41:AI41)</f>
        <v>0</v>
      </c>
      <c r="BD41" s="124">
        <f>SUM(AJ41:AO41)</f>
        <v>240</v>
      </c>
      <c r="BE41" s="124">
        <f>SUM(AP41:AY41)</f>
        <v>480</v>
      </c>
      <c r="BF41" s="124">
        <v>360</v>
      </c>
      <c r="BG41" s="124">
        <v>300</v>
      </c>
      <c r="BH41" s="116" t="s">
        <v>81</v>
      </c>
    </row>
    <row r="42" spans="1:63" ht="35.25" customHeight="1" x14ac:dyDescent="0.2">
      <c r="A42" s="119"/>
      <c r="B42" s="120"/>
      <c r="C42" s="120" t="s">
        <v>48</v>
      </c>
      <c r="D42" s="133">
        <f>E42</f>
        <v>219720</v>
      </c>
      <c r="E42" s="123">
        <v>219720</v>
      </c>
      <c r="F42" s="123">
        <f>+E42+F41</f>
        <v>220020</v>
      </c>
      <c r="G42" s="123">
        <f>+F42+G41</f>
        <v>220500</v>
      </c>
      <c r="H42" s="123">
        <f>+G42+H41</f>
        <v>220920</v>
      </c>
      <c r="I42" s="123">
        <f>+H42+I41</f>
        <v>221400</v>
      </c>
      <c r="J42" s="123">
        <f>+I42+J41</f>
        <v>222000</v>
      </c>
      <c r="K42" s="123">
        <f t="shared" ref="K42" si="514">+J42+K41</f>
        <v>222840</v>
      </c>
      <c r="L42" s="123">
        <f t="shared" ref="L42" si="515">+K42+L41</f>
        <v>223500</v>
      </c>
      <c r="M42" s="123">
        <f t="shared" ref="M42" si="516">+L42+M41</f>
        <v>224040</v>
      </c>
      <c r="N42" s="123">
        <f t="shared" ref="N42" si="517">+M42+N41</f>
        <v>224820</v>
      </c>
      <c r="O42" s="123">
        <f t="shared" ref="O42" si="518">+N42+O41</f>
        <v>225900</v>
      </c>
      <c r="P42" s="123">
        <f t="shared" ref="P42" si="519">+O42+P41</f>
        <v>226620</v>
      </c>
      <c r="Q42" s="123">
        <f t="shared" ref="Q42" si="520">+P42+Q41</f>
        <v>227460</v>
      </c>
      <c r="R42" s="123">
        <f t="shared" ref="R42" si="521">+Q42+R41</f>
        <v>228120</v>
      </c>
      <c r="S42" s="123">
        <f>+R42+S41</f>
        <v>228120</v>
      </c>
      <c r="T42" s="123">
        <f>+S42+T41</f>
        <v>228360</v>
      </c>
      <c r="U42" s="123">
        <f t="shared" ref="U42" si="522">+T42+U41</f>
        <v>228780</v>
      </c>
      <c r="V42" s="123">
        <f t="shared" ref="V42" si="523">+U42+V41</f>
        <v>229260</v>
      </c>
      <c r="W42" s="123">
        <f t="shared" ref="W42" si="524">+V42+W41</f>
        <v>229920</v>
      </c>
      <c r="X42" s="123">
        <f t="shared" ref="X42" si="525">+W42+X41</f>
        <v>230760</v>
      </c>
      <c r="Y42" s="123">
        <f t="shared" ref="Y42" si="526">+X42+Y41</f>
        <v>231300</v>
      </c>
      <c r="Z42" s="123">
        <f t="shared" ref="Z42" si="527">+Y42+Z41</f>
        <v>231420</v>
      </c>
      <c r="AA42" s="123">
        <f t="shared" ref="AA42" si="528">+Z42+AA41</f>
        <v>231420</v>
      </c>
      <c r="AB42" s="123">
        <f>+AA42+AB41</f>
        <v>231420</v>
      </c>
      <c r="AC42" s="123">
        <f>+AB42+AC41</f>
        <v>231420</v>
      </c>
      <c r="AD42" s="123">
        <f>+AC42+AD41</f>
        <v>231420</v>
      </c>
      <c r="AE42" s="123">
        <f>+AD42+AE41</f>
        <v>231420</v>
      </c>
      <c r="AF42" s="123">
        <f t="shared" ref="AF42" si="529">+AE42+AF41</f>
        <v>231420</v>
      </c>
      <c r="AG42" s="123">
        <f t="shared" ref="AG42" si="530">+AF42+AG41</f>
        <v>231420</v>
      </c>
      <c r="AH42" s="123">
        <f t="shared" ref="AH42" si="531">+AG42+AH41</f>
        <v>231420</v>
      </c>
      <c r="AI42" s="123">
        <f t="shared" ref="AI42" si="532">+AH42+AI41</f>
        <v>231420</v>
      </c>
      <c r="AJ42" s="123">
        <f t="shared" ref="AJ42" si="533">+AI42+AJ41</f>
        <v>231420</v>
      </c>
      <c r="AK42" s="123">
        <f t="shared" ref="AK42" si="534">+AJ42+AK41</f>
        <v>231420</v>
      </c>
      <c r="AL42" s="123">
        <f t="shared" ref="AL42" si="535">+AK42+AL41</f>
        <v>231480</v>
      </c>
      <c r="AM42" s="123">
        <f t="shared" ref="AM42" si="536">+AL42+AM41</f>
        <v>231540</v>
      </c>
      <c r="AN42" s="123">
        <f t="shared" ref="AN42" si="537">+AM42+AN41</f>
        <v>231600</v>
      </c>
      <c r="AO42" s="123">
        <f t="shared" ref="AO42" si="538">+AN42+AO41</f>
        <v>231660</v>
      </c>
      <c r="AP42" s="123">
        <f t="shared" ref="AP42" si="539">+AG42+AP41</f>
        <v>231480</v>
      </c>
      <c r="AQ42" s="123">
        <f t="shared" ref="AQ42" si="540">+AP42+AQ41</f>
        <v>231540</v>
      </c>
      <c r="AR42" s="123">
        <f t="shared" ref="AR42" si="541">+AI42+AR41</f>
        <v>231480</v>
      </c>
      <c r="AS42" s="123">
        <f t="shared" ref="AS42" si="542">+AR42+AS41</f>
        <v>231540</v>
      </c>
      <c r="AT42" s="123">
        <f t="shared" ref="AT42" si="543">+AK42+AT41</f>
        <v>231480</v>
      </c>
      <c r="AU42" s="123">
        <f t="shared" ref="AU42" si="544">+AT42+AU41</f>
        <v>231480</v>
      </c>
      <c r="AV42" s="123">
        <f t="shared" ref="AV42" si="545">+AM42+AV41</f>
        <v>231600</v>
      </c>
      <c r="AW42" s="123">
        <f t="shared" ref="AW42" si="546">+AV42+AW41</f>
        <v>231660</v>
      </c>
      <c r="AX42" s="123">
        <f t="shared" ref="AX42" si="547">+AO42+AX41</f>
        <v>231660</v>
      </c>
      <c r="AY42" s="123">
        <f t="shared" ref="AY42" si="548">+AX42+AY41</f>
        <v>231720</v>
      </c>
      <c r="AZ42" s="123">
        <v>268140</v>
      </c>
      <c r="BA42" s="123">
        <f t="shared" ref="BA42:BG42" si="549">+AZ42+BA41</f>
        <v>273000</v>
      </c>
      <c r="BB42" s="123">
        <f t="shared" si="549"/>
        <v>276060</v>
      </c>
      <c r="BC42" s="123">
        <f t="shared" si="549"/>
        <v>276060</v>
      </c>
      <c r="BD42" s="123">
        <f t="shared" si="549"/>
        <v>276300</v>
      </c>
      <c r="BE42" s="123">
        <f t="shared" si="549"/>
        <v>276780</v>
      </c>
      <c r="BF42" s="123">
        <f t="shared" si="549"/>
        <v>277140</v>
      </c>
      <c r="BG42" s="123">
        <f t="shared" si="549"/>
        <v>277440</v>
      </c>
      <c r="BH42" s="121"/>
      <c r="BI42" s="118"/>
      <c r="BK42" s="118"/>
    </row>
    <row r="43" spans="1:63" ht="35.25" customHeight="1" x14ac:dyDescent="0.2">
      <c r="A43" s="16">
        <f>+A41+1</f>
        <v>16</v>
      </c>
      <c r="B43" s="17" t="s">
        <v>66</v>
      </c>
      <c r="C43" s="17" t="s">
        <v>66</v>
      </c>
      <c r="D43" s="17"/>
      <c r="E43" s="124">
        <v>300</v>
      </c>
      <c r="F43" s="124">
        <v>600</v>
      </c>
      <c r="G43" s="124">
        <v>1200</v>
      </c>
      <c r="H43" s="124">
        <v>1380</v>
      </c>
      <c r="I43" s="124">
        <v>1200</v>
      </c>
      <c r="J43" s="124">
        <v>1440</v>
      </c>
      <c r="K43" s="124">
        <v>1500</v>
      </c>
      <c r="L43" s="124">
        <v>1260</v>
      </c>
      <c r="M43" s="124">
        <v>1200</v>
      </c>
      <c r="N43" s="124">
        <v>1440</v>
      </c>
      <c r="O43" s="124">
        <v>1440</v>
      </c>
      <c r="P43" s="168">
        <f>1260+240</f>
        <v>1500</v>
      </c>
      <c r="Q43" s="124">
        <v>1200</v>
      </c>
      <c r="R43" s="124">
        <v>1680</v>
      </c>
      <c r="S43" s="124">
        <v>3360</v>
      </c>
      <c r="T43" s="124">
        <v>1500</v>
      </c>
      <c r="U43" s="124">
        <v>1380</v>
      </c>
      <c r="V43" s="124">
        <v>1380</v>
      </c>
      <c r="W43" s="124">
        <v>1440</v>
      </c>
      <c r="X43" s="124">
        <v>1440</v>
      </c>
      <c r="Y43" s="124">
        <v>1620</v>
      </c>
      <c r="Z43" s="124">
        <v>1320</v>
      </c>
      <c r="AA43" s="124">
        <v>2160</v>
      </c>
      <c r="AB43" s="124">
        <v>1800</v>
      </c>
      <c r="AC43" s="124">
        <v>1200</v>
      </c>
      <c r="AD43" s="124">
        <v>1560</v>
      </c>
      <c r="AE43" s="124">
        <v>1020</v>
      </c>
      <c r="AF43" s="124">
        <v>1560</v>
      </c>
      <c r="AG43" s="124">
        <v>1080</v>
      </c>
      <c r="AH43" s="124">
        <v>1500</v>
      </c>
      <c r="AI43" s="124">
        <v>1020</v>
      </c>
      <c r="AJ43" s="124">
        <v>1500</v>
      </c>
      <c r="AK43" s="124">
        <v>1020</v>
      </c>
      <c r="AL43" s="124">
        <v>1500</v>
      </c>
      <c r="AM43" s="124">
        <v>1500</v>
      </c>
      <c r="AN43" s="124">
        <v>1020</v>
      </c>
      <c r="AO43" s="124">
        <v>1080</v>
      </c>
      <c r="AP43" s="124">
        <v>2160</v>
      </c>
      <c r="AQ43" s="124">
        <v>1080</v>
      </c>
      <c r="AR43" s="124">
        <v>1680</v>
      </c>
      <c r="AS43" s="124">
        <v>1080</v>
      </c>
      <c r="AT43" s="124">
        <v>1080</v>
      </c>
      <c r="AU43" s="124">
        <v>1080</v>
      </c>
      <c r="AV43" s="124">
        <v>1620</v>
      </c>
      <c r="AW43" s="124">
        <v>1080</v>
      </c>
      <c r="AX43" s="124">
        <v>1080</v>
      </c>
      <c r="AY43" s="124">
        <v>1560</v>
      </c>
      <c r="AZ43" s="124">
        <v>8880</v>
      </c>
      <c r="BA43" s="124">
        <f>+SUM(M43:T43)</f>
        <v>13320</v>
      </c>
      <c r="BB43" s="124">
        <f>SUM(U43:Z43)</f>
        <v>8580</v>
      </c>
      <c r="BC43" s="124">
        <f>SUM(AA43:AI43)</f>
        <v>12900</v>
      </c>
      <c r="BD43" s="124">
        <f>SUM(AJ43:AO43)</f>
        <v>7620</v>
      </c>
      <c r="BE43" s="124">
        <f>SUM(AP43:AY43)</f>
        <v>13500</v>
      </c>
      <c r="BF43" s="124">
        <v>11580</v>
      </c>
      <c r="BG43" s="124">
        <v>9060</v>
      </c>
      <c r="BH43" s="116" t="s">
        <v>81</v>
      </c>
    </row>
    <row r="44" spans="1:63" ht="35.25" customHeight="1" x14ac:dyDescent="0.2">
      <c r="A44" s="119"/>
      <c r="B44" s="120"/>
      <c r="C44" s="120" t="s">
        <v>48</v>
      </c>
      <c r="D44" s="133">
        <f>E44</f>
        <v>567900</v>
      </c>
      <c r="E44" s="123">
        <v>567900</v>
      </c>
      <c r="F44" s="123">
        <f>+E44+F43</f>
        <v>568500</v>
      </c>
      <c r="G44" s="123">
        <f>+F44+G43</f>
        <v>569700</v>
      </c>
      <c r="H44" s="123">
        <f>+G44+H43</f>
        <v>571080</v>
      </c>
      <c r="I44" s="123">
        <f>+H44+I43</f>
        <v>572280</v>
      </c>
      <c r="J44" s="123">
        <f>+I44+J43</f>
        <v>573720</v>
      </c>
      <c r="K44" s="123">
        <f t="shared" ref="K44" si="550">+J44+K43</f>
        <v>575220</v>
      </c>
      <c r="L44" s="123">
        <f t="shared" ref="L44" si="551">+K44+L43</f>
        <v>576480</v>
      </c>
      <c r="M44" s="123">
        <f t="shared" ref="M44" si="552">+L44+M43</f>
        <v>577680</v>
      </c>
      <c r="N44" s="123">
        <f t="shared" ref="N44" si="553">+M44+N43</f>
        <v>579120</v>
      </c>
      <c r="O44" s="123">
        <f t="shared" ref="O44" si="554">+N44+O43</f>
        <v>580560</v>
      </c>
      <c r="P44" s="123">
        <f t="shared" ref="P44" si="555">+O44+P43</f>
        <v>582060</v>
      </c>
      <c r="Q44" s="123">
        <f t="shared" ref="Q44" si="556">+P44+Q43</f>
        <v>583260</v>
      </c>
      <c r="R44" s="123">
        <f t="shared" ref="R44" si="557">+Q44+R43</f>
        <v>584940</v>
      </c>
      <c r="S44" s="123">
        <f>+R44+S43</f>
        <v>588300</v>
      </c>
      <c r="T44" s="123">
        <f>+S44+T43</f>
        <v>589800</v>
      </c>
      <c r="U44" s="123">
        <f t="shared" ref="U44" si="558">+T44+U43</f>
        <v>591180</v>
      </c>
      <c r="V44" s="123">
        <f t="shared" ref="V44" si="559">+U44+V43</f>
        <v>592560</v>
      </c>
      <c r="W44" s="123">
        <f t="shared" ref="W44" si="560">+V44+W43</f>
        <v>594000</v>
      </c>
      <c r="X44" s="123">
        <f t="shared" ref="X44" si="561">+W44+X43</f>
        <v>595440</v>
      </c>
      <c r="Y44" s="123">
        <f t="shared" ref="Y44" si="562">+X44+Y43</f>
        <v>597060</v>
      </c>
      <c r="Z44" s="123">
        <f t="shared" ref="Z44" si="563">+Y44+Z43</f>
        <v>598380</v>
      </c>
      <c r="AA44" s="123">
        <f t="shared" ref="AA44" si="564">+Z44+AA43</f>
        <v>600540</v>
      </c>
      <c r="AB44" s="123">
        <f>+AA44+AB43</f>
        <v>602340</v>
      </c>
      <c r="AC44" s="123">
        <f>+AB44+AC43</f>
        <v>603540</v>
      </c>
      <c r="AD44" s="123">
        <f>+AC44+AD43</f>
        <v>605100</v>
      </c>
      <c r="AE44" s="123">
        <f>+AD44+AE43</f>
        <v>606120</v>
      </c>
      <c r="AF44" s="123">
        <f t="shared" ref="AF44" si="565">+AE44+AF43</f>
        <v>607680</v>
      </c>
      <c r="AG44" s="123">
        <f t="shared" ref="AG44" si="566">+AF44+AG43</f>
        <v>608760</v>
      </c>
      <c r="AH44" s="123">
        <f t="shared" ref="AH44" si="567">+AG44+AH43</f>
        <v>610260</v>
      </c>
      <c r="AI44" s="123">
        <f t="shared" ref="AI44" si="568">+AH44+AI43</f>
        <v>611280</v>
      </c>
      <c r="AJ44" s="123">
        <f t="shared" ref="AJ44" si="569">+AI44+AJ43</f>
        <v>612780</v>
      </c>
      <c r="AK44" s="123">
        <f t="shared" ref="AK44" si="570">+AJ44+AK43</f>
        <v>613800</v>
      </c>
      <c r="AL44" s="123">
        <f t="shared" ref="AL44" si="571">+AK44+AL43</f>
        <v>615300</v>
      </c>
      <c r="AM44" s="123">
        <f t="shared" ref="AM44" si="572">+AL44+AM43</f>
        <v>616800</v>
      </c>
      <c r="AN44" s="123">
        <f t="shared" ref="AN44" si="573">+AM44+AN43</f>
        <v>617820</v>
      </c>
      <c r="AO44" s="123">
        <f t="shared" ref="AO44" si="574">+AN44+AO43</f>
        <v>618900</v>
      </c>
      <c r="AP44" s="123">
        <f t="shared" ref="AP44" si="575">+AG44+AP43</f>
        <v>610920</v>
      </c>
      <c r="AQ44" s="123">
        <f t="shared" ref="AQ44" si="576">+AP44+AQ43</f>
        <v>612000</v>
      </c>
      <c r="AR44" s="123">
        <f t="shared" ref="AR44" si="577">+AI44+AR43</f>
        <v>612960</v>
      </c>
      <c r="AS44" s="123">
        <f t="shared" ref="AS44" si="578">+AR44+AS43</f>
        <v>614040</v>
      </c>
      <c r="AT44" s="123">
        <f t="shared" ref="AT44" si="579">+AK44+AT43</f>
        <v>614880</v>
      </c>
      <c r="AU44" s="123">
        <f t="shared" ref="AU44" si="580">+AT44+AU43</f>
        <v>615960</v>
      </c>
      <c r="AV44" s="123">
        <f t="shared" ref="AV44" si="581">+AM44+AV43</f>
        <v>618420</v>
      </c>
      <c r="AW44" s="123">
        <f t="shared" ref="AW44" si="582">+AV44+AW43</f>
        <v>619500</v>
      </c>
      <c r="AX44" s="123">
        <f t="shared" ref="AX44" si="583">+AO44+AX43</f>
        <v>619980</v>
      </c>
      <c r="AY44" s="123">
        <f t="shared" ref="AY44" si="584">+AX44+AY43</f>
        <v>621540</v>
      </c>
      <c r="AZ44" s="123">
        <v>691860</v>
      </c>
      <c r="BA44" s="123">
        <f t="shared" ref="BA44:BG44" si="585">+AZ44+BA43</f>
        <v>705180</v>
      </c>
      <c r="BB44" s="123">
        <f t="shared" si="585"/>
        <v>713760</v>
      </c>
      <c r="BC44" s="123">
        <f t="shared" si="585"/>
        <v>726660</v>
      </c>
      <c r="BD44" s="123">
        <f t="shared" si="585"/>
        <v>734280</v>
      </c>
      <c r="BE44" s="123">
        <f t="shared" si="585"/>
        <v>747780</v>
      </c>
      <c r="BF44" s="123">
        <f t="shared" si="585"/>
        <v>759360</v>
      </c>
      <c r="BG44" s="123">
        <f t="shared" si="585"/>
        <v>768420</v>
      </c>
      <c r="BH44" s="121"/>
      <c r="BI44" s="118"/>
      <c r="BK44" s="118"/>
    </row>
    <row r="45" spans="1:63" ht="35.25" customHeight="1" x14ac:dyDescent="0.2">
      <c r="A45" s="16">
        <f>+A43+1</f>
        <v>17</v>
      </c>
      <c r="B45" s="17" t="s">
        <v>106</v>
      </c>
      <c r="C45" s="17" t="s">
        <v>106</v>
      </c>
      <c r="D45" s="17"/>
      <c r="E45" s="124">
        <v>100</v>
      </c>
      <c r="F45" s="124">
        <v>280</v>
      </c>
      <c r="G45" s="124">
        <v>140</v>
      </c>
      <c r="H45" s="124">
        <v>380</v>
      </c>
      <c r="I45" s="124">
        <v>0</v>
      </c>
      <c r="J45" s="124">
        <v>400</v>
      </c>
      <c r="K45" s="124">
        <v>720</v>
      </c>
      <c r="L45" s="124">
        <v>560</v>
      </c>
      <c r="M45" s="124">
        <v>540</v>
      </c>
      <c r="N45" s="124">
        <v>600</v>
      </c>
      <c r="O45" s="124">
        <v>540</v>
      </c>
      <c r="P45" s="124">
        <v>560</v>
      </c>
      <c r="Q45" s="124">
        <v>580</v>
      </c>
      <c r="R45" s="124">
        <v>580</v>
      </c>
      <c r="S45" s="124">
        <v>0</v>
      </c>
      <c r="T45" s="124">
        <v>340</v>
      </c>
      <c r="U45" s="124">
        <v>160</v>
      </c>
      <c r="V45" s="124">
        <v>320</v>
      </c>
      <c r="W45" s="124">
        <v>60</v>
      </c>
      <c r="X45" s="168">
        <f>340+440</f>
        <v>780</v>
      </c>
      <c r="Y45" s="168">
        <v>160</v>
      </c>
      <c r="Z45" s="124">
        <v>480</v>
      </c>
      <c r="AA45" s="124">
        <v>980</v>
      </c>
      <c r="AB45" s="124">
        <v>260</v>
      </c>
      <c r="AC45" s="124">
        <v>300</v>
      </c>
      <c r="AD45" s="124">
        <v>360</v>
      </c>
      <c r="AE45" s="124">
        <v>260</v>
      </c>
      <c r="AF45" s="124">
        <v>380</v>
      </c>
      <c r="AG45" s="124">
        <v>240</v>
      </c>
      <c r="AH45" s="124">
        <v>380</v>
      </c>
      <c r="AI45" s="124">
        <v>240</v>
      </c>
      <c r="AJ45" s="124">
        <v>360</v>
      </c>
      <c r="AK45" s="124">
        <v>260</v>
      </c>
      <c r="AL45" s="124">
        <v>360</v>
      </c>
      <c r="AM45" s="124">
        <v>340</v>
      </c>
      <c r="AN45" s="124">
        <v>220</v>
      </c>
      <c r="AO45" s="124">
        <v>360</v>
      </c>
      <c r="AP45" s="124">
        <v>700</v>
      </c>
      <c r="AQ45" s="124">
        <v>360</v>
      </c>
      <c r="AR45" s="124">
        <v>520</v>
      </c>
      <c r="AS45" s="124">
        <v>340</v>
      </c>
      <c r="AT45" s="124">
        <v>340</v>
      </c>
      <c r="AU45" s="124">
        <v>360</v>
      </c>
      <c r="AV45" s="124">
        <v>500</v>
      </c>
      <c r="AW45" s="124">
        <v>220</v>
      </c>
      <c r="AX45" s="124">
        <v>240</v>
      </c>
      <c r="AY45" s="124">
        <v>340</v>
      </c>
      <c r="AZ45" s="124">
        <v>2580</v>
      </c>
      <c r="BA45" s="124">
        <f>+SUM(M45:T45)</f>
        <v>3740</v>
      </c>
      <c r="BB45" s="124">
        <f>SUM(U45:Z45)</f>
        <v>1960</v>
      </c>
      <c r="BC45" s="124">
        <f>SUM(AA45:AI45)</f>
        <v>3400</v>
      </c>
      <c r="BD45" s="124">
        <f>SUM(AJ45:AO45)</f>
        <v>1900</v>
      </c>
      <c r="BE45" s="124">
        <f>SUM(AP45:AY45)</f>
        <v>3920</v>
      </c>
      <c r="BF45" s="124">
        <v>2560</v>
      </c>
      <c r="BG45" s="124">
        <v>2580</v>
      </c>
      <c r="BH45" s="116" t="s">
        <v>82</v>
      </c>
    </row>
    <row r="46" spans="1:63" ht="35.25" customHeight="1" x14ac:dyDescent="0.2">
      <c r="A46" s="119"/>
      <c r="B46" s="120"/>
      <c r="C46" s="120" t="s">
        <v>48</v>
      </c>
      <c r="D46" s="133">
        <f>E46</f>
        <v>289640</v>
      </c>
      <c r="E46" s="123">
        <v>289640</v>
      </c>
      <c r="F46" s="123">
        <f>+E46+F45</f>
        <v>289920</v>
      </c>
      <c r="G46" s="123">
        <f>+F46+G45</f>
        <v>290060</v>
      </c>
      <c r="H46" s="123">
        <f>+G46+H45</f>
        <v>290440</v>
      </c>
      <c r="I46" s="123">
        <f>+H46+I45</f>
        <v>290440</v>
      </c>
      <c r="J46" s="123">
        <f>+I46+J45</f>
        <v>290840</v>
      </c>
      <c r="K46" s="123">
        <f t="shared" ref="K46" si="586">+J46+K45</f>
        <v>291560</v>
      </c>
      <c r="L46" s="123">
        <f t="shared" ref="L46" si="587">+K46+L45</f>
        <v>292120</v>
      </c>
      <c r="M46" s="123">
        <f t="shared" ref="M46" si="588">+L46+M45</f>
        <v>292660</v>
      </c>
      <c r="N46" s="123">
        <f t="shared" ref="N46" si="589">+M46+N45</f>
        <v>293260</v>
      </c>
      <c r="O46" s="123">
        <f t="shared" ref="O46" si="590">+N46+O45</f>
        <v>293800</v>
      </c>
      <c r="P46" s="123">
        <f t="shared" ref="P46" si="591">+O46+P45</f>
        <v>294360</v>
      </c>
      <c r="Q46" s="123">
        <f t="shared" ref="Q46" si="592">+P46+Q45</f>
        <v>294940</v>
      </c>
      <c r="R46" s="123">
        <f t="shared" ref="R46" si="593">+Q46+R45</f>
        <v>295520</v>
      </c>
      <c r="S46" s="123">
        <f>+R46+S45</f>
        <v>295520</v>
      </c>
      <c r="T46" s="123">
        <f>+S46+T45</f>
        <v>295860</v>
      </c>
      <c r="U46" s="123">
        <f t="shared" ref="U46" si="594">+T46+U45</f>
        <v>296020</v>
      </c>
      <c r="V46" s="123">
        <f t="shared" ref="V46" si="595">+U46+V45</f>
        <v>296340</v>
      </c>
      <c r="W46" s="123">
        <f t="shared" ref="W46" si="596">+V46+W45</f>
        <v>296400</v>
      </c>
      <c r="X46" s="123">
        <f t="shared" ref="X46" si="597">+W46+X45</f>
        <v>297180</v>
      </c>
      <c r="Y46" s="123">
        <f t="shared" ref="Y46" si="598">+X46+Y45</f>
        <v>297340</v>
      </c>
      <c r="Z46" s="123">
        <f t="shared" ref="Z46" si="599">+Y46+Z45</f>
        <v>297820</v>
      </c>
      <c r="AA46" s="123">
        <f t="shared" ref="AA46" si="600">+Z46+AA45</f>
        <v>298800</v>
      </c>
      <c r="AB46" s="123">
        <f>+AA46+AB45</f>
        <v>299060</v>
      </c>
      <c r="AC46" s="123">
        <f>+AB46+AC45</f>
        <v>299360</v>
      </c>
      <c r="AD46" s="123">
        <f>+AC46+AD45</f>
        <v>299720</v>
      </c>
      <c r="AE46" s="123">
        <f>+AD46+AE45</f>
        <v>299980</v>
      </c>
      <c r="AF46" s="123">
        <f t="shared" ref="AF46" si="601">+AE46+AF45</f>
        <v>300360</v>
      </c>
      <c r="AG46" s="123">
        <f t="shared" ref="AG46" si="602">+AF46+AG45</f>
        <v>300600</v>
      </c>
      <c r="AH46" s="123">
        <f t="shared" ref="AH46" si="603">+AG46+AH45</f>
        <v>300980</v>
      </c>
      <c r="AI46" s="123">
        <f t="shared" ref="AI46" si="604">+AH46+AI45</f>
        <v>301220</v>
      </c>
      <c r="AJ46" s="123">
        <f t="shared" ref="AJ46" si="605">+AI46+AJ45</f>
        <v>301580</v>
      </c>
      <c r="AK46" s="123">
        <f t="shared" ref="AK46" si="606">+AJ46+AK45</f>
        <v>301840</v>
      </c>
      <c r="AL46" s="123">
        <f t="shared" ref="AL46" si="607">+AK46+AL45</f>
        <v>302200</v>
      </c>
      <c r="AM46" s="123">
        <f t="shared" ref="AM46" si="608">+AL46+AM45</f>
        <v>302540</v>
      </c>
      <c r="AN46" s="123">
        <f t="shared" ref="AN46" si="609">+AM46+AN45</f>
        <v>302760</v>
      </c>
      <c r="AO46" s="123">
        <f t="shared" ref="AO46" si="610">+AN46+AO45</f>
        <v>303120</v>
      </c>
      <c r="AP46" s="123">
        <f t="shared" ref="AP46" si="611">+AG46+AP45</f>
        <v>301300</v>
      </c>
      <c r="AQ46" s="123">
        <f t="shared" ref="AQ46" si="612">+AP46+AQ45</f>
        <v>301660</v>
      </c>
      <c r="AR46" s="123">
        <f t="shared" ref="AR46" si="613">+AI46+AR45</f>
        <v>301740</v>
      </c>
      <c r="AS46" s="123">
        <f t="shared" ref="AS46" si="614">+AR46+AS45</f>
        <v>302080</v>
      </c>
      <c r="AT46" s="123">
        <f t="shared" ref="AT46" si="615">+AK46+AT45</f>
        <v>302180</v>
      </c>
      <c r="AU46" s="123">
        <f t="shared" ref="AU46" si="616">+AT46+AU45</f>
        <v>302540</v>
      </c>
      <c r="AV46" s="123">
        <f t="shared" ref="AV46" si="617">+AM46+AV45</f>
        <v>303040</v>
      </c>
      <c r="AW46" s="123">
        <f t="shared" ref="AW46" si="618">+AV46+AW45</f>
        <v>303260</v>
      </c>
      <c r="AX46" s="123">
        <f t="shared" ref="AX46" si="619">+AO46+AX45</f>
        <v>303360</v>
      </c>
      <c r="AY46" s="123">
        <f t="shared" ref="AY46" si="620">+AX46+AY45</f>
        <v>303700</v>
      </c>
      <c r="AZ46" s="123">
        <v>328380</v>
      </c>
      <c r="BA46" s="123">
        <f t="shared" ref="BA46:BG46" si="621">+AZ46+BA45</f>
        <v>332120</v>
      </c>
      <c r="BB46" s="123">
        <f t="shared" si="621"/>
        <v>334080</v>
      </c>
      <c r="BC46" s="123">
        <f t="shared" si="621"/>
        <v>337480</v>
      </c>
      <c r="BD46" s="123">
        <f t="shared" si="621"/>
        <v>339380</v>
      </c>
      <c r="BE46" s="123">
        <f t="shared" si="621"/>
        <v>343300</v>
      </c>
      <c r="BF46" s="123">
        <f t="shared" si="621"/>
        <v>345860</v>
      </c>
      <c r="BG46" s="123">
        <f t="shared" si="621"/>
        <v>348440</v>
      </c>
      <c r="BH46" s="121"/>
      <c r="BI46" s="118"/>
      <c r="BK46" s="118"/>
    </row>
    <row r="47" spans="1:63" ht="35.25" customHeight="1" x14ac:dyDescent="0.2">
      <c r="A47" s="16">
        <f>+A45+1</f>
        <v>18</v>
      </c>
      <c r="B47" s="17" t="s">
        <v>107</v>
      </c>
      <c r="C47" s="17" t="s">
        <v>107</v>
      </c>
      <c r="D47" s="17"/>
      <c r="E47" s="124">
        <v>300</v>
      </c>
      <c r="F47" s="124">
        <v>260</v>
      </c>
      <c r="G47" s="124">
        <v>0</v>
      </c>
      <c r="H47" s="124">
        <v>340</v>
      </c>
      <c r="I47" s="124">
        <v>340</v>
      </c>
      <c r="J47" s="124">
        <v>480</v>
      </c>
      <c r="K47" s="124">
        <v>480</v>
      </c>
      <c r="L47" s="124">
        <v>520</v>
      </c>
      <c r="M47" s="124">
        <v>460</v>
      </c>
      <c r="N47" s="124">
        <v>560</v>
      </c>
      <c r="O47" s="124">
        <v>560</v>
      </c>
      <c r="P47" s="124">
        <v>520</v>
      </c>
      <c r="Q47" s="124">
        <v>520</v>
      </c>
      <c r="R47" s="124">
        <v>440</v>
      </c>
      <c r="S47" s="124">
        <v>20</v>
      </c>
      <c r="T47" s="124">
        <v>620</v>
      </c>
      <c r="U47" s="124">
        <v>460</v>
      </c>
      <c r="V47" s="124">
        <v>480</v>
      </c>
      <c r="W47" s="124">
        <v>540</v>
      </c>
      <c r="X47" s="124">
        <v>500</v>
      </c>
      <c r="Y47" s="168">
        <v>160</v>
      </c>
      <c r="Z47" s="124">
        <v>0</v>
      </c>
      <c r="AA47" s="124">
        <v>620</v>
      </c>
      <c r="AB47" s="124">
        <v>320</v>
      </c>
      <c r="AC47" s="124">
        <v>220</v>
      </c>
      <c r="AD47" s="124">
        <v>280</v>
      </c>
      <c r="AE47" s="124">
        <v>200</v>
      </c>
      <c r="AF47" s="124">
        <v>280</v>
      </c>
      <c r="AG47" s="124">
        <v>200</v>
      </c>
      <c r="AH47" s="124">
        <v>420</v>
      </c>
      <c r="AI47" s="124">
        <v>280</v>
      </c>
      <c r="AJ47" s="124">
        <v>420</v>
      </c>
      <c r="AK47" s="124">
        <v>260</v>
      </c>
      <c r="AL47" s="124">
        <v>420</v>
      </c>
      <c r="AM47" s="124">
        <v>400</v>
      </c>
      <c r="AN47" s="124">
        <v>260</v>
      </c>
      <c r="AO47" s="124">
        <v>560</v>
      </c>
      <c r="AP47" s="124">
        <v>1140</v>
      </c>
      <c r="AQ47" s="124">
        <v>560</v>
      </c>
      <c r="AR47" s="124">
        <v>840</v>
      </c>
      <c r="AS47" s="124">
        <v>560</v>
      </c>
      <c r="AT47" s="124">
        <v>540</v>
      </c>
      <c r="AU47" s="124">
        <v>560</v>
      </c>
      <c r="AV47" s="124">
        <v>820</v>
      </c>
      <c r="AW47" s="124">
        <v>360</v>
      </c>
      <c r="AX47" s="124">
        <v>360</v>
      </c>
      <c r="AY47" s="124">
        <v>520</v>
      </c>
      <c r="AZ47" s="124">
        <v>2720</v>
      </c>
      <c r="BA47" s="124">
        <f>+SUM(M47:T47)</f>
        <v>3700</v>
      </c>
      <c r="BB47" s="124">
        <f>SUM(U47:Z47)</f>
        <v>2140</v>
      </c>
      <c r="BC47" s="124">
        <f>SUM(AA47:AI47)</f>
        <v>2820</v>
      </c>
      <c r="BD47" s="124">
        <f>SUM(AJ47:AO47)</f>
        <v>2320</v>
      </c>
      <c r="BE47" s="124">
        <f>SUM(AP47:AY47)</f>
        <v>6260</v>
      </c>
      <c r="BF47" s="124">
        <v>3980</v>
      </c>
      <c r="BG47" s="124">
        <v>4000</v>
      </c>
      <c r="BH47" s="116" t="s">
        <v>82</v>
      </c>
    </row>
    <row r="48" spans="1:63" ht="35.25" customHeight="1" x14ac:dyDescent="0.2">
      <c r="A48" s="119"/>
      <c r="B48" s="120"/>
      <c r="C48" s="120" t="s">
        <v>48</v>
      </c>
      <c r="D48" s="133">
        <f>E48</f>
        <v>302980</v>
      </c>
      <c r="E48" s="123">
        <v>302980</v>
      </c>
      <c r="F48" s="123">
        <f>+E48+F47</f>
        <v>303240</v>
      </c>
      <c r="G48" s="123">
        <f>+F48+G47</f>
        <v>303240</v>
      </c>
      <c r="H48" s="123">
        <f>+G48+H47</f>
        <v>303580</v>
      </c>
      <c r="I48" s="123">
        <f>+H48+I47</f>
        <v>303920</v>
      </c>
      <c r="J48" s="123">
        <f>+I48+J47</f>
        <v>304400</v>
      </c>
      <c r="K48" s="123">
        <f t="shared" ref="K48" si="622">+J48+K47</f>
        <v>304880</v>
      </c>
      <c r="L48" s="123">
        <f t="shared" ref="L48" si="623">+K48+L47</f>
        <v>305400</v>
      </c>
      <c r="M48" s="123">
        <f t="shared" ref="M48" si="624">+L48+M47</f>
        <v>305860</v>
      </c>
      <c r="N48" s="123">
        <f t="shared" ref="N48" si="625">+M48+N47</f>
        <v>306420</v>
      </c>
      <c r="O48" s="123">
        <f t="shared" ref="O48" si="626">+N48+O47</f>
        <v>306980</v>
      </c>
      <c r="P48" s="123">
        <f t="shared" ref="P48" si="627">+O48+P47</f>
        <v>307500</v>
      </c>
      <c r="Q48" s="123">
        <f t="shared" ref="Q48" si="628">+P48+Q47</f>
        <v>308020</v>
      </c>
      <c r="R48" s="123">
        <f t="shared" ref="R48" si="629">+Q48+R47</f>
        <v>308460</v>
      </c>
      <c r="S48" s="123">
        <f>+R48+S47</f>
        <v>308480</v>
      </c>
      <c r="T48" s="123">
        <f>+S48+T47</f>
        <v>309100</v>
      </c>
      <c r="U48" s="123">
        <f t="shared" ref="U48" si="630">+T48+U47</f>
        <v>309560</v>
      </c>
      <c r="V48" s="123">
        <f t="shared" ref="V48" si="631">+U48+V47</f>
        <v>310040</v>
      </c>
      <c r="W48" s="123">
        <f t="shared" ref="W48" si="632">+V48+W47</f>
        <v>310580</v>
      </c>
      <c r="X48" s="123">
        <f t="shared" ref="X48" si="633">+W48+X47</f>
        <v>311080</v>
      </c>
      <c r="Y48" s="123">
        <f t="shared" ref="Y48" si="634">+X48+Y47</f>
        <v>311240</v>
      </c>
      <c r="Z48" s="123">
        <f t="shared" ref="Z48" si="635">+Y48+Z47</f>
        <v>311240</v>
      </c>
      <c r="AA48" s="123">
        <f t="shared" ref="AA48" si="636">+Z48+AA47</f>
        <v>311860</v>
      </c>
      <c r="AB48" s="123">
        <f>+AA48+AB47</f>
        <v>312180</v>
      </c>
      <c r="AC48" s="123">
        <f>+AB48+AC47</f>
        <v>312400</v>
      </c>
      <c r="AD48" s="123">
        <f>+AC48+AD47</f>
        <v>312680</v>
      </c>
      <c r="AE48" s="123">
        <f>+AD48+AE47</f>
        <v>312880</v>
      </c>
      <c r="AF48" s="123">
        <f t="shared" ref="AF48" si="637">+AE48+AF47</f>
        <v>313160</v>
      </c>
      <c r="AG48" s="123">
        <f t="shared" ref="AG48" si="638">+AF48+AG47</f>
        <v>313360</v>
      </c>
      <c r="AH48" s="123">
        <f t="shared" ref="AH48" si="639">+AG48+AH47</f>
        <v>313780</v>
      </c>
      <c r="AI48" s="123">
        <f t="shared" ref="AI48" si="640">+AH48+AI47</f>
        <v>314060</v>
      </c>
      <c r="AJ48" s="123">
        <f t="shared" ref="AJ48" si="641">+AI48+AJ47</f>
        <v>314480</v>
      </c>
      <c r="AK48" s="123">
        <f t="shared" ref="AK48" si="642">+AJ48+AK47</f>
        <v>314740</v>
      </c>
      <c r="AL48" s="123">
        <f t="shared" ref="AL48" si="643">+AK48+AL47</f>
        <v>315160</v>
      </c>
      <c r="AM48" s="123">
        <f t="shared" ref="AM48" si="644">+AL48+AM47</f>
        <v>315560</v>
      </c>
      <c r="AN48" s="123">
        <f t="shared" ref="AN48" si="645">+AM48+AN47</f>
        <v>315820</v>
      </c>
      <c r="AO48" s="123">
        <f t="shared" ref="AO48" si="646">+AN48+AO47</f>
        <v>316380</v>
      </c>
      <c r="AP48" s="123">
        <f t="shared" ref="AP48" si="647">+AG48+AP47</f>
        <v>314500</v>
      </c>
      <c r="AQ48" s="123">
        <f t="shared" ref="AQ48" si="648">+AP48+AQ47</f>
        <v>315060</v>
      </c>
      <c r="AR48" s="123">
        <f t="shared" ref="AR48" si="649">+AI48+AR47</f>
        <v>314900</v>
      </c>
      <c r="AS48" s="123">
        <f t="shared" ref="AS48" si="650">+AR48+AS47</f>
        <v>315460</v>
      </c>
      <c r="AT48" s="123">
        <f t="shared" ref="AT48" si="651">+AK48+AT47</f>
        <v>315280</v>
      </c>
      <c r="AU48" s="123">
        <f t="shared" ref="AU48" si="652">+AT48+AU47</f>
        <v>315840</v>
      </c>
      <c r="AV48" s="123">
        <f t="shared" ref="AV48" si="653">+AM48+AV47</f>
        <v>316380</v>
      </c>
      <c r="AW48" s="123">
        <f t="shared" ref="AW48" si="654">+AV48+AW47</f>
        <v>316740</v>
      </c>
      <c r="AX48" s="123">
        <f t="shared" ref="AX48" si="655">+AO48+AX47</f>
        <v>316740</v>
      </c>
      <c r="AY48" s="123">
        <f t="shared" ref="AY48" si="656">+AX48+AY47</f>
        <v>317260</v>
      </c>
      <c r="AZ48" s="123">
        <v>359600</v>
      </c>
      <c r="BA48" s="123">
        <f t="shared" ref="BA48:BG48" si="657">+AZ48+BA47</f>
        <v>363300</v>
      </c>
      <c r="BB48" s="123">
        <f t="shared" si="657"/>
        <v>365440</v>
      </c>
      <c r="BC48" s="123">
        <f t="shared" si="657"/>
        <v>368260</v>
      </c>
      <c r="BD48" s="123">
        <f t="shared" si="657"/>
        <v>370580</v>
      </c>
      <c r="BE48" s="123">
        <f t="shared" si="657"/>
        <v>376840</v>
      </c>
      <c r="BF48" s="123">
        <f t="shared" si="657"/>
        <v>380820</v>
      </c>
      <c r="BG48" s="123">
        <f t="shared" si="657"/>
        <v>384820</v>
      </c>
      <c r="BH48" s="121"/>
      <c r="BI48" s="118"/>
      <c r="BK48" s="118"/>
    </row>
    <row r="49" spans="1:63" ht="35.25" customHeight="1" x14ac:dyDescent="0.2">
      <c r="A49" s="172">
        <f>+A47+1</f>
        <v>19</v>
      </c>
      <c r="B49" s="17" t="s">
        <v>67</v>
      </c>
      <c r="C49" s="17" t="s">
        <v>67</v>
      </c>
      <c r="D49" s="17"/>
      <c r="E49" s="168">
        <v>380</v>
      </c>
      <c r="F49" s="124">
        <v>80</v>
      </c>
      <c r="G49" s="124">
        <v>40</v>
      </c>
      <c r="H49" s="124">
        <v>40</v>
      </c>
      <c r="I49" s="124">
        <v>140</v>
      </c>
      <c r="J49" s="124">
        <v>40</v>
      </c>
      <c r="K49" s="124">
        <v>60</v>
      </c>
      <c r="L49" s="124">
        <v>140</v>
      </c>
      <c r="M49" s="124">
        <v>260</v>
      </c>
      <c r="N49" s="124">
        <v>200</v>
      </c>
      <c r="O49" s="124">
        <v>140</v>
      </c>
      <c r="P49" s="168">
        <f>160+160</f>
        <v>320</v>
      </c>
      <c r="Q49" s="124">
        <v>200</v>
      </c>
      <c r="R49" s="124">
        <v>160</v>
      </c>
      <c r="S49" s="183">
        <v>220</v>
      </c>
      <c r="T49" s="185">
        <f>280+40</f>
        <v>320</v>
      </c>
      <c r="U49" s="124">
        <v>200</v>
      </c>
      <c r="V49" s="124">
        <v>0</v>
      </c>
      <c r="W49" s="124">
        <v>280</v>
      </c>
      <c r="X49" s="124">
        <v>180</v>
      </c>
      <c r="Y49" s="197">
        <f>80+20+240</f>
        <v>340</v>
      </c>
      <c r="Z49" s="124">
        <v>120</v>
      </c>
      <c r="AA49" s="124">
        <v>420</v>
      </c>
      <c r="AB49" s="124">
        <v>360</v>
      </c>
      <c r="AC49" s="124">
        <v>140</v>
      </c>
      <c r="AD49" s="124">
        <v>180</v>
      </c>
      <c r="AE49" s="124">
        <v>140</v>
      </c>
      <c r="AF49" s="124">
        <v>200</v>
      </c>
      <c r="AG49" s="124">
        <v>120</v>
      </c>
      <c r="AH49" s="124">
        <v>220</v>
      </c>
      <c r="AI49" s="124">
        <v>140</v>
      </c>
      <c r="AJ49" s="124">
        <v>220</v>
      </c>
      <c r="AK49" s="124">
        <v>140</v>
      </c>
      <c r="AL49" s="124">
        <v>200</v>
      </c>
      <c r="AM49" s="124">
        <v>220</v>
      </c>
      <c r="AN49" s="124">
        <v>140</v>
      </c>
      <c r="AO49" s="124">
        <v>120</v>
      </c>
      <c r="AP49" s="124">
        <v>280</v>
      </c>
      <c r="AQ49" s="124">
        <v>120</v>
      </c>
      <c r="AR49" s="124">
        <v>200</v>
      </c>
      <c r="AS49" s="124">
        <v>140</v>
      </c>
      <c r="AT49" s="124">
        <v>120</v>
      </c>
      <c r="AU49" s="124">
        <v>140</v>
      </c>
      <c r="AV49" s="124">
        <v>200</v>
      </c>
      <c r="AW49" s="124">
        <v>100</v>
      </c>
      <c r="AX49" s="124">
        <v>120</v>
      </c>
      <c r="AY49" s="124">
        <v>160</v>
      </c>
      <c r="AZ49" s="124">
        <v>920</v>
      </c>
      <c r="BA49" s="124">
        <f>+SUM(M49:T49)</f>
        <v>1820</v>
      </c>
      <c r="BB49" s="124">
        <f>SUM(U49:Z49)</f>
        <v>1120</v>
      </c>
      <c r="BC49" s="124">
        <f>SUM(AA49:AI49)</f>
        <v>1920</v>
      </c>
      <c r="BD49" s="124">
        <f>SUM(AJ49:AO49)</f>
        <v>1040</v>
      </c>
      <c r="BE49" s="124">
        <f>SUM(AP49:AY49)</f>
        <v>1580</v>
      </c>
      <c r="BF49" s="124">
        <v>1340</v>
      </c>
      <c r="BG49" s="124">
        <v>1340</v>
      </c>
      <c r="BH49" s="116" t="s">
        <v>83</v>
      </c>
    </row>
    <row r="50" spans="1:63" ht="35.25" customHeight="1" x14ac:dyDescent="0.2">
      <c r="A50" s="119"/>
      <c r="B50" s="120"/>
      <c r="C50" s="120" t="s">
        <v>48</v>
      </c>
      <c r="D50" s="133">
        <f>E50</f>
        <v>65540</v>
      </c>
      <c r="E50" s="123">
        <v>65540</v>
      </c>
      <c r="F50" s="123">
        <f>+E50+F49</f>
        <v>65620</v>
      </c>
      <c r="G50" s="123">
        <f>+F50+G49</f>
        <v>65660</v>
      </c>
      <c r="H50" s="123">
        <f>+G50+H49</f>
        <v>65700</v>
      </c>
      <c r="I50" s="123">
        <f>+H50+I49</f>
        <v>65840</v>
      </c>
      <c r="J50" s="123">
        <f>+I50+J49</f>
        <v>65880</v>
      </c>
      <c r="K50" s="123">
        <f t="shared" ref="K50" si="658">+J50+K49</f>
        <v>65940</v>
      </c>
      <c r="L50" s="123">
        <f t="shared" ref="L50" si="659">+K50+L49</f>
        <v>66080</v>
      </c>
      <c r="M50" s="123">
        <f t="shared" ref="M50" si="660">+L50+M49</f>
        <v>66340</v>
      </c>
      <c r="N50" s="123">
        <f t="shared" ref="N50" si="661">+M50+N49</f>
        <v>66540</v>
      </c>
      <c r="O50" s="123">
        <f t="shared" ref="O50" si="662">+N50+O49</f>
        <v>66680</v>
      </c>
      <c r="P50" s="123">
        <f t="shared" ref="P50" si="663">+O50+P49</f>
        <v>67000</v>
      </c>
      <c r="Q50" s="123">
        <f t="shared" ref="Q50" si="664">+P50+Q49</f>
        <v>67200</v>
      </c>
      <c r="R50" s="123">
        <f t="shared" ref="R50" si="665">+Q50+R49</f>
        <v>67360</v>
      </c>
      <c r="S50" s="123">
        <f>+R50+S49</f>
        <v>67580</v>
      </c>
      <c r="T50" s="123">
        <f>+S50+T49</f>
        <v>67900</v>
      </c>
      <c r="U50" s="123">
        <f t="shared" ref="U50" si="666">+T50+U49</f>
        <v>68100</v>
      </c>
      <c r="V50" s="123">
        <f t="shared" ref="V50" si="667">+U50+V49</f>
        <v>68100</v>
      </c>
      <c r="W50" s="123">
        <f t="shared" ref="W50" si="668">+V50+W49</f>
        <v>68380</v>
      </c>
      <c r="X50" s="123">
        <f t="shared" ref="X50" si="669">+W50+X49</f>
        <v>68560</v>
      </c>
      <c r="Y50" s="123">
        <f t="shared" ref="Y50" si="670">+X50+Y49</f>
        <v>68900</v>
      </c>
      <c r="Z50" s="123">
        <f t="shared" ref="Z50" si="671">+Y50+Z49</f>
        <v>69020</v>
      </c>
      <c r="AA50" s="123">
        <f t="shared" ref="AA50" si="672">+Z50+AA49</f>
        <v>69440</v>
      </c>
      <c r="AB50" s="123">
        <f>+AA50+AB49</f>
        <v>69800</v>
      </c>
      <c r="AC50" s="123">
        <f>+AB50+AC49</f>
        <v>69940</v>
      </c>
      <c r="AD50" s="123">
        <f>+AC50+AD49</f>
        <v>70120</v>
      </c>
      <c r="AE50" s="123">
        <f>+AD50+AE49</f>
        <v>70260</v>
      </c>
      <c r="AF50" s="123">
        <f t="shared" ref="AF50" si="673">+AE50+AF49</f>
        <v>70460</v>
      </c>
      <c r="AG50" s="123">
        <f t="shared" ref="AG50" si="674">+AF50+AG49</f>
        <v>70580</v>
      </c>
      <c r="AH50" s="123">
        <f t="shared" ref="AH50" si="675">+AG50+AH49</f>
        <v>70800</v>
      </c>
      <c r="AI50" s="123">
        <f t="shared" ref="AI50" si="676">+AH50+AI49</f>
        <v>70940</v>
      </c>
      <c r="AJ50" s="123">
        <f t="shared" ref="AJ50" si="677">+AI50+AJ49</f>
        <v>71160</v>
      </c>
      <c r="AK50" s="123">
        <f t="shared" ref="AK50" si="678">+AJ50+AK49</f>
        <v>71300</v>
      </c>
      <c r="AL50" s="123">
        <f t="shared" ref="AL50" si="679">+AK50+AL49</f>
        <v>71500</v>
      </c>
      <c r="AM50" s="123">
        <f t="shared" ref="AM50" si="680">+AL50+AM49</f>
        <v>71720</v>
      </c>
      <c r="AN50" s="123">
        <f t="shared" ref="AN50" si="681">+AM50+AN49</f>
        <v>71860</v>
      </c>
      <c r="AO50" s="123">
        <f t="shared" ref="AO50" si="682">+AN50+AO49</f>
        <v>71980</v>
      </c>
      <c r="AP50" s="123">
        <f t="shared" ref="AP50" si="683">+AG50+AP49</f>
        <v>70860</v>
      </c>
      <c r="AQ50" s="123">
        <f t="shared" ref="AQ50" si="684">+AP50+AQ49</f>
        <v>70980</v>
      </c>
      <c r="AR50" s="123">
        <f t="shared" ref="AR50" si="685">+AI50+AR49</f>
        <v>71140</v>
      </c>
      <c r="AS50" s="123">
        <f t="shared" ref="AS50" si="686">+AR50+AS49</f>
        <v>71280</v>
      </c>
      <c r="AT50" s="123">
        <f t="shared" ref="AT50" si="687">+AK50+AT49</f>
        <v>71420</v>
      </c>
      <c r="AU50" s="123">
        <f t="shared" ref="AU50" si="688">+AT50+AU49</f>
        <v>71560</v>
      </c>
      <c r="AV50" s="123">
        <f t="shared" ref="AV50" si="689">+AM50+AV49</f>
        <v>71920</v>
      </c>
      <c r="AW50" s="123">
        <f t="shared" ref="AW50" si="690">+AV50+AW49</f>
        <v>72020</v>
      </c>
      <c r="AX50" s="123">
        <f t="shared" ref="AX50" si="691">+AO50+AX49</f>
        <v>72100</v>
      </c>
      <c r="AY50" s="123">
        <f t="shared" ref="AY50" si="692">+AX50+AY49</f>
        <v>72260</v>
      </c>
      <c r="AZ50" s="123">
        <v>78760</v>
      </c>
      <c r="BA50" s="123">
        <f t="shared" ref="BA50:BG50" si="693">+AZ50+BA49</f>
        <v>80580</v>
      </c>
      <c r="BB50" s="123">
        <f t="shared" si="693"/>
        <v>81700</v>
      </c>
      <c r="BC50" s="123">
        <f t="shared" si="693"/>
        <v>83620</v>
      </c>
      <c r="BD50" s="123">
        <f t="shared" si="693"/>
        <v>84660</v>
      </c>
      <c r="BE50" s="123">
        <f t="shared" si="693"/>
        <v>86240</v>
      </c>
      <c r="BF50" s="123">
        <f t="shared" si="693"/>
        <v>87580</v>
      </c>
      <c r="BG50" s="123">
        <f t="shared" si="693"/>
        <v>88920</v>
      </c>
      <c r="BH50" s="121"/>
      <c r="BI50" s="118"/>
      <c r="BK50" s="118"/>
    </row>
    <row r="51" spans="1:63" ht="35.25" customHeight="1" x14ac:dyDescent="0.2">
      <c r="A51" s="16">
        <f>+A49+1</f>
        <v>20</v>
      </c>
      <c r="B51" s="17" t="s">
        <v>68</v>
      </c>
      <c r="C51" s="17" t="s">
        <v>68</v>
      </c>
      <c r="D51" s="17"/>
      <c r="E51" s="124">
        <v>300</v>
      </c>
      <c r="F51" s="124">
        <v>120</v>
      </c>
      <c r="G51" s="124">
        <v>60</v>
      </c>
      <c r="H51" s="124">
        <v>120</v>
      </c>
      <c r="I51" s="124">
        <v>420</v>
      </c>
      <c r="J51" s="124">
        <v>240</v>
      </c>
      <c r="K51" s="124">
        <v>300</v>
      </c>
      <c r="L51" s="124">
        <v>360</v>
      </c>
      <c r="M51" s="124">
        <v>360</v>
      </c>
      <c r="N51" s="124">
        <v>420</v>
      </c>
      <c r="O51" s="124">
        <v>360</v>
      </c>
      <c r="P51" s="124">
        <v>360</v>
      </c>
      <c r="Q51" s="124">
        <v>180</v>
      </c>
      <c r="R51" s="124">
        <v>360</v>
      </c>
      <c r="S51" s="124">
        <v>0</v>
      </c>
      <c r="T51" s="124">
        <v>0</v>
      </c>
      <c r="U51" s="124">
        <v>0</v>
      </c>
      <c r="V51" s="124">
        <v>0</v>
      </c>
      <c r="W51" s="124">
        <v>120</v>
      </c>
      <c r="X51" s="124">
        <v>120</v>
      </c>
      <c r="Y51" s="197">
        <f>180+60+120</f>
        <v>360</v>
      </c>
      <c r="Z51" s="124">
        <v>180</v>
      </c>
      <c r="AA51" s="124">
        <v>360</v>
      </c>
      <c r="AB51" s="124">
        <v>360</v>
      </c>
      <c r="AC51" s="124">
        <v>120</v>
      </c>
      <c r="AD51" s="124">
        <v>240</v>
      </c>
      <c r="AE51" s="124">
        <v>120</v>
      </c>
      <c r="AF51" s="124">
        <v>180</v>
      </c>
      <c r="AG51" s="124">
        <v>180</v>
      </c>
      <c r="AH51" s="124">
        <v>240</v>
      </c>
      <c r="AI51" s="124">
        <v>180</v>
      </c>
      <c r="AJ51" s="124">
        <v>240</v>
      </c>
      <c r="AK51" s="124">
        <v>180</v>
      </c>
      <c r="AL51" s="124">
        <v>240</v>
      </c>
      <c r="AM51" s="124">
        <v>300</v>
      </c>
      <c r="AN51" s="124">
        <v>120</v>
      </c>
      <c r="AO51" s="124">
        <v>180</v>
      </c>
      <c r="AP51" s="124">
        <v>360</v>
      </c>
      <c r="AQ51" s="124">
        <v>120</v>
      </c>
      <c r="AR51" s="124">
        <v>240</v>
      </c>
      <c r="AS51" s="124">
        <v>180</v>
      </c>
      <c r="AT51" s="124">
        <v>180</v>
      </c>
      <c r="AU51" s="124">
        <v>120</v>
      </c>
      <c r="AV51" s="124">
        <v>240</v>
      </c>
      <c r="AW51" s="124">
        <v>180</v>
      </c>
      <c r="AX51" s="124">
        <v>120</v>
      </c>
      <c r="AY51" s="124">
        <v>180</v>
      </c>
      <c r="AZ51" s="124">
        <v>1920</v>
      </c>
      <c r="BA51" s="124">
        <f>+SUM(M51:T51)</f>
        <v>2040</v>
      </c>
      <c r="BB51" s="124">
        <f>SUM(U51:Z51)</f>
        <v>780</v>
      </c>
      <c r="BC51" s="124">
        <f>SUM(AA51:AI51)</f>
        <v>1980</v>
      </c>
      <c r="BD51" s="124">
        <f>SUM(AJ51:AO51)</f>
        <v>1260</v>
      </c>
      <c r="BE51" s="124">
        <f>SUM(AP51:AY51)</f>
        <v>1920</v>
      </c>
      <c r="BF51" s="124">
        <v>1680</v>
      </c>
      <c r="BG51" s="124">
        <v>1620</v>
      </c>
      <c r="BH51" s="116" t="s">
        <v>83</v>
      </c>
    </row>
    <row r="52" spans="1:63" ht="35.25" customHeight="1" x14ac:dyDescent="0.2">
      <c r="A52" s="119"/>
      <c r="B52" s="120"/>
      <c r="C52" s="120" t="s">
        <v>48</v>
      </c>
      <c r="D52" s="133">
        <f>E52</f>
        <v>111060</v>
      </c>
      <c r="E52" s="123">
        <v>111060</v>
      </c>
      <c r="F52" s="123">
        <f>+E52+F51</f>
        <v>111180</v>
      </c>
      <c r="G52" s="123">
        <f>+F52+G51</f>
        <v>111240</v>
      </c>
      <c r="H52" s="123">
        <f>+G52+H51</f>
        <v>111360</v>
      </c>
      <c r="I52" s="123">
        <f>+H52+I51</f>
        <v>111780</v>
      </c>
      <c r="J52" s="123">
        <f>+I52+J51</f>
        <v>112020</v>
      </c>
      <c r="K52" s="123">
        <f t="shared" ref="K52" si="694">+J52+K51</f>
        <v>112320</v>
      </c>
      <c r="L52" s="123">
        <f t="shared" ref="L52" si="695">+K52+L51</f>
        <v>112680</v>
      </c>
      <c r="M52" s="123">
        <f t="shared" ref="M52" si="696">+L52+M51</f>
        <v>113040</v>
      </c>
      <c r="N52" s="123">
        <f t="shared" ref="N52" si="697">+M52+N51</f>
        <v>113460</v>
      </c>
      <c r="O52" s="123">
        <f t="shared" ref="O52" si="698">+N52+O51</f>
        <v>113820</v>
      </c>
      <c r="P52" s="123">
        <f t="shared" ref="P52" si="699">+O52+P51</f>
        <v>114180</v>
      </c>
      <c r="Q52" s="123">
        <f t="shared" ref="Q52" si="700">+P52+Q51</f>
        <v>114360</v>
      </c>
      <c r="R52" s="123">
        <f t="shared" ref="R52" si="701">+Q52+R51</f>
        <v>114720</v>
      </c>
      <c r="S52" s="123">
        <f>+R52+S51</f>
        <v>114720</v>
      </c>
      <c r="T52" s="123">
        <f>+S52+T51</f>
        <v>114720</v>
      </c>
      <c r="U52" s="123">
        <f t="shared" ref="U52" si="702">+T52+U51</f>
        <v>114720</v>
      </c>
      <c r="V52" s="123">
        <f t="shared" ref="V52" si="703">+U52+V51</f>
        <v>114720</v>
      </c>
      <c r="W52" s="123">
        <f t="shared" ref="W52" si="704">+V52+W51</f>
        <v>114840</v>
      </c>
      <c r="X52" s="123">
        <f t="shared" ref="X52" si="705">+W52+X51</f>
        <v>114960</v>
      </c>
      <c r="Y52" s="123">
        <f t="shared" ref="Y52" si="706">+X52+Y51</f>
        <v>115320</v>
      </c>
      <c r="Z52" s="123">
        <f t="shared" ref="Z52" si="707">+Y52+Z51</f>
        <v>115500</v>
      </c>
      <c r="AA52" s="123">
        <f t="shared" ref="AA52" si="708">+Z52+AA51</f>
        <v>115860</v>
      </c>
      <c r="AB52" s="123">
        <f>+AA52+AB51</f>
        <v>116220</v>
      </c>
      <c r="AC52" s="123">
        <f>+AB52+AC51</f>
        <v>116340</v>
      </c>
      <c r="AD52" s="123">
        <f>+AC52+AD51</f>
        <v>116580</v>
      </c>
      <c r="AE52" s="123">
        <f>+AD52+AE51</f>
        <v>116700</v>
      </c>
      <c r="AF52" s="123">
        <f t="shared" ref="AF52" si="709">+AE52+AF51</f>
        <v>116880</v>
      </c>
      <c r="AG52" s="123">
        <f t="shared" ref="AG52" si="710">+AF52+AG51</f>
        <v>117060</v>
      </c>
      <c r="AH52" s="123">
        <f t="shared" ref="AH52" si="711">+AG52+AH51</f>
        <v>117300</v>
      </c>
      <c r="AI52" s="123">
        <f t="shared" ref="AI52" si="712">+AH52+AI51</f>
        <v>117480</v>
      </c>
      <c r="AJ52" s="123">
        <f t="shared" ref="AJ52" si="713">+AI52+AJ51</f>
        <v>117720</v>
      </c>
      <c r="AK52" s="123">
        <f t="shared" ref="AK52" si="714">+AJ52+AK51</f>
        <v>117900</v>
      </c>
      <c r="AL52" s="123">
        <f t="shared" ref="AL52" si="715">+AK52+AL51</f>
        <v>118140</v>
      </c>
      <c r="AM52" s="123">
        <f t="shared" ref="AM52" si="716">+AL52+AM51</f>
        <v>118440</v>
      </c>
      <c r="AN52" s="123">
        <f t="shared" ref="AN52" si="717">+AM52+AN51</f>
        <v>118560</v>
      </c>
      <c r="AO52" s="123">
        <f t="shared" ref="AO52" si="718">+AN52+AO51</f>
        <v>118740</v>
      </c>
      <c r="AP52" s="123">
        <f t="shared" ref="AP52" si="719">+AG52+AP51</f>
        <v>117420</v>
      </c>
      <c r="AQ52" s="123">
        <f t="shared" ref="AQ52" si="720">+AP52+AQ51</f>
        <v>117540</v>
      </c>
      <c r="AR52" s="123">
        <f t="shared" ref="AR52" si="721">+AI52+AR51</f>
        <v>117720</v>
      </c>
      <c r="AS52" s="123">
        <f t="shared" ref="AS52" si="722">+AR52+AS51</f>
        <v>117900</v>
      </c>
      <c r="AT52" s="123">
        <f t="shared" ref="AT52" si="723">+AK52+AT51</f>
        <v>118080</v>
      </c>
      <c r="AU52" s="123">
        <f t="shared" ref="AU52" si="724">+AT52+AU51</f>
        <v>118200</v>
      </c>
      <c r="AV52" s="123">
        <f t="shared" ref="AV52" si="725">+AM52+AV51</f>
        <v>118680</v>
      </c>
      <c r="AW52" s="123">
        <f t="shared" ref="AW52" si="726">+AV52+AW51</f>
        <v>118860</v>
      </c>
      <c r="AX52" s="123">
        <f t="shared" ref="AX52" si="727">+AO52+AX51</f>
        <v>118860</v>
      </c>
      <c r="AY52" s="123">
        <f t="shared" ref="AY52" si="728">+AX52+AY51</f>
        <v>119040</v>
      </c>
      <c r="AZ52" s="123">
        <v>133440</v>
      </c>
      <c r="BA52" s="123">
        <f t="shared" ref="BA52:BG52" si="729">+AZ52+BA51</f>
        <v>135480</v>
      </c>
      <c r="BB52" s="123">
        <f t="shared" si="729"/>
        <v>136260</v>
      </c>
      <c r="BC52" s="123">
        <f t="shared" si="729"/>
        <v>138240</v>
      </c>
      <c r="BD52" s="123">
        <f t="shared" si="729"/>
        <v>139500</v>
      </c>
      <c r="BE52" s="123">
        <f t="shared" si="729"/>
        <v>141420</v>
      </c>
      <c r="BF52" s="123">
        <f t="shared" si="729"/>
        <v>143100</v>
      </c>
      <c r="BG52" s="123">
        <f t="shared" si="729"/>
        <v>144720</v>
      </c>
      <c r="BH52" s="121"/>
      <c r="BI52" s="118"/>
      <c r="BK52" s="118"/>
    </row>
    <row r="53" spans="1:63" ht="35.25" customHeight="1" x14ac:dyDescent="0.2">
      <c r="A53" s="16">
        <f>+A51+1</f>
        <v>21</v>
      </c>
      <c r="B53" s="17" t="s">
        <v>69</v>
      </c>
      <c r="C53" s="17" t="s">
        <v>69</v>
      </c>
      <c r="D53" s="17"/>
      <c r="E53" s="124">
        <v>0</v>
      </c>
      <c r="F53" s="124">
        <v>0</v>
      </c>
      <c r="G53" s="124">
        <v>0</v>
      </c>
      <c r="H53" s="124">
        <v>0</v>
      </c>
      <c r="I53" s="124">
        <v>40</v>
      </c>
      <c r="J53" s="124">
        <v>0</v>
      </c>
      <c r="K53" s="124">
        <v>0</v>
      </c>
      <c r="L53" s="124">
        <v>0</v>
      </c>
      <c r="M53" s="124">
        <v>40</v>
      </c>
      <c r="N53" s="124">
        <v>0</v>
      </c>
      <c r="O53" s="124">
        <v>40</v>
      </c>
      <c r="P53" s="124">
        <v>0</v>
      </c>
      <c r="Q53" s="124">
        <v>0</v>
      </c>
      <c r="R53" s="124">
        <v>0</v>
      </c>
      <c r="S53" s="124">
        <v>80</v>
      </c>
      <c r="T53" s="124">
        <v>0</v>
      </c>
      <c r="U53" s="124">
        <v>0</v>
      </c>
      <c r="V53" s="124">
        <v>40</v>
      </c>
      <c r="W53" s="124">
        <v>0</v>
      </c>
      <c r="X53" s="124">
        <v>0</v>
      </c>
      <c r="Y53" s="197">
        <v>40</v>
      </c>
      <c r="Z53" s="124">
        <v>0</v>
      </c>
      <c r="AA53" s="124">
        <v>40</v>
      </c>
      <c r="AB53" s="124">
        <v>80</v>
      </c>
      <c r="AC53" s="124">
        <v>0</v>
      </c>
      <c r="AD53" s="124">
        <v>40</v>
      </c>
      <c r="AE53" s="124">
        <v>0</v>
      </c>
      <c r="AF53" s="124">
        <v>0</v>
      </c>
      <c r="AG53" s="124">
        <v>0</v>
      </c>
      <c r="AH53" s="124">
        <v>40</v>
      </c>
      <c r="AI53" s="124">
        <v>0</v>
      </c>
      <c r="AJ53" s="124">
        <v>0</v>
      </c>
      <c r="AK53" s="124">
        <v>0</v>
      </c>
      <c r="AL53" s="124">
        <v>40</v>
      </c>
      <c r="AM53" s="124">
        <v>0</v>
      </c>
      <c r="AN53" s="124">
        <v>0</v>
      </c>
      <c r="AO53" s="124">
        <v>0</v>
      </c>
      <c r="AP53" s="124">
        <v>40</v>
      </c>
      <c r="AQ53" s="124">
        <v>0</v>
      </c>
      <c r="AR53" s="124">
        <v>0</v>
      </c>
      <c r="AS53" s="124">
        <v>40</v>
      </c>
      <c r="AT53" s="124">
        <v>0</v>
      </c>
      <c r="AU53" s="124">
        <v>0</v>
      </c>
      <c r="AV53" s="124">
        <v>0</v>
      </c>
      <c r="AW53" s="124">
        <v>40</v>
      </c>
      <c r="AX53" s="124">
        <v>0</v>
      </c>
      <c r="AY53" s="124">
        <v>0</v>
      </c>
      <c r="AZ53" s="124">
        <v>40</v>
      </c>
      <c r="BA53" s="124">
        <f>+SUM(M53:T53)</f>
        <v>160</v>
      </c>
      <c r="BB53" s="124">
        <f>SUM(U53:Z53)</f>
        <v>80</v>
      </c>
      <c r="BC53" s="124">
        <f>SUM(AA53:AI53)</f>
        <v>200</v>
      </c>
      <c r="BD53" s="124">
        <f>SUM(AJ53:AO53)</f>
        <v>40</v>
      </c>
      <c r="BE53" s="124">
        <f>SUM(AP53:AY53)</f>
        <v>120</v>
      </c>
      <c r="BF53" s="124">
        <v>120</v>
      </c>
      <c r="BG53" s="124">
        <v>80</v>
      </c>
      <c r="BH53" s="116" t="s">
        <v>83</v>
      </c>
    </row>
    <row r="54" spans="1:63" ht="35.25" customHeight="1" x14ac:dyDescent="0.2">
      <c r="A54" s="119"/>
      <c r="B54" s="120"/>
      <c r="C54" s="120" t="s">
        <v>48</v>
      </c>
      <c r="D54" s="133">
        <f>E54</f>
        <v>8140</v>
      </c>
      <c r="E54" s="123">
        <v>8140</v>
      </c>
      <c r="F54" s="123">
        <f>+E54+F53</f>
        <v>8140</v>
      </c>
      <c r="G54" s="123">
        <f>+F54+G53</f>
        <v>8140</v>
      </c>
      <c r="H54" s="123">
        <f>+G54+H53</f>
        <v>8140</v>
      </c>
      <c r="I54" s="123">
        <f>+H54+I53</f>
        <v>8180</v>
      </c>
      <c r="J54" s="123">
        <f>+I54+J53</f>
        <v>8180</v>
      </c>
      <c r="K54" s="123">
        <f t="shared" ref="K54" si="730">+J54+K53</f>
        <v>8180</v>
      </c>
      <c r="L54" s="123">
        <f t="shared" ref="L54" si="731">+K54+L53</f>
        <v>8180</v>
      </c>
      <c r="M54" s="123">
        <f t="shared" ref="M54" si="732">+L54+M53</f>
        <v>8220</v>
      </c>
      <c r="N54" s="123">
        <f t="shared" ref="N54" si="733">+M54+N53</f>
        <v>8220</v>
      </c>
      <c r="O54" s="123">
        <f t="shared" ref="O54" si="734">+N54+O53</f>
        <v>8260</v>
      </c>
      <c r="P54" s="123">
        <f t="shared" ref="P54" si="735">+O54+P53</f>
        <v>8260</v>
      </c>
      <c r="Q54" s="123">
        <f t="shared" ref="Q54" si="736">+P54+Q53</f>
        <v>8260</v>
      </c>
      <c r="R54" s="123">
        <f t="shared" ref="R54" si="737">+Q54+R53</f>
        <v>8260</v>
      </c>
      <c r="S54" s="123">
        <f>+R54+S53</f>
        <v>8340</v>
      </c>
      <c r="T54" s="123">
        <f>+S54+T53</f>
        <v>8340</v>
      </c>
      <c r="U54" s="123">
        <f t="shared" ref="U54" si="738">+T54+U53</f>
        <v>8340</v>
      </c>
      <c r="V54" s="123">
        <f t="shared" ref="V54" si="739">+U54+V53</f>
        <v>8380</v>
      </c>
      <c r="W54" s="123">
        <f t="shared" ref="W54" si="740">+V54+W53</f>
        <v>8380</v>
      </c>
      <c r="X54" s="123">
        <f t="shared" ref="X54" si="741">+W54+X53</f>
        <v>8380</v>
      </c>
      <c r="Y54" s="123">
        <f t="shared" ref="Y54" si="742">+X54+Y53</f>
        <v>8420</v>
      </c>
      <c r="Z54" s="123">
        <f t="shared" ref="Z54" si="743">+Y54+Z53</f>
        <v>8420</v>
      </c>
      <c r="AA54" s="123">
        <f t="shared" ref="AA54" si="744">+Z54+AA53</f>
        <v>8460</v>
      </c>
      <c r="AB54" s="123">
        <f>+AA54+AB53</f>
        <v>8540</v>
      </c>
      <c r="AC54" s="123">
        <f>+AB54+AC53</f>
        <v>8540</v>
      </c>
      <c r="AD54" s="123">
        <f>+AC54+AD53</f>
        <v>8580</v>
      </c>
      <c r="AE54" s="123">
        <f>+AD54+AE53</f>
        <v>8580</v>
      </c>
      <c r="AF54" s="123">
        <f t="shared" ref="AF54" si="745">+AE54+AF53</f>
        <v>8580</v>
      </c>
      <c r="AG54" s="123">
        <f t="shared" ref="AG54" si="746">+AF54+AG53</f>
        <v>8580</v>
      </c>
      <c r="AH54" s="123">
        <f t="shared" ref="AH54" si="747">+AG54+AH53</f>
        <v>8620</v>
      </c>
      <c r="AI54" s="123">
        <f t="shared" ref="AI54" si="748">+AH54+AI53</f>
        <v>8620</v>
      </c>
      <c r="AJ54" s="123">
        <f t="shared" ref="AJ54" si="749">+AI54+AJ53</f>
        <v>8620</v>
      </c>
      <c r="AK54" s="123">
        <f t="shared" ref="AK54" si="750">+AJ54+AK53</f>
        <v>8620</v>
      </c>
      <c r="AL54" s="123">
        <f t="shared" ref="AL54" si="751">+AK54+AL53</f>
        <v>8660</v>
      </c>
      <c r="AM54" s="123">
        <f t="shared" ref="AM54" si="752">+AL54+AM53</f>
        <v>8660</v>
      </c>
      <c r="AN54" s="123">
        <f t="shared" ref="AN54" si="753">+AM54+AN53</f>
        <v>8660</v>
      </c>
      <c r="AO54" s="123">
        <f t="shared" ref="AO54" si="754">+AN54+AO53</f>
        <v>8660</v>
      </c>
      <c r="AP54" s="123">
        <f t="shared" ref="AP54" si="755">+AG54+AP53</f>
        <v>8620</v>
      </c>
      <c r="AQ54" s="123">
        <f t="shared" ref="AQ54" si="756">+AP54+AQ53</f>
        <v>8620</v>
      </c>
      <c r="AR54" s="123">
        <f t="shared" ref="AR54" si="757">+AI54+AR53</f>
        <v>8620</v>
      </c>
      <c r="AS54" s="123">
        <f t="shared" ref="AS54" si="758">+AR54+AS53</f>
        <v>8660</v>
      </c>
      <c r="AT54" s="123">
        <f t="shared" ref="AT54" si="759">+AK54+AT53</f>
        <v>8620</v>
      </c>
      <c r="AU54" s="123">
        <f t="shared" ref="AU54" si="760">+AT54+AU53</f>
        <v>8620</v>
      </c>
      <c r="AV54" s="123">
        <f t="shared" ref="AV54" si="761">+AM54+AV53</f>
        <v>8660</v>
      </c>
      <c r="AW54" s="123">
        <f t="shared" ref="AW54" si="762">+AV54+AW53</f>
        <v>8700</v>
      </c>
      <c r="AX54" s="123">
        <f t="shared" ref="AX54" si="763">+AO54+AX53</f>
        <v>8660</v>
      </c>
      <c r="AY54" s="123">
        <f t="shared" ref="AY54" si="764">+AX54+AY53</f>
        <v>8660</v>
      </c>
      <c r="AZ54" s="123">
        <v>9180</v>
      </c>
      <c r="BA54" s="123">
        <f t="shared" ref="BA54:BG54" si="765">+AZ54+BA53</f>
        <v>9340</v>
      </c>
      <c r="BB54" s="123">
        <f t="shared" si="765"/>
        <v>9420</v>
      </c>
      <c r="BC54" s="123">
        <f t="shared" si="765"/>
        <v>9620</v>
      </c>
      <c r="BD54" s="123">
        <f t="shared" si="765"/>
        <v>9660</v>
      </c>
      <c r="BE54" s="123">
        <f t="shared" si="765"/>
        <v>9780</v>
      </c>
      <c r="BF54" s="123">
        <f t="shared" si="765"/>
        <v>9900</v>
      </c>
      <c r="BG54" s="123">
        <f t="shared" si="765"/>
        <v>9980</v>
      </c>
      <c r="BH54" s="121"/>
      <c r="BI54" s="118"/>
      <c r="BK54" s="118"/>
    </row>
    <row r="55" spans="1:63" ht="35.25" customHeight="1" x14ac:dyDescent="0.2">
      <c r="A55" s="16">
        <f>+A53+1</f>
        <v>22</v>
      </c>
      <c r="B55" s="17" t="s">
        <v>70</v>
      </c>
      <c r="C55" s="17" t="s">
        <v>70</v>
      </c>
      <c r="D55" s="17"/>
      <c r="E55" s="168">
        <v>320</v>
      </c>
      <c r="F55" s="124">
        <v>80</v>
      </c>
      <c r="G55" s="124">
        <v>80</v>
      </c>
      <c r="H55" s="124">
        <v>40</v>
      </c>
      <c r="I55" s="124">
        <v>120</v>
      </c>
      <c r="J55" s="124">
        <v>80</v>
      </c>
      <c r="K55" s="124">
        <v>120</v>
      </c>
      <c r="L55" s="124">
        <v>80</v>
      </c>
      <c r="M55" s="124">
        <v>160</v>
      </c>
      <c r="N55" s="124">
        <v>200</v>
      </c>
      <c r="O55" s="124">
        <v>160</v>
      </c>
      <c r="P55" s="168">
        <f>160+200</f>
        <v>360</v>
      </c>
      <c r="Q55" s="124">
        <v>160</v>
      </c>
      <c r="R55" s="124">
        <v>160</v>
      </c>
      <c r="S55" s="124">
        <v>160</v>
      </c>
      <c r="T55" s="124">
        <v>320</v>
      </c>
      <c r="U55" s="124">
        <v>0</v>
      </c>
      <c r="V55" s="124">
        <v>120</v>
      </c>
      <c r="W55" s="124">
        <v>200</v>
      </c>
      <c r="X55" s="124">
        <v>160</v>
      </c>
      <c r="Y55" s="197">
        <f>160+80+160</f>
        <v>400</v>
      </c>
      <c r="Z55" s="124">
        <v>120</v>
      </c>
      <c r="AA55" s="124">
        <v>360</v>
      </c>
      <c r="AB55" s="124">
        <v>280</v>
      </c>
      <c r="AC55" s="124">
        <v>160</v>
      </c>
      <c r="AD55" s="124">
        <v>160</v>
      </c>
      <c r="AE55" s="124">
        <v>120</v>
      </c>
      <c r="AF55" s="124">
        <v>160</v>
      </c>
      <c r="AG55" s="124">
        <v>120</v>
      </c>
      <c r="AH55" s="124">
        <v>240</v>
      </c>
      <c r="AI55" s="124">
        <v>120</v>
      </c>
      <c r="AJ55" s="124">
        <v>200</v>
      </c>
      <c r="AK55" s="124">
        <v>120</v>
      </c>
      <c r="AL55" s="124">
        <v>200</v>
      </c>
      <c r="AM55" s="124">
        <v>200</v>
      </c>
      <c r="AN55" s="124">
        <v>120</v>
      </c>
      <c r="AO55" s="124">
        <v>120</v>
      </c>
      <c r="AP55" s="124">
        <v>280</v>
      </c>
      <c r="AQ55" s="124">
        <v>120</v>
      </c>
      <c r="AR55" s="124">
        <v>160</v>
      </c>
      <c r="AS55" s="124">
        <v>120</v>
      </c>
      <c r="AT55" s="124">
        <v>160</v>
      </c>
      <c r="AU55" s="124">
        <v>120</v>
      </c>
      <c r="AV55" s="124">
        <v>160</v>
      </c>
      <c r="AW55" s="124">
        <v>120</v>
      </c>
      <c r="AX55" s="124">
        <v>80</v>
      </c>
      <c r="AY55" s="124">
        <v>160</v>
      </c>
      <c r="AZ55" s="124">
        <v>920</v>
      </c>
      <c r="BA55" s="124">
        <f>+SUM(M55:T55)</f>
        <v>1680</v>
      </c>
      <c r="BB55" s="124">
        <f>SUM(U55:Z55)</f>
        <v>1000</v>
      </c>
      <c r="BC55" s="124">
        <f>SUM(AA55:AI55)</f>
        <v>1720</v>
      </c>
      <c r="BD55" s="124">
        <f>SUM(AJ55:AO55)</f>
        <v>960</v>
      </c>
      <c r="BE55" s="124">
        <f>SUM(AP55:AY55)</f>
        <v>1480</v>
      </c>
      <c r="BF55" s="124">
        <v>1240</v>
      </c>
      <c r="BG55" s="124">
        <v>1200</v>
      </c>
      <c r="BH55" s="116" t="s">
        <v>83</v>
      </c>
    </row>
    <row r="56" spans="1:63" ht="35.25" customHeight="1" x14ac:dyDescent="0.2">
      <c r="A56" s="119"/>
      <c r="B56" s="120"/>
      <c r="C56" s="120" t="s">
        <v>48</v>
      </c>
      <c r="D56" s="133">
        <f>E56</f>
        <v>59180</v>
      </c>
      <c r="E56" s="123">
        <v>59180</v>
      </c>
      <c r="F56" s="123">
        <f>+E56+F55</f>
        <v>59260</v>
      </c>
      <c r="G56" s="123">
        <f>+F56+G55</f>
        <v>59340</v>
      </c>
      <c r="H56" s="123">
        <f>+G56+H55</f>
        <v>59380</v>
      </c>
      <c r="I56" s="123">
        <f>+H56+I55</f>
        <v>59500</v>
      </c>
      <c r="J56" s="123">
        <f>+I56+J55</f>
        <v>59580</v>
      </c>
      <c r="K56" s="123">
        <f t="shared" ref="K56" si="766">+J56+K55</f>
        <v>59700</v>
      </c>
      <c r="L56" s="123">
        <f t="shared" ref="L56" si="767">+K56+L55</f>
        <v>59780</v>
      </c>
      <c r="M56" s="123">
        <f t="shared" ref="M56" si="768">+L56+M55</f>
        <v>59940</v>
      </c>
      <c r="N56" s="123">
        <f t="shared" ref="N56" si="769">+M56+N55</f>
        <v>60140</v>
      </c>
      <c r="O56" s="123">
        <f t="shared" ref="O56" si="770">+N56+O55</f>
        <v>60300</v>
      </c>
      <c r="P56" s="123">
        <f t="shared" ref="P56" si="771">+O56+P55</f>
        <v>60660</v>
      </c>
      <c r="Q56" s="123">
        <f t="shared" ref="Q56" si="772">+P56+Q55</f>
        <v>60820</v>
      </c>
      <c r="R56" s="123">
        <f t="shared" ref="R56" si="773">+Q56+R55</f>
        <v>60980</v>
      </c>
      <c r="S56" s="123">
        <f>+R56+S55</f>
        <v>61140</v>
      </c>
      <c r="T56" s="123">
        <f>+S56+T55</f>
        <v>61460</v>
      </c>
      <c r="U56" s="123">
        <f t="shared" ref="U56" si="774">+T56+U55</f>
        <v>61460</v>
      </c>
      <c r="V56" s="123">
        <f t="shared" ref="V56" si="775">+U56+V55</f>
        <v>61580</v>
      </c>
      <c r="W56" s="123">
        <f t="shared" ref="W56" si="776">+V56+W55</f>
        <v>61780</v>
      </c>
      <c r="X56" s="123">
        <f t="shared" ref="X56" si="777">+W56+X55</f>
        <v>61940</v>
      </c>
      <c r="Y56" s="123">
        <f t="shared" ref="Y56" si="778">+X56+Y55</f>
        <v>62340</v>
      </c>
      <c r="Z56" s="123">
        <f t="shared" ref="Z56" si="779">+Y56+Z55</f>
        <v>62460</v>
      </c>
      <c r="AA56" s="123">
        <f t="shared" ref="AA56" si="780">+Z56+AA55</f>
        <v>62820</v>
      </c>
      <c r="AB56" s="123">
        <f>+AA56+AB55</f>
        <v>63100</v>
      </c>
      <c r="AC56" s="123">
        <f>+AB56+AC55</f>
        <v>63260</v>
      </c>
      <c r="AD56" s="123">
        <f>+AC56+AD55</f>
        <v>63420</v>
      </c>
      <c r="AE56" s="123">
        <f>+AD56+AE55</f>
        <v>63540</v>
      </c>
      <c r="AF56" s="123">
        <f t="shared" ref="AF56" si="781">+AE56+AF55</f>
        <v>63700</v>
      </c>
      <c r="AG56" s="123">
        <f t="shared" ref="AG56" si="782">+AF56+AG55</f>
        <v>63820</v>
      </c>
      <c r="AH56" s="123">
        <f t="shared" ref="AH56" si="783">+AG56+AH55</f>
        <v>64060</v>
      </c>
      <c r="AI56" s="123">
        <f t="shared" ref="AI56" si="784">+AH56+AI55</f>
        <v>64180</v>
      </c>
      <c r="AJ56" s="123">
        <f t="shared" ref="AJ56" si="785">+AI56+AJ55</f>
        <v>64380</v>
      </c>
      <c r="AK56" s="123">
        <f t="shared" ref="AK56" si="786">+AJ56+AK55</f>
        <v>64500</v>
      </c>
      <c r="AL56" s="123">
        <f t="shared" ref="AL56" si="787">+AK56+AL55</f>
        <v>64700</v>
      </c>
      <c r="AM56" s="123">
        <f t="shared" ref="AM56" si="788">+AL56+AM55</f>
        <v>64900</v>
      </c>
      <c r="AN56" s="123">
        <f t="shared" ref="AN56" si="789">+AM56+AN55</f>
        <v>65020</v>
      </c>
      <c r="AO56" s="123">
        <f t="shared" ref="AO56" si="790">+AN56+AO55</f>
        <v>65140</v>
      </c>
      <c r="AP56" s="123">
        <f t="shared" ref="AP56" si="791">+AG56+AP55</f>
        <v>64100</v>
      </c>
      <c r="AQ56" s="123">
        <f t="shared" ref="AQ56" si="792">+AP56+AQ55</f>
        <v>64220</v>
      </c>
      <c r="AR56" s="123">
        <f t="shared" ref="AR56" si="793">+AI56+AR55</f>
        <v>64340</v>
      </c>
      <c r="AS56" s="123">
        <f t="shared" ref="AS56" si="794">+AR56+AS55</f>
        <v>64460</v>
      </c>
      <c r="AT56" s="123">
        <f t="shared" ref="AT56" si="795">+AK56+AT55</f>
        <v>64660</v>
      </c>
      <c r="AU56" s="123">
        <f t="shared" ref="AU56" si="796">+AT56+AU55</f>
        <v>64780</v>
      </c>
      <c r="AV56" s="123">
        <f t="shared" ref="AV56" si="797">+AM56+AV55</f>
        <v>65060</v>
      </c>
      <c r="AW56" s="123">
        <f t="shared" ref="AW56" si="798">+AV56+AW55</f>
        <v>65180</v>
      </c>
      <c r="AX56" s="123">
        <f t="shared" ref="AX56" si="799">+AO56+AX55</f>
        <v>65220</v>
      </c>
      <c r="AY56" s="123">
        <f t="shared" ref="AY56" si="800">+AX56+AY55</f>
        <v>65380</v>
      </c>
      <c r="AZ56" s="123">
        <v>71220</v>
      </c>
      <c r="BA56" s="123">
        <f t="shared" ref="BA56:BG56" si="801">+AZ56+BA55</f>
        <v>72900</v>
      </c>
      <c r="BB56" s="123">
        <f t="shared" si="801"/>
        <v>73900</v>
      </c>
      <c r="BC56" s="123">
        <f t="shared" si="801"/>
        <v>75620</v>
      </c>
      <c r="BD56" s="123">
        <f t="shared" si="801"/>
        <v>76580</v>
      </c>
      <c r="BE56" s="123">
        <f t="shared" si="801"/>
        <v>78060</v>
      </c>
      <c r="BF56" s="123">
        <f t="shared" si="801"/>
        <v>79300</v>
      </c>
      <c r="BG56" s="123">
        <f t="shared" si="801"/>
        <v>80500</v>
      </c>
      <c r="BH56" s="121"/>
      <c r="BI56" s="118"/>
      <c r="BK56" s="118"/>
    </row>
    <row r="57" spans="1:63" ht="35.25" customHeight="1" x14ac:dyDescent="0.2">
      <c r="A57" s="16">
        <f>+A55+1</f>
        <v>23</v>
      </c>
      <c r="B57" s="17" t="s">
        <v>71</v>
      </c>
      <c r="C57" s="17" t="s">
        <v>71</v>
      </c>
      <c r="D57" s="17"/>
      <c r="E57" s="124">
        <v>1200</v>
      </c>
      <c r="F57" s="124">
        <v>400</v>
      </c>
      <c r="G57" s="124">
        <v>0</v>
      </c>
      <c r="H57" s="124">
        <v>0</v>
      </c>
      <c r="I57" s="124">
        <v>400</v>
      </c>
      <c r="J57" s="124">
        <v>640</v>
      </c>
      <c r="K57" s="124">
        <v>1040</v>
      </c>
      <c r="L57" s="124">
        <v>880</v>
      </c>
      <c r="M57" s="124">
        <v>880</v>
      </c>
      <c r="N57" s="124">
        <v>960</v>
      </c>
      <c r="O57" s="124">
        <v>1040</v>
      </c>
      <c r="P57" s="124">
        <v>880</v>
      </c>
      <c r="Q57" s="124">
        <v>800</v>
      </c>
      <c r="R57" s="124">
        <v>880</v>
      </c>
      <c r="S57" s="124">
        <v>560</v>
      </c>
      <c r="T57" s="185">
        <f>720+240</f>
        <v>960</v>
      </c>
      <c r="U57" s="124">
        <v>880</v>
      </c>
      <c r="V57" s="124">
        <v>800</v>
      </c>
      <c r="W57" s="124">
        <v>1600</v>
      </c>
      <c r="X57" s="124">
        <v>960</v>
      </c>
      <c r="Y57" s="168">
        <f>80+160</f>
        <v>240</v>
      </c>
      <c r="Z57" s="124">
        <v>480</v>
      </c>
      <c r="AA57" s="124">
        <v>1120</v>
      </c>
      <c r="AB57" s="124">
        <v>400</v>
      </c>
      <c r="AC57" s="124">
        <v>560</v>
      </c>
      <c r="AD57" s="124">
        <v>560</v>
      </c>
      <c r="AE57" s="124">
        <v>400</v>
      </c>
      <c r="AF57" s="124">
        <v>560</v>
      </c>
      <c r="AG57" s="124">
        <v>400</v>
      </c>
      <c r="AH57" s="124">
        <v>800</v>
      </c>
      <c r="AI57" s="124">
        <v>480</v>
      </c>
      <c r="AJ57" s="124">
        <v>800</v>
      </c>
      <c r="AK57" s="124">
        <v>480</v>
      </c>
      <c r="AL57" s="124">
        <v>800</v>
      </c>
      <c r="AM57" s="124">
        <v>720</v>
      </c>
      <c r="AN57" s="124">
        <v>480</v>
      </c>
      <c r="AO57" s="124">
        <v>480</v>
      </c>
      <c r="AP57" s="124">
        <v>960</v>
      </c>
      <c r="AQ57" s="124">
        <v>480</v>
      </c>
      <c r="AR57" s="124">
        <v>720</v>
      </c>
      <c r="AS57" s="124">
        <v>400</v>
      </c>
      <c r="AT57" s="124">
        <v>480</v>
      </c>
      <c r="AU57" s="124">
        <v>480</v>
      </c>
      <c r="AV57" s="124">
        <v>720</v>
      </c>
      <c r="AW57" s="124">
        <v>400</v>
      </c>
      <c r="AX57" s="124">
        <v>400</v>
      </c>
      <c r="AY57" s="124">
        <v>640</v>
      </c>
      <c r="AZ57" s="124">
        <v>4560</v>
      </c>
      <c r="BA57" s="124">
        <f>+SUM(M57:T57)</f>
        <v>6960</v>
      </c>
      <c r="BB57" s="124">
        <f>SUM(U57:Z57)</f>
        <v>4960</v>
      </c>
      <c r="BC57" s="124">
        <f>SUM(AA57:AI57)</f>
        <v>5280</v>
      </c>
      <c r="BD57" s="124">
        <f>SUM(AJ57:AO57)</f>
        <v>3760</v>
      </c>
      <c r="BE57" s="124">
        <f>SUM(AP57:AY57)</f>
        <v>5680</v>
      </c>
      <c r="BF57" s="124">
        <v>4960</v>
      </c>
      <c r="BG57" s="124">
        <v>4880</v>
      </c>
      <c r="BH57" s="116" t="s">
        <v>83</v>
      </c>
    </row>
    <row r="58" spans="1:63" ht="35.25" customHeight="1" x14ac:dyDescent="0.2">
      <c r="A58" s="119"/>
      <c r="B58" s="120"/>
      <c r="C58" s="120" t="s">
        <v>48</v>
      </c>
      <c r="D58" s="133">
        <f>E58</f>
        <v>178240</v>
      </c>
      <c r="E58" s="123">
        <v>178240</v>
      </c>
      <c r="F58" s="123">
        <f>+E58+F57</f>
        <v>178640</v>
      </c>
      <c r="G58" s="123">
        <f>+F58+G57</f>
        <v>178640</v>
      </c>
      <c r="H58" s="123">
        <f>+G58+H57</f>
        <v>178640</v>
      </c>
      <c r="I58" s="123">
        <f>+H58+I57</f>
        <v>179040</v>
      </c>
      <c r="J58" s="123">
        <f>+I58+J57</f>
        <v>179680</v>
      </c>
      <c r="K58" s="123">
        <f t="shared" ref="K58" si="802">+J58+K57</f>
        <v>180720</v>
      </c>
      <c r="L58" s="123">
        <f t="shared" ref="L58" si="803">+K58+L57</f>
        <v>181600</v>
      </c>
      <c r="M58" s="123">
        <f t="shared" ref="M58" si="804">+L58+M57</f>
        <v>182480</v>
      </c>
      <c r="N58" s="123">
        <f t="shared" ref="N58" si="805">+M58+N57</f>
        <v>183440</v>
      </c>
      <c r="O58" s="123">
        <f t="shared" ref="O58" si="806">+N58+O57</f>
        <v>184480</v>
      </c>
      <c r="P58" s="123">
        <f t="shared" ref="P58" si="807">+O58+P57</f>
        <v>185360</v>
      </c>
      <c r="Q58" s="123">
        <f t="shared" ref="Q58" si="808">+P58+Q57</f>
        <v>186160</v>
      </c>
      <c r="R58" s="123">
        <f t="shared" ref="R58" si="809">+Q58+R57</f>
        <v>187040</v>
      </c>
      <c r="S58" s="123">
        <f>+R58+S57</f>
        <v>187600</v>
      </c>
      <c r="T58" s="123">
        <f>+S58+T57</f>
        <v>188560</v>
      </c>
      <c r="U58" s="123">
        <f t="shared" ref="U58" si="810">+T58+U57</f>
        <v>189440</v>
      </c>
      <c r="V58" s="123">
        <f t="shared" ref="V58" si="811">+U58+V57</f>
        <v>190240</v>
      </c>
      <c r="W58" s="123">
        <f t="shared" ref="W58" si="812">+V58+W57</f>
        <v>191840</v>
      </c>
      <c r="X58" s="123">
        <f t="shared" ref="X58" si="813">+W58+X57</f>
        <v>192800</v>
      </c>
      <c r="Y58" s="123">
        <f t="shared" ref="Y58" si="814">+X58+Y57</f>
        <v>193040</v>
      </c>
      <c r="Z58" s="123">
        <f t="shared" ref="Z58" si="815">+Y58+Z57</f>
        <v>193520</v>
      </c>
      <c r="AA58" s="123">
        <f t="shared" ref="AA58" si="816">+Z58+AA57</f>
        <v>194640</v>
      </c>
      <c r="AB58" s="123">
        <f>+AA58+AB57</f>
        <v>195040</v>
      </c>
      <c r="AC58" s="123">
        <f>+AB58+AC57</f>
        <v>195600</v>
      </c>
      <c r="AD58" s="123">
        <f>+AC58+AD57</f>
        <v>196160</v>
      </c>
      <c r="AE58" s="123">
        <f>+AD58+AE57</f>
        <v>196560</v>
      </c>
      <c r="AF58" s="123">
        <f t="shared" ref="AF58" si="817">+AE58+AF57</f>
        <v>197120</v>
      </c>
      <c r="AG58" s="123">
        <f t="shared" ref="AG58" si="818">+AF58+AG57</f>
        <v>197520</v>
      </c>
      <c r="AH58" s="123">
        <f t="shared" ref="AH58" si="819">+AG58+AH57</f>
        <v>198320</v>
      </c>
      <c r="AI58" s="123">
        <f t="shared" ref="AI58" si="820">+AH58+AI57</f>
        <v>198800</v>
      </c>
      <c r="AJ58" s="123">
        <f t="shared" ref="AJ58" si="821">+AI58+AJ57</f>
        <v>199600</v>
      </c>
      <c r="AK58" s="123">
        <f t="shared" ref="AK58" si="822">+AJ58+AK57</f>
        <v>200080</v>
      </c>
      <c r="AL58" s="123">
        <f t="shared" ref="AL58" si="823">+AK58+AL57</f>
        <v>200880</v>
      </c>
      <c r="AM58" s="123">
        <f t="shared" ref="AM58" si="824">+AL58+AM57</f>
        <v>201600</v>
      </c>
      <c r="AN58" s="123">
        <f t="shared" ref="AN58" si="825">+AM58+AN57</f>
        <v>202080</v>
      </c>
      <c r="AO58" s="123">
        <f t="shared" ref="AO58" si="826">+AN58+AO57</f>
        <v>202560</v>
      </c>
      <c r="AP58" s="123">
        <f t="shared" ref="AP58" si="827">+AG58+AP57</f>
        <v>198480</v>
      </c>
      <c r="AQ58" s="123">
        <f t="shared" ref="AQ58" si="828">+AP58+AQ57</f>
        <v>198960</v>
      </c>
      <c r="AR58" s="123">
        <f t="shared" ref="AR58" si="829">+AI58+AR57</f>
        <v>199520</v>
      </c>
      <c r="AS58" s="123">
        <f t="shared" ref="AS58" si="830">+AR58+AS57</f>
        <v>199920</v>
      </c>
      <c r="AT58" s="123">
        <f t="shared" ref="AT58" si="831">+AK58+AT57</f>
        <v>200560</v>
      </c>
      <c r="AU58" s="123">
        <f t="shared" ref="AU58" si="832">+AT58+AU57</f>
        <v>201040</v>
      </c>
      <c r="AV58" s="123">
        <f t="shared" ref="AV58" si="833">+AM58+AV57</f>
        <v>202320</v>
      </c>
      <c r="AW58" s="123">
        <f t="shared" ref="AW58" si="834">+AV58+AW57</f>
        <v>202720</v>
      </c>
      <c r="AX58" s="123">
        <f t="shared" ref="AX58" si="835">+AO58+AX57</f>
        <v>202960</v>
      </c>
      <c r="AY58" s="123">
        <f t="shared" ref="AY58" si="836">+AX58+AY57</f>
        <v>203600</v>
      </c>
      <c r="AZ58" s="123">
        <v>239360</v>
      </c>
      <c r="BA58" s="123">
        <f t="shared" ref="BA58:BG58" si="837">+AZ58+BA57</f>
        <v>246320</v>
      </c>
      <c r="BB58" s="123">
        <f t="shared" si="837"/>
        <v>251280</v>
      </c>
      <c r="BC58" s="123">
        <f t="shared" si="837"/>
        <v>256560</v>
      </c>
      <c r="BD58" s="123">
        <f t="shared" si="837"/>
        <v>260320</v>
      </c>
      <c r="BE58" s="123">
        <f t="shared" si="837"/>
        <v>266000</v>
      </c>
      <c r="BF58" s="123">
        <f t="shared" si="837"/>
        <v>270960</v>
      </c>
      <c r="BG58" s="123">
        <f t="shared" si="837"/>
        <v>275840</v>
      </c>
      <c r="BH58" s="121"/>
      <c r="BI58" s="118"/>
      <c r="BK58" s="118"/>
    </row>
    <row r="59" spans="1:63" ht="35.25" customHeight="1" x14ac:dyDescent="0.2">
      <c r="A59" s="16">
        <f>A57+1</f>
        <v>24</v>
      </c>
      <c r="B59" s="17" t="s">
        <v>72</v>
      </c>
      <c r="C59" s="17" t="s">
        <v>72</v>
      </c>
      <c r="D59" s="17"/>
      <c r="E59" s="124">
        <v>40</v>
      </c>
      <c r="F59" s="124">
        <v>80</v>
      </c>
      <c r="G59" s="124">
        <v>0</v>
      </c>
      <c r="H59" s="124">
        <v>100</v>
      </c>
      <c r="I59" s="124">
        <v>160</v>
      </c>
      <c r="J59" s="124">
        <v>220</v>
      </c>
      <c r="K59" s="124">
        <v>240</v>
      </c>
      <c r="L59" s="124">
        <v>200</v>
      </c>
      <c r="M59" s="124">
        <v>140</v>
      </c>
      <c r="N59" s="124">
        <v>220</v>
      </c>
      <c r="O59" s="124">
        <v>220</v>
      </c>
      <c r="P59" s="124">
        <v>220</v>
      </c>
      <c r="Q59" s="124">
        <v>0</v>
      </c>
      <c r="R59" s="124">
        <v>100</v>
      </c>
      <c r="S59" s="124">
        <v>0</v>
      </c>
      <c r="T59" s="124">
        <v>0</v>
      </c>
      <c r="U59" s="124">
        <v>0</v>
      </c>
      <c r="V59" s="124">
        <v>0</v>
      </c>
      <c r="W59" s="124">
        <v>0</v>
      </c>
      <c r="X59" s="124">
        <v>0</v>
      </c>
      <c r="Y59" s="124">
        <v>0</v>
      </c>
      <c r="Z59" s="124">
        <v>0</v>
      </c>
      <c r="AA59" s="124">
        <v>0</v>
      </c>
      <c r="AB59" s="124">
        <v>0</v>
      </c>
      <c r="AC59" s="124">
        <v>0</v>
      </c>
      <c r="AD59" s="124">
        <v>0</v>
      </c>
      <c r="AE59" s="124">
        <v>0</v>
      </c>
      <c r="AF59" s="124">
        <v>0</v>
      </c>
      <c r="AG59" s="124">
        <v>0</v>
      </c>
      <c r="AH59" s="124">
        <v>0</v>
      </c>
      <c r="AI59" s="124">
        <v>0</v>
      </c>
      <c r="AJ59" s="124">
        <v>0</v>
      </c>
      <c r="AK59" s="124">
        <v>0</v>
      </c>
      <c r="AL59" s="124">
        <v>0</v>
      </c>
      <c r="AM59" s="124">
        <v>0</v>
      </c>
      <c r="AN59" s="124">
        <v>0</v>
      </c>
      <c r="AO59" s="124">
        <v>0</v>
      </c>
      <c r="AP59" s="124">
        <v>0</v>
      </c>
      <c r="AQ59" s="124">
        <v>0</v>
      </c>
      <c r="AR59" s="124">
        <v>0</v>
      </c>
      <c r="AS59" s="124">
        <v>0</v>
      </c>
      <c r="AT59" s="124">
        <v>0</v>
      </c>
      <c r="AU59" s="124">
        <v>0</v>
      </c>
      <c r="AV59" s="124">
        <v>0</v>
      </c>
      <c r="AW59" s="124">
        <v>0</v>
      </c>
      <c r="AX59" s="124">
        <v>0</v>
      </c>
      <c r="AY59" s="124">
        <v>0</v>
      </c>
      <c r="AZ59" s="124">
        <v>1040</v>
      </c>
      <c r="BA59" s="124">
        <f>+SUM(M59:T59)</f>
        <v>900</v>
      </c>
      <c r="BB59" s="124">
        <f>SUM(U59:Z59)</f>
        <v>0</v>
      </c>
      <c r="BC59" s="124">
        <f>SUM(AA59:AI59)</f>
        <v>0</v>
      </c>
      <c r="BD59" s="124">
        <f>SUM(AJ59:AO59)</f>
        <v>0</v>
      </c>
      <c r="BE59" s="124">
        <f>SUM(AP59:AY59)</f>
        <v>0</v>
      </c>
      <c r="BF59" s="124">
        <v>120</v>
      </c>
      <c r="BG59" s="124">
        <v>300</v>
      </c>
      <c r="BH59" s="116" t="s">
        <v>83</v>
      </c>
    </row>
    <row r="60" spans="1:63" ht="35.25" customHeight="1" x14ac:dyDescent="0.2">
      <c r="A60" s="119"/>
      <c r="B60" s="120"/>
      <c r="C60" s="120" t="s">
        <v>48</v>
      </c>
      <c r="D60" s="133">
        <f>E60</f>
        <v>44780</v>
      </c>
      <c r="E60" s="123">
        <v>44780</v>
      </c>
      <c r="F60" s="123">
        <f>+E60+F59</f>
        <v>44860</v>
      </c>
      <c r="G60" s="123">
        <f>+F60+G59</f>
        <v>44860</v>
      </c>
      <c r="H60" s="123">
        <f>+G60+H59</f>
        <v>44960</v>
      </c>
      <c r="I60" s="123">
        <f>+H60+I59</f>
        <v>45120</v>
      </c>
      <c r="J60" s="123">
        <f>+I60+J59</f>
        <v>45340</v>
      </c>
      <c r="K60" s="123">
        <f t="shared" ref="K60" si="838">+J60+K59</f>
        <v>45580</v>
      </c>
      <c r="L60" s="123">
        <f t="shared" ref="L60" si="839">+K60+L59</f>
        <v>45780</v>
      </c>
      <c r="M60" s="123">
        <f t="shared" ref="M60" si="840">+L60+M59</f>
        <v>45920</v>
      </c>
      <c r="N60" s="123">
        <f t="shared" ref="N60" si="841">+M60+N59</f>
        <v>46140</v>
      </c>
      <c r="O60" s="123">
        <f t="shared" ref="O60" si="842">+N60+O59</f>
        <v>46360</v>
      </c>
      <c r="P60" s="123">
        <f t="shared" ref="P60" si="843">+O60+P59</f>
        <v>46580</v>
      </c>
      <c r="Q60" s="123">
        <f t="shared" ref="Q60" si="844">+P60+Q59</f>
        <v>46580</v>
      </c>
      <c r="R60" s="123">
        <f t="shared" ref="R60" si="845">+Q60+R59</f>
        <v>46680</v>
      </c>
      <c r="S60" s="123">
        <f>+R60+S59</f>
        <v>46680</v>
      </c>
      <c r="T60" s="123">
        <f>+S60+T59</f>
        <v>46680</v>
      </c>
      <c r="U60" s="123">
        <f t="shared" ref="U60" si="846">+T60+U59</f>
        <v>46680</v>
      </c>
      <c r="V60" s="123">
        <f t="shared" ref="V60" si="847">+U60+V59</f>
        <v>46680</v>
      </c>
      <c r="W60" s="123">
        <f t="shared" ref="W60" si="848">+V60+W59</f>
        <v>46680</v>
      </c>
      <c r="X60" s="123">
        <f t="shared" ref="X60" si="849">+W60+X59</f>
        <v>46680</v>
      </c>
      <c r="Y60" s="123">
        <f t="shared" ref="Y60" si="850">+X60+Y59</f>
        <v>46680</v>
      </c>
      <c r="Z60" s="123">
        <f t="shared" ref="Z60" si="851">+Y60+Z59</f>
        <v>46680</v>
      </c>
      <c r="AA60" s="123">
        <f t="shared" ref="AA60" si="852">+Z60+AA59</f>
        <v>46680</v>
      </c>
      <c r="AB60" s="123">
        <f>+AA60+AB59</f>
        <v>46680</v>
      </c>
      <c r="AC60" s="123">
        <f>+AB60+AC59</f>
        <v>46680</v>
      </c>
      <c r="AD60" s="123">
        <f>+AC60+AD59</f>
        <v>46680</v>
      </c>
      <c r="AE60" s="123">
        <f>+AD60+AE59</f>
        <v>46680</v>
      </c>
      <c r="AF60" s="123">
        <f t="shared" ref="AF60" si="853">+AE60+AF59</f>
        <v>46680</v>
      </c>
      <c r="AG60" s="123">
        <f t="shared" ref="AG60" si="854">+AF60+AG59</f>
        <v>46680</v>
      </c>
      <c r="AH60" s="123">
        <f t="shared" ref="AH60" si="855">+AG60+AH59</f>
        <v>46680</v>
      </c>
      <c r="AI60" s="123">
        <f t="shared" ref="AI60" si="856">+AH60+AI59</f>
        <v>46680</v>
      </c>
      <c r="AJ60" s="123">
        <f t="shared" ref="AJ60" si="857">+AI60+AJ59</f>
        <v>46680</v>
      </c>
      <c r="AK60" s="123">
        <f t="shared" ref="AK60" si="858">+AJ60+AK59</f>
        <v>46680</v>
      </c>
      <c r="AL60" s="123">
        <f t="shared" ref="AL60" si="859">+AK60+AL59</f>
        <v>46680</v>
      </c>
      <c r="AM60" s="123">
        <f t="shared" ref="AM60" si="860">+AL60+AM59</f>
        <v>46680</v>
      </c>
      <c r="AN60" s="123">
        <f t="shared" ref="AN60" si="861">+AM60+AN59</f>
        <v>46680</v>
      </c>
      <c r="AO60" s="123">
        <f t="shared" ref="AO60" si="862">+AN60+AO59</f>
        <v>46680</v>
      </c>
      <c r="AP60" s="123">
        <f t="shared" ref="AP60" si="863">+AG60+AP59</f>
        <v>46680</v>
      </c>
      <c r="AQ60" s="123">
        <f t="shared" ref="AQ60" si="864">+AP60+AQ59</f>
        <v>46680</v>
      </c>
      <c r="AR60" s="123">
        <f t="shared" ref="AR60" si="865">+AI60+AR59</f>
        <v>46680</v>
      </c>
      <c r="AS60" s="123">
        <f t="shared" ref="AS60" si="866">+AR60+AS59</f>
        <v>46680</v>
      </c>
      <c r="AT60" s="123">
        <f t="shared" ref="AT60" si="867">+AK60+AT59</f>
        <v>46680</v>
      </c>
      <c r="AU60" s="123">
        <f t="shared" ref="AU60" si="868">+AT60+AU59</f>
        <v>46680</v>
      </c>
      <c r="AV60" s="123">
        <f t="shared" ref="AV60" si="869">+AM60+AV59</f>
        <v>46680</v>
      </c>
      <c r="AW60" s="123">
        <f t="shared" ref="AW60" si="870">+AV60+AW59</f>
        <v>46680</v>
      </c>
      <c r="AX60" s="123">
        <f t="shared" ref="AX60" si="871">+AO60+AX59</f>
        <v>46680</v>
      </c>
      <c r="AY60" s="123">
        <f t="shared" ref="AY60" si="872">+AX60+AY59</f>
        <v>46680</v>
      </c>
      <c r="AZ60" s="123">
        <v>54160</v>
      </c>
      <c r="BA60" s="123">
        <f t="shared" ref="BA60:BG60" si="873">+AZ60+BA59</f>
        <v>55060</v>
      </c>
      <c r="BB60" s="123">
        <f t="shared" si="873"/>
        <v>55060</v>
      </c>
      <c r="BC60" s="123">
        <f t="shared" si="873"/>
        <v>55060</v>
      </c>
      <c r="BD60" s="123">
        <f t="shared" si="873"/>
        <v>55060</v>
      </c>
      <c r="BE60" s="123">
        <f t="shared" si="873"/>
        <v>55060</v>
      </c>
      <c r="BF60" s="123">
        <f t="shared" si="873"/>
        <v>55180</v>
      </c>
      <c r="BG60" s="123">
        <f t="shared" si="873"/>
        <v>55480</v>
      </c>
      <c r="BH60" s="121"/>
      <c r="BI60" s="118"/>
      <c r="BK60" s="118"/>
    </row>
    <row r="61" spans="1:63" ht="35.25" customHeight="1" x14ac:dyDescent="0.2">
      <c r="A61" s="16">
        <f>+A59+1</f>
        <v>25</v>
      </c>
      <c r="B61" s="17" t="s">
        <v>73</v>
      </c>
      <c r="C61" s="17" t="s">
        <v>73</v>
      </c>
      <c r="D61" s="17"/>
      <c r="E61" s="124">
        <v>40</v>
      </c>
      <c r="F61" s="124">
        <v>80</v>
      </c>
      <c r="G61" s="124">
        <v>0</v>
      </c>
      <c r="H61" s="124">
        <v>80</v>
      </c>
      <c r="I61" s="124">
        <v>160</v>
      </c>
      <c r="J61" s="124">
        <v>200</v>
      </c>
      <c r="K61" s="124">
        <v>240</v>
      </c>
      <c r="L61" s="124">
        <v>200</v>
      </c>
      <c r="M61" s="124">
        <v>160</v>
      </c>
      <c r="N61" s="124">
        <v>240</v>
      </c>
      <c r="O61" s="124">
        <v>240</v>
      </c>
      <c r="P61" s="124">
        <v>240</v>
      </c>
      <c r="Q61" s="124">
        <v>0</v>
      </c>
      <c r="R61" s="124">
        <v>80</v>
      </c>
      <c r="S61" s="124">
        <v>0</v>
      </c>
      <c r="T61" s="124">
        <v>0</v>
      </c>
      <c r="U61" s="124">
        <v>0</v>
      </c>
      <c r="V61" s="124">
        <v>0</v>
      </c>
      <c r="W61" s="124">
        <v>0</v>
      </c>
      <c r="X61" s="124">
        <v>0</v>
      </c>
      <c r="Y61" s="124">
        <v>0</v>
      </c>
      <c r="Z61" s="124">
        <v>0</v>
      </c>
      <c r="AA61" s="124">
        <v>0</v>
      </c>
      <c r="AB61" s="124">
        <v>0</v>
      </c>
      <c r="AC61" s="124">
        <v>0</v>
      </c>
      <c r="AD61" s="124">
        <v>0</v>
      </c>
      <c r="AE61" s="124">
        <v>0</v>
      </c>
      <c r="AF61" s="124">
        <v>0</v>
      </c>
      <c r="AG61" s="124">
        <v>0</v>
      </c>
      <c r="AH61" s="124">
        <v>0</v>
      </c>
      <c r="AI61" s="124">
        <v>0</v>
      </c>
      <c r="AJ61" s="124">
        <v>0</v>
      </c>
      <c r="AK61" s="124">
        <v>0</v>
      </c>
      <c r="AL61" s="124">
        <v>0</v>
      </c>
      <c r="AM61" s="124">
        <v>0</v>
      </c>
      <c r="AN61" s="124">
        <v>0</v>
      </c>
      <c r="AO61" s="124">
        <v>0</v>
      </c>
      <c r="AP61" s="124">
        <v>0</v>
      </c>
      <c r="AQ61" s="124">
        <v>0</v>
      </c>
      <c r="AR61" s="124">
        <v>0</v>
      </c>
      <c r="AS61" s="124">
        <v>0</v>
      </c>
      <c r="AT61" s="124">
        <v>0</v>
      </c>
      <c r="AU61" s="124">
        <v>0</v>
      </c>
      <c r="AV61" s="124">
        <v>0</v>
      </c>
      <c r="AW61" s="124">
        <v>0</v>
      </c>
      <c r="AX61" s="124">
        <v>0</v>
      </c>
      <c r="AY61" s="124">
        <v>0</v>
      </c>
      <c r="AZ61" s="124">
        <v>1000</v>
      </c>
      <c r="BA61" s="124">
        <f>+SUM(M61:T61)</f>
        <v>960</v>
      </c>
      <c r="BB61" s="124">
        <f>SUM(U61:Z61)</f>
        <v>0</v>
      </c>
      <c r="BC61" s="124">
        <f>SUM(AA61:AI61)</f>
        <v>0</v>
      </c>
      <c r="BD61" s="124">
        <f>SUM(AJ61:AO61)</f>
        <v>0</v>
      </c>
      <c r="BE61" s="124">
        <f>SUM(AP61:AY61)</f>
        <v>0</v>
      </c>
      <c r="BF61" s="124">
        <v>40</v>
      </c>
      <c r="BG61" s="124">
        <v>320</v>
      </c>
      <c r="BH61" s="116" t="s">
        <v>83</v>
      </c>
    </row>
    <row r="62" spans="1:63" ht="35.25" customHeight="1" x14ac:dyDescent="0.2">
      <c r="A62" s="119"/>
      <c r="B62" s="120"/>
      <c r="C62" s="120" t="s">
        <v>48</v>
      </c>
      <c r="D62" s="133">
        <f>E62</f>
        <v>44800</v>
      </c>
      <c r="E62" s="123">
        <v>44800</v>
      </c>
      <c r="F62" s="123">
        <f>+E62+F61</f>
        <v>44880</v>
      </c>
      <c r="G62" s="123">
        <f>+F62+G61</f>
        <v>44880</v>
      </c>
      <c r="H62" s="123">
        <f>+G62+H61</f>
        <v>44960</v>
      </c>
      <c r="I62" s="123">
        <f>+H62+I61</f>
        <v>45120</v>
      </c>
      <c r="J62" s="123">
        <f>+I62+J61</f>
        <v>45320</v>
      </c>
      <c r="K62" s="123">
        <f t="shared" ref="K62" si="874">+J62+K61</f>
        <v>45560</v>
      </c>
      <c r="L62" s="123">
        <f t="shared" ref="L62" si="875">+K62+L61</f>
        <v>45760</v>
      </c>
      <c r="M62" s="123">
        <f t="shared" ref="M62" si="876">+L62+M61</f>
        <v>45920</v>
      </c>
      <c r="N62" s="123">
        <f t="shared" ref="N62" si="877">+M62+N61</f>
        <v>46160</v>
      </c>
      <c r="O62" s="123">
        <f t="shared" ref="O62" si="878">+N62+O61</f>
        <v>46400</v>
      </c>
      <c r="P62" s="123">
        <f t="shared" ref="P62" si="879">+O62+P61</f>
        <v>46640</v>
      </c>
      <c r="Q62" s="123">
        <f t="shared" ref="Q62" si="880">+P62+Q61</f>
        <v>46640</v>
      </c>
      <c r="R62" s="123">
        <f t="shared" ref="R62" si="881">+Q62+R61</f>
        <v>46720</v>
      </c>
      <c r="S62" s="123">
        <f>+R62+S61</f>
        <v>46720</v>
      </c>
      <c r="T62" s="123">
        <f>+S62+T61</f>
        <v>46720</v>
      </c>
      <c r="U62" s="123">
        <f t="shared" ref="U62" si="882">+T62+U61</f>
        <v>46720</v>
      </c>
      <c r="V62" s="123">
        <f t="shared" ref="V62" si="883">+U62+V61</f>
        <v>46720</v>
      </c>
      <c r="W62" s="123">
        <f t="shared" ref="W62" si="884">+V62+W61</f>
        <v>46720</v>
      </c>
      <c r="X62" s="123">
        <f t="shared" ref="X62" si="885">+W62+X61</f>
        <v>46720</v>
      </c>
      <c r="Y62" s="123">
        <f t="shared" ref="Y62" si="886">+X62+Y61</f>
        <v>46720</v>
      </c>
      <c r="Z62" s="123">
        <f t="shared" ref="Z62" si="887">+Y62+Z61</f>
        <v>46720</v>
      </c>
      <c r="AA62" s="123">
        <f t="shared" ref="AA62" si="888">+Z62+AA61</f>
        <v>46720</v>
      </c>
      <c r="AB62" s="123">
        <f>+AA62+AB61</f>
        <v>46720</v>
      </c>
      <c r="AC62" s="123">
        <f>+AB62+AC61</f>
        <v>46720</v>
      </c>
      <c r="AD62" s="123">
        <f>+AC62+AD61</f>
        <v>46720</v>
      </c>
      <c r="AE62" s="123">
        <f>+AD62+AE61</f>
        <v>46720</v>
      </c>
      <c r="AF62" s="123">
        <f t="shared" ref="AF62" si="889">+AE62+AF61</f>
        <v>46720</v>
      </c>
      <c r="AG62" s="123">
        <f t="shared" ref="AG62" si="890">+AF62+AG61</f>
        <v>46720</v>
      </c>
      <c r="AH62" s="123">
        <f t="shared" ref="AH62" si="891">+AG62+AH61</f>
        <v>46720</v>
      </c>
      <c r="AI62" s="123">
        <f t="shared" ref="AI62" si="892">+AH62+AI61</f>
        <v>46720</v>
      </c>
      <c r="AJ62" s="123">
        <f t="shared" ref="AJ62" si="893">+AI62+AJ61</f>
        <v>46720</v>
      </c>
      <c r="AK62" s="123">
        <f t="shared" ref="AK62" si="894">+AJ62+AK61</f>
        <v>46720</v>
      </c>
      <c r="AL62" s="123">
        <f t="shared" ref="AL62" si="895">+AK62+AL61</f>
        <v>46720</v>
      </c>
      <c r="AM62" s="123">
        <f t="shared" ref="AM62" si="896">+AL62+AM61</f>
        <v>46720</v>
      </c>
      <c r="AN62" s="123">
        <f t="shared" ref="AN62" si="897">+AM62+AN61</f>
        <v>46720</v>
      </c>
      <c r="AO62" s="123">
        <f t="shared" ref="AO62" si="898">+AN62+AO61</f>
        <v>46720</v>
      </c>
      <c r="AP62" s="123">
        <f t="shared" ref="AP62" si="899">+AG62+AP61</f>
        <v>46720</v>
      </c>
      <c r="AQ62" s="123">
        <f t="shared" ref="AQ62" si="900">+AP62+AQ61</f>
        <v>46720</v>
      </c>
      <c r="AR62" s="123">
        <f t="shared" ref="AR62" si="901">+AI62+AR61</f>
        <v>46720</v>
      </c>
      <c r="AS62" s="123">
        <f t="shared" ref="AS62" si="902">+AR62+AS61</f>
        <v>46720</v>
      </c>
      <c r="AT62" s="123">
        <f t="shared" ref="AT62" si="903">+AK62+AT61</f>
        <v>46720</v>
      </c>
      <c r="AU62" s="123">
        <f t="shared" ref="AU62" si="904">+AT62+AU61</f>
        <v>46720</v>
      </c>
      <c r="AV62" s="123">
        <f t="shared" ref="AV62" si="905">+AM62+AV61</f>
        <v>46720</v>
      </c>
      <c r="AW62" s="123">
        <f t="shared" ref="AW62" si="906">+AV62+AW61</f>
        <v>46720</v>
      </c>
      <c r="AX62" s="123">
        <f t="shared" ref="AX62" si="907">+AO62+AX61</f>
        <v>46720</v>
      </c>
      <c r="AY62" s="123">
        <f t="shared" ref="AY62" si="908">+AX62+AY61</f>
        <v>46720</v>
      </c>
      <c r="AZ62" s="123">
        <v>54080</v>
      </c>
      <c r="BA62" s="123">
        <f t="shared" ref="BA62:BG62" si="909">+AZ62+BA61</f>
        <v>55040</v>
      </c>
      <c r="BB62" s="123">
        <f t="shared" si="909"/>
        <v>55040</v>
      </c>
      <c r="BC62" s="123">
        <f t="shared" si="909"/>
        <v>55040</v>
      </c>
      <c r="BD62" s="123">
        <f t="shared" si="909"/>
        <v>55040</v>
      </c>
      <c r="BE62" s="123">
        <f t="shared" si="909"/>
        <v>55040</v>
      </c>
      <c r="BF62" s="123">
        <f t="shared" si="909"/>
        <v>55080</v>
      </c>
      <c r="BG62" s="123">
        <f t="shared" si="909"/>
        <v>55400</v>
      </c>
      <c r="BH62" s="121"/>
      <c r="BI62" s="118"/>
      <c r="BK62" s="118"/>
    </row>
    <row r="63" spans="1:63" ht="35.25" customHeight="1" x14ac:dyDescent="0.2">
      <c r="A63" s="16">
        <f>A61+1</f>
        <v>26</v>
      </c>
      <c r="B63" s="147" t="s">
        <v>87</v>
      </c>
      <c r="C63" s="17" t="s">
        <v>87</v>
      </c>
      <c r="D63" s="17"/>
      <c r="E63" s="124">
        <v>0</v>
      </c>
      <c r="F63" s="124">
        <v>0</v>
      </c>
      <c r="G63" s="124">
        <v>0</v>
      </c>
      <c r="H63" s="124">
        <v>0</v>
      </c>
      <c r="I63" s="124">
        <v>0</v>
      </c>
      <c r="J63" s="124">
        <v>0</v>
      </c>
      <c r="K63" s="124">
        <v>0</v>
      </c>
      <c r="L63" s="124">
        <v>0</v>
      </c>
      <c r="M63" s="124">
        <v>0</v>
      </c>
      <c r="N63" s="124">
        <v>0</v>
      </c>
      <c r="O63" s="124">
        <v>0</v>
      </c>
      <c r="P63" s="124">
        <v>0</v>
      </c>
      <c r="Q63" s="124">
        <v>0</v>
      </c>
      <c r="R63" s="124">
        <v>0</v>
      </c>
      <c r="S63" s="124">
        <v>0</v>
      </c>
      <c r="T63" s="124">
        <v>0</v>
      </c>
      <c r="U63" s="124">
        <v>0</v>
      </c>
      <c r="V63" s="124">
        <v>0</v>
      </c>
      <c r="W63" s="124">
        <v>0</v>
      </c>
      <c r="X63" s="124">
        <v>0</v>
      </c>
      <c r="Y63" s="124">
        <v>0</v>
      </c>
      <c r="Z63" s="124">
        <v>0</v>
      </c>
      <c r="AA63" s="124">
        <v>0</v>
      </c>
      <c r="AB63" s="124">
        <v>0</v>
      </c>
      <c r="AC63" s="124">
        <v>0</v>
      </c>
      <c r="AD63" s="124">
        <v>0</v>
      </c>
      <c r="AE63" s="124">
        <v>0</v>
      </c>
      <c r="AF63" s="124">
        <v>0</v>
      </c>
      <c r="AG63" s="124">
        <v>0</v>
      </c>
      <c r="AH63" s="124">
        <v>0</v>
      </c>
      <c r="AI63" s="124">
        <v>0</v>
      </c>
      <c r="AJ63" s="124">
        <v>0</v>
      </c>
      <c r="AK63" s="124">
        <v>0</v>
      </c>
      <c r="AL63" s="124">
        <v>0</v>
      </c>
      <c r="AM63" s="124">
        <v>0</v>
      </c>
      <c r="AN63" s="124">
        <v>0</v>
      </c>
      <c r="AO63" s="124">
        <v>0</v>
      </c>
      <c r="AP63" s="124">
        <v>0</v>
      </c>
      <c r="AQ63" s="124">
        <v>0</v>
      </c>
      <c r="AR63" s="124">
        <v>0</v>
      </c>
      <c r="AS63" s="124">
        <v>0</v>
      </c>
      <c r="AT63" s="124">
        <v>0</v>
      </c>
      <c r="AU63" s="124">
        <v>0</v>
      </c>
      <c r="AV63" s="124">
        <v>0</v>
      </c>
      <c r="AW63" s="124">
        <v>0</v>
      </c>
      <c r="AX63" s="124">
        <v>0</v>
      </c>
      <c r="AY63" s="124">
        <v>0</v>
      </c>
      <c r="AZ63" s="124">
        <v>0</v>
      </c>
      <c r="BA63" s="124">
        <f>+SUM(M63:T63)</f>
        <v>0</v>
      </c>
      <c r="BB63" s="124">
        <f>SUM(U63:Z63)</f>
        <v>0</v>
      </c>
      <c r="BC63" s="124">
        <f>SUM(AA63:AI63)</f>
        <v>0</v>
      </c>
      <c r="BD63" s="124">
        <f>SUM(AJ63:AO63)</f>
        <v>0</v>
      </c>
      <c r="BE63" s="124">
        <f>SUM(AP63:AY63)</f>
        <v>0</v>
      </c>
      <c r="BF63" s="124">
        <v>0</v>
      </c>
      <c r="BG63" s="124">
        <v>0</v>
      </c>
      <c r="BH63" s="148" t="s">
        <v>134</v>
      </c>
    </row>
    <row r="64" spans="1:63" ht="35.25" customHeight="1" x14ac:dyDescent="0.2">
      <c r="A64" s="119"/>
      <c r="B64" s="120"/>
      <c r="C64" s="120" t="s">
        <v>48</v>
      </c>
      <c r="D64" s="133">
        <f>E64</f>
        <v>520</v>
      </c>
      <c r="E64" s="123">
        <v>520</v>
      </c>
      <c r="F64" s="123">
        <f>+E64+F63</f>
        <v>520</v>
      </c>
      <c r="G64" s="123">
        <f>+F64+G63</f>
        <v>520</v>
      </c>
      <c r="H64" s="123">
        <f>+G64+H63</f>
        <v>520</v>
      </c>
      <c r="I64" s="123">
        <f>+H64+I63</f>
        <v>520</v>
      </c>
      <c r="J64" s="123">
        <f>+I64+J63</f>
        <v>520</v>
      </c>
      <c r="K64" s="123">
        <f t="shared" ref="K64" si="910">+J64+K63</f>
        <v>520</v>
      </c>
      <c r="L64" s="123">
        <f t="shared" ref="L64" si="911">+K64+L63</f>
        <v>520</v>
      </c>
      <c r="M64" s="123">
        <f t="shared" ref="M64" si="912">+L64+M63</f>
        <v>520</v>
      </c>
      <c r="N64" s="123">
        <f t="shared" ref="N64" si="913">+M64+N63</f>
        <v>520</v>
      </c>
      <c r="O64" s="123">
        <f t="shared" ref="O64" si="914">+N64+O63</f>
        <v>520</v>
      </c>
      <c r="P64" s="123">
        <f t="shared" ref="P64" si="915">+O64+P63</f>
        <v>520</v>
      </c>
      <c r="Q64" s="123">
        <f t="shared" ref="Q64" si="916">+P64+Q63</f>
        <v>520</v>
      </c>
      <c r="R64" s="123">
        <f t="shared" ref="R64" si="917">+Q64+R63</f>
        <v>520</v>
      </c>
      <c r="S64" s="123">
        <f>+R64+S63</f>
        <v>520</v>
      </c>
      <c r="T64" s="123">
        <f>+S64+T63</f>
        <v>520</v>
      </c>
      <c r="U64" s="123">
        <f t="shared" ref="U64" si="918">+T64+U63</f>
        <v>520</v>
      </c>
      <c r="V64" s="123">
        <f t="shared" ref="V64" si="919">+U64+V63</f>
        <v>520</v>
      </c>
      <c r="W64" s="123">
        <f t="shared" ref="W64" si="920">+V64+W63</f>
        <v>520</v>
      </c>
      <c r="X64" s="123">
        <f t="shared" ref="X64" si="921">+W64+X63</f>
        <v>520</v>
      </c>
      <c r="Y64" s="123">
        <f t="shared" ref="Y64" si="922">+X64+Y63</f>
        <v>520</v>
      </c>
      <c r="Z64" s="123">
        <f t="shared" ref="Z64" si="923">+Y64+Z63</f>
        <v>520</v>
      </c>
      <c r="AA64" s="123">
        <f t="shared" ref="AA64" si="924">+Z64+AA63</f>
        <v>520</v>
      </c>
      <c r="AB64" s="123">
        <f>+AA64+AB63</f>
        <v>520</v>
      </c>
      <c r="AC64" s="123">
        <f>+AB64+AC63</f>
        <v>520</v>
      </c>
      <c r="AD64" s="123">
        <f>+AC64+AD63</f>
        <v>520</v>
      </c>
      <c r="AE64" s="123">
        <f>+AD64+AE63</f>
        <v>520</v>
      </c>
      <c r="AF64" s="123">
        <f t="shared" ref="AF64" si="925">+AE64+AF63</f>
        <v>520</v>
      </c>
      <c r="AG64" s="123">
        <f t="shared" ref="AG64" si="926">+AF64+AG63</f>
        <v>520</v>
      </c>
      <c r="AH64" s="123">
        <f t="shared" ref="AH64" si="927">+AG64+AH63</f>
        <v>520</v>
      </c>
      <c r="AI64" s="123">
        <f t="shared" ref="AI64" si="928">+AH64+AI63</f>
        <v>520</v>
      </c>
      <c r="AJ64" s="123">
        <f t="shared" ref="AJ64" si="929">+AI64+AJ63</f>
        <v>520</v>
      </c>
      <c r="AK64" s="123">
        <f t="shared" ref="AK64" si="930">+AJ64+AK63</f>
        <v>520</v>
      </c>
      <c r="AL64" s="123">
        <f t="shared" ref="AL64" si="931">+AK64+AL63</f>
        <v>520</v>
      </c>
      <c r="AM64" s="123">
        <f t="shared" ref="AM64" si="932">+AL64+AM63</f>
        <v>520</v>
      </c>
      <c r="AN64" s="123">
        <f t="shared" ref="AN64" si="933">+AM64+AN63</f>
        <v>520</v>
      </c>
      <c r="AO64" s="123">
        <f t="shared" ref="AO64" si="934">+AN64+AO63</f>
        <v>520</v>
      </c>
      <c r="AP64" s="123">
        <f t="shared" ref="AP64" si="935">+AG64+AP63</f>
        <v>520</v>
      </c>
      <c r="AQ64" s="123">
        <f t="shared" ref="AQ64" si="936">+AP64+AQ63</f>
        <v>520</v>
      </c>
      <c r="AR64" s="123">
        <f t="shared" ref="AR64" si="937">+AI64+AR63</f>
        <v>520</v>
      </c>
      <c r="AS64" s="123">
        <f t="shared" ref="AS64" si="938">+AR64+AS63</f>
        <v>520</v>
      </c>
      <c r="AT64" s="123">
        <f t="shared" ref="AT64" si="939">+AK64+AT63</f>
        <v>520</v>
      </c>
      <c r="AU64" s="123">
        <f t="shared" ref="AU64" si="940">+AT64+AU63</f>
        <v>520</v>
      </c>
      <c r="AV64" s="123">
        <f t="shared" ref="AV64" si="941">+AM64+AV63</f>
        <v>520</v>
      </c>
      <c r="AW64" s="123">
        <f t="shared" ref="AW64" si="942">+AV64+AW63</f>
        <v>520</v>
      </c>
      <c r="AX64" s="123">
        <f t="shared" ref="AX64" si="943">+AO64+AX63</f>
        <v>520</v>
      </c>
      <c r="AY64" s="123">
        <f t="shared" ref="AY64" si="944">+AX64+AY63</f>
        <v>520</v>
      </c>
      <c r="AZ64" s="123">
        <v>520</v>
      </c>
      <c r="BA64" s="123">
        <f t="shared" ref="BA64:BG64" si="945">+AZ64+BA63</f>
        <v>520</v>
      </c>
      <c r="BB64" s="123">
        <f t="shared" si="945"/>
        <v>520</v>
      </c>
      <c r="BC64" s="123">
        <f t="shared" si="945"/>
        <v>520</v>
      </c>
      <c r="BD64" s="123">
        <f t="shared" si="945"/>
        <v>520</v>
      </c>
      <c r="BE64" s="123">
        <f t="shared" si="945"/>
        <v>520</v>
      </c>
      <c r="BF64" s="123">
        <f t="shared" si="945"/>
        <v>520</v>
      </c>
      <c r="BG64" s="123">
        <f t="shared" si="945"/>
        <v>520</v>
      </c>
      <c r="BH64" s="121"/>
      <c r="BI64" s="118"/>
      <c r="BK64" s="118"/>
    </row>
    <row r="65" spans="1:63" ht="35.25" customHeight="1" x14ac:dyDescent="0.2">
      <c r="A65" s="16">
        <f>+A63+1</f>
        <v>27</v>
      </c>
      <c r="B65" s="17" t="s">
        <v>108</v>
      </c>
      <c r="C65" s="17" t="s">
        <v>108</v>
      </c>
      <c r="D65" s="17"/>
      <c r="E65" s="124">
        <v>80</v>
      </c>
      <c r="F65" s="124">
        <v>80</v>
      </c>
      <c r="G65" s="124">
        <v>0</v>
      </c>
      <c r="H65" s="124">
        <v>0</v>
      </c>
      <c r="I65" s="124">
        <v>0</v>
      </c>
      <c r="J65" s="124">
        <v>80</v>
      </c>
      <c r="K65" s="124">
        <v>160</v>
      </c>
      <c r="L65" s="124">
        <v>160</v>
      </c>
      <c r="M65" s="124">
        <v>80</v>
      </c>
      <c r="N65" s="124">
        <v>200</v>
      </c>
      <c r="O65" s="124">
        <v>280</v>
      </c>
      <c r="P65" s="124">
        <v>160</v>
      </c>
      <c r="Q65" s="124">
        <v>80</v>
      </c>
      <c r="R65" s="124">
        <v>160</v>
      </c>
      <c r="S65" s="124">
        <v>80</v>
      </c>
      <c r="T65" s="124">
        <v>120</v>
      </c>
      <c r="U65" s="124">
        <v>120</v>
      </c>
      <c r="V65" s="124">
        <v>120</v>
      </c>
      <c r="W65" s="124">
        <v>80</v>
      </c>
      <c r="X65" s="168">
        <f>120+80</f>
        <v>200</v>
      </c>
      <c r="Y65" s="168">
        <v>360</v>
      </c>
      <c r="Z65" s="124">
        <v>0</v>
      </c>
      <c r="AA65" s="124">
        <v>240</v>
      </c>
      <c r="AB65" s="124">
        <v>80</v>
      </c>
      <c r="AC65" s="124">
        <v>160</v>
      </c>
      <c r="AD65" s="124">
        <v>120</v>
      </c>
      <c r="AE65" s="124">
        <v>120</v>
      </c>
      <c r="AF65" s="124">
        <v>160</v>
      </c>
      <c r="AG65" s="124">
        <v>80</v>
      </c>
      <c r="AH65" s="124">
        <v>200</v>
      </c>
      <c r="AI65" s="124">
        <v>80</v>
      </c>
      <c r="AJ65" s="124">
        <v>160</v>
      </c>
      <c r="AK65" s="124">
        <v>120</v>
      </c>
      <c r="AL65" s="124">
        <v>120</v>
      </c>
      <c r="AM65" s="124">
        <v>160</v>
      </c>
      <c r="AN65" s="124">
        <v>120</v>
      </c>
      <c r="AO65" s="124">
        <v>120</v>
      </c>
      <c r="AP65" s="124">
        <v>280</v>
      </c>
      <c r="AQ65" s="124">
        <v>120</v>
      </c>
      <c r="AR65" s="124">
        <v>240</v>
      </c>
      <c r="AS65" s="124">
        <v>120</v>
      </c>
      <c r="AT65" s="124">
        <v>120</v>
      </c>
      <c r="AU65" s="124">
        <v>120</v>
      </c>
      <c r="AV65" s="124">
        <v>200</v>
      </c>
      <c r="AW65" s="124">
        <v>120</v>
      </c>
      <c r="AX65" s="124">
        <v>80</v>
      </c>
      <c r="AY65" s="124">
        <v>120</v>
      </c>
      <c r="AZ65" s="124">
        <v>560</v>
      </c>
      <c r="BA65" s="124">
        <f>+SUM(M65:T65)</f>
        <v>1160</v>
      </c>
      <c r="BB65" s="124">
        <f>SUM(U65:Z65)</f>
        <v>880</v>
      </c>
      <c r="BC65" s="124">
        <f>SUM(AA65:AI65)</f>
        <v>1240</v>
      </c>
      <c r="BD65" s="124">
        <f>SUM(AJ65:AO65)</f>
        <v>800</v>
      </c>
      <c r="BE65" s="124">
        <f>SUM(AP65:AY65)</f>
        <v>1520</v>
      </c>
      <c r="BF65" s="124">
        <v>1040</v>
      </c>
      <c r="BG65" s="124">
        <v>1000</v>
      </c>
      <c r="BH65" s="116" t="s">
        <v>82</v>
      </c>
    </row>
    <row r="66" spans="1:63" ht="35.25" customHeight="1" x14ac:dyDescent="0.2">
      <c r="A66" s="119"/>
      <c r="B66" s="120"/>
      <c r="C66" s="120" t="s">
        <v>48</v>
      </c>
      <c r="D66" s="133">
        <f>E66</f>
        <v>61200</v>
      </c>
      <c r="E66" s="123">
        <v>61200</v>
      </c>
      <c r="F66" s="123">
        <f>+E66+F65</f>
        <v>61280</v>
      </c>
      <c r="G66" s="123">
        <f>+F66+G65</f>
        <v>61280</v>
      </c>
      <c r="H66" s="123">
        <f>+G66+H65</f>
        <v>61280</v>
      </c>
      <c r="I66" s="123">
        <f>+H66+I65</f>
        <v>61280</v>
      </c>
      <c r="J66" s="123">
        <f>+I66+J65</f>
        <v>61360</v>
      </c>
      <c r="K66" s="123">
        <f t="shared" ref="K66" si="946">+J66+K65</f>
        <v>61520</v>
      </c>
      <c r="L66" s="123">
        <f t="shared" ref="L66" si="947">+K66+L65</f>
        <v>61680</v>
      </c>
      <c r="M66" s="123">
        <f t="shared" ref="M66" si="948">+L66+M65</f>
        <v>61760</v>
      </c>
      <c r="N66" s="123">
        <f t="shared" ref="N66" si="949">+M66+N65</f>
        <v>61960</v>
      </c>
      <c r="O66" s="123">
        <f t="shared" ref="O66" si="950">+N66+O65</f>
        <v>62240</v>
      </c>
      <c r="P66" s="123">
        <f t="shared" ref="P66" si="951">+O66+P65</f>
        <v>62400</v>
      </c>
      <c r="Q66" s="123">
        <f t="shared" ref="Q66" si="952">+P66+Q65</f>
        <v>62480</v>
      </c>
      <c r="R66" s="123">
        <f t="shared" ref="R66" si="953">+Q66+R65</f>
        <v>62640</v>
      </c>
      <c r="S66" s="123">
        <f>+R66+S65</f>
        <v>62720</v>
      </c>
      <c r="T66" s="123">
        <f>+S66+T65</f>
        <v>62840</v>
      </c>
      <c r="U66" s="123">
        <f t="shared" ref="U66" si="954">+T66+U65</f>
        <v>62960</v>
      </c>
      <c r="V66" s="123">
        <f t="shared" ref="V66" si="955">+U66+V65</f>
        <v>63080</v>
      </c>
      <c r="W66" s="123">
        <f t="shared" ref="W66" si="956">+V66+W65</f>
        <v>63160</v>
      </c>
      <c r="X66" s="123">
        <f t="shared" ref="X66" si="957">+W66+X65</f>
        <v>63360</v>
      </c>
      <c r="Y66" s="123">
        <f t="shared" ref="Y66" si="958">+X66+Y65</f>
        <v>63720</v>
      </c>
      <c r="Z66" s="123">
        <f t="shared" ref="Z66" si="959">+Y66+Z65</f>
        <v>63720</v>
      </c>
      <c r="AA66" s="123">
        <f t="shared" ref="AA66" si="960">+Z66+AA65</f>
        <v>63960</v>
      </c>
      <c r="AB66" s="123">
        <f>+AA66+AB65</f>
        <v>64040</v>
      </c>
      <c r="AC66" s="123">
        <f>+AB66+AC65</f>
        <v>64200</v>
      </c>
      <c r="AD66" s="123">
        <f>+AC66+AD65</f>
        <v>64320</v>
      </c>
      <c r="AE66" s="123">
        <f>+AD66+AE65</f>
        <v>64440</v>
      </c>
      <c r="AF66" s="123">
        <f t="shared" ref="AF66" si="961">+AE66+AF65</f>
        <v>64600</v>
      </c>
      <c r="AG66" s="123">
        <f t="shared" ref="AG66" si="962">+AF66+AG65</f>
        <v>64680</v>
      </c>
      <c r="AH66" s="123">
        <f t="shared" ref="AH66" si="963">+AG66+AH65</f>
        <v>64880</v>
      </c>
      <c r="AI66" s="123">
        <f t="shared" ref="AI66" si="964">+AH66+AI65</f>
        <v>64960</v>
      </c>
      <c r="AJ66" s="123">
        <f t="shared" ref="AJ66" si="965">+AI66+AJ65</f>
        <v>65120</v>
      </c>
      <c r="AK66" s="123">
        <f t="shared" ref="AK66" si="966">+AJ66+AK65</f>
        <v>65240</v>
      </c>
      <c r="AL66" s="123">
        <f t="shared" ref="AL66" si="967">+AK66+AL65</f>
        <v>65360</v>
      </c>
      <c r="AM66" s="123">
        <f t="shared" ref="AM66" si="968">+AL66+AM65</f>
        <v>65520</v>
      </c>
      <c r="AN66" s="123">
        <f t="shared" ref="AN66" si="969">+AM66+AN65</f>
        <v>65640</v>
      </c>
      <c r="AO66" s="123">
        <f t="shared" ref="AO66" si="970">+AN66+AO65</f>
        <v>65760</v>
      </c>
      <c r="AP66" s="123">
        <f t="shared" ref="AP66" si="971">+AG66+AP65</f>
        <v>64960</v>
      </c>
      <c r="AQ66" s="123">
        <f t="shared" ref="AQ66" si="972">+AP66+AQ65</f>
        <v>65080</v>
      </c>
      <c r="AR66" s="123">
        <f t="shared" ref="AR66" si="973">+AI66+AR65</f>
        <v>65200</v>
      </c>
      <c r="AS66" s="123">
        <f t="shared" ref="AS66" si="974">+AR66+AS65</f>
        <v>65320</v>
      </c>
      <c r="AT66" s="123">
        <f t="shared" ref="AT66" si="975">+AK66+AT65</f>
        <v>65360</v>
      </c>
      <c r="AU66" s="123">
        <f t="shared" ref="AU66" si="976">+AT66+AU65</f>
        <v>65480</v>
      </c>
      <c r="AV66" s="123">
        <f t="shared" ref="AV66" si="977">+AM66+AV65</f>
        <v>65720</v>
      </c>
      <c r="AW66" s="123">
        <f t="shared" ref="AW66" si="978">+AV66+AW65</f>
        <v>65840</v>
      </c>
      <c r="AX66" s="123">
        <f t="shared" ref="AX66" si="979">+AO66+AX65</f>
        <v>65840</v>
      </c>
      <c r="AY66" s="123">
        <f t="shared" ref="AY66" si="980">+AX66+AY65</f>
        <v>65960</v>
      </c>
      <c r="AZ66" s="123">
        <v>69960</v>
      </c>
      <c r="BA66" s="123">
        <f t="shared" ref="BA66:BG66" si="981">+AZ66+BA65</f>
        <v>71120</v>
      </c>
      <c r="BB66" s="123">
        <f t="shared" si="981"/>
        <v>72000</v>
      </c>
      <c r="BC66" s="123">
        <f t="shared" si="981"/>
        <v>73240</v>
      </c>
      <c r="BD66" s="123">
        <f t="shared" si="981"/>
        <v>74040</v>
      </c>
      <c r="BE66" s="123">
        <f t="shared" si="981"/>
        <v>75560</v>
      </c>
      <c r="BF66" s="123">
        <f t="shared" si="981"/>
        <v>76600</v>
      </c>
      <c r="BG66" s="123">
        <f t="shared" si="981"/>
        <v>77600</v>
      </c>
      <c r="BH66" s="121"/>
      <c r="BI66" s="118"/>
      <c r="BK66" s="118"/>
    </row>
    <row r="67" spans="1:63" ht="35.25" customHeight="1" x14ac:dyDescent="0.2">
      <c r="A67" s="16">
        <f>+A65+1</f>
        <v>28</v>
      </c>
      <c r="B67" s="17" t="s">
        <v>109</v>
      </c>
      <c r="C67" s="17" t="s">
        <v>109</v>
      </c>
      <c r="D67" s="17"/>
      <c r="E67" s="124">
        <v>40</v>
      </c>
      <c r="F67" s="124">
        <v>40</v>
      </c>
      <c r="G67" s="124">
        <v>0</v>
      </c>
      <c r="H67" s="124">
        <v>40</v>
      </c>
      <c r="I67" s="124">
        <v>0</v>
      </c>
      <c r="J67" s="124">
        <v>80</v>
      </c>
      <c r="K67" s="124">
        <v>80</v>
      </c>
      <c r="L67" s="124">
        <v>80</v>
      </c>
      <c r="M67" s="124">
        <v>80</v>
      </c>
      <c r="N67" s="124">
        <v>40</v>
      </c>
      <c r="O67" s="124">
        <v>0</v>
      </c>
      <c r="P67" s="124">
        <v>80</v>
      </c>
      <c r="Q67" s="124">
        <v>80</v>
      </c>
      <c r="R67" s="124">
        <v>80</v>
      </c>
      <c r="S67" s="124">
        <v>0</v>
      </c>
      <c r="T67" s="124">
        <v>0</v>
      </c>
      <c r="U67" s="124">
        <v>0</v>
      </c>
      <c r="V67" s="124">
        <v>0</v>
      </c>
      <c r="W67" s="124">
        <v>0</v>
      </c>
      <c r="X67" s="124">
        <v>40</v>
      </c>
      <c r="Y67" s="168">
        <v>120</v>
      </c>
      <c r="Z67" s="124">
        <v>0</v>
      </c>
      <c r="AA67" s="124">
        <v>80</v>
      </c>
      <c r="AB67" s="124">
        <v>0</v>
      </c>
      <c r="AC67" s="124">
        <v>80</v>
      </c>
      <c r="AD67" s="124">
        <v>40</v>
      </c>
      <c r="AE67" s="124">
        <v>40</v>
      </c>
      <c r="AF67" s="124">
        <v>40</v>
      </c>
      <c r="AG67" s="124">
        <v>40</v>
      </c>
      <c r="AH67" s="124">
        <v>80</v>
      </c>
      <c r="AI67" s="124">
        <v>40</v>
      </c>
      <c r="AJ67" s="124">
        <v>80</v>
      </c>
      <c r="AK67" s="124">
        <v>40</v>
      </c>
      <c r="AL67" s="124">
        <v>40</v>
      </c>
      <c r="AM67" s="124">
        <v>80</v>
      </c>
      <c r="AN67" s="124">
        <v>40</v>
      </c>
      <c r="AO67" s="124">
        <v>80</v>
      </c>
      <c r="AP67" s="124">
        <v>120</v>
      </c>
      <c r="AQ67" s="124">
        <v>120</v>
      </c>
      <c r="AR67" s="124">
        <v>120</v>
      </c>
      <c r="AS67" s="124">
        <v>80</v>
      </c>
      <c r="AT67" s="124">
        <v>80</v>
      </c>
      <c r="AU67" s="124">
        <v>80</v>
      </c>
      <c r="AV67" s="124">
        <v>120</v>
      </c>
      <c r="AW67" s="124">
        <v>80</v>
      </c>
      <c r="AX67" s="124">
        <v>80</v>
      </c>
      <c r="AY67" s="124">
        <v>80</v>
      </c>
      <c r="AZ67" s="124">
        <v>360</v>
      </c>
      <c r="BA67" s="124">
        <f>+SUM(M67:T67)</f>
        <v>360</v>
      </c>
      <c r="BB67" s="124">
        <f>SUM(U67:Z67)</f>
        <v>160</v>
      </c>
      <c r="BC67" s="124">
        <f>SUM(AA67:AI67)</f>
        <v>440</v>
      </c>
      <c r="BD67" s="124">
        <f>SUM(AJ67:AO67)</f>
        <v>360</v>
      </c>
      <c r="BE67" s="124">
        <f>SUM(AP67:AY67)</f>
        <v>960</v>
      </c>
      <c r="BF67" s="124">
        <v>640</v>
      </c>
      <c r="BG67" s="124">
        <v>680</v>
      </c>
      <c r="BH67" s="116" t="s">
        <v>82</v>
      </c>
    </row>
    <row r="68" spans="1:63" ht="35.25" customHeight="1" x14ac:dyDescent="0.2">
      <c r="A68" s="119"/>
      <c r="B68" s="120"/>
      <c r="C68" s="120" t="s">
        <v>48</v>
      </c>
      <c r="D68" s="133">
        <f>E68</f>
        <v>22040</v>
      </c>
      <c r="E68" s="123">
        <v>22040</v>
      </c>
      <c r="F68" s="123">
        <f>+E68+F67</f>
        <v>22080</v>
      </c>
      <c r="G68" s="123">
        <f>+F68+G67</f>
        <v>22080</v>
      </c>
      <c r="H68" s="123">
        <f>+G68+H67</f>
        <v>22120</v>
      </c>
      <c r="I68" s="123">
        <f>+H68+I67</f>
        <v>22120</v>
      </c>
      <c r="J68" s="123">
        <f>+I68+J67</f>
        <v>22200</v>
      </c>
      <c r="K68" s="123">
        <f t="shared" ref="K68" si="982">+J68+K67</f>
        <v>22280</v>
      </c>
      <c r="L68" s="123">
        <f t="shared" ref="L68" si="983">+K68+L67</f>
        <v>22360</v>
      </c>
      <c r="M68" s="123">
        <f t="shared" ref="M68" si="984">+L68+M67</f>
        <v>22440</v>
      </c>
      <c r="N68" s="123">
        <f t="shared" ref="N68" si="985">+M68+N67</f>
        <v>22480</v>
      </c>
      <c r="O68" s="123">
        <f t="shared" ref="O68" si="986">+N68+O67</f>
        <v>22480</v>
      </c>
      <c r="P68" s="123">
        <f t="shared" ref="P68" si="987">+O68+P67</f>
        <v>22560</v>
      </c>
      <c r="Q68" s="123">
        <f t="shared" ref="Q68" si="988">+P68+Q67</f>
        <v>22640</v>
      </c>
      <c r="R68" s="123">
        <f t="shared" ref="R68" si="989">+Q68+R67</f>
        <v>22720</v>
      </c>
      <c r="S68" s="123">
        <f>+R68+S67</f>
        <v>22720</v>
      </c>
      <c r="T68" s="123">
        <f>+S68+T67</f>
        <v>22720</v>
      </c>
      <c r="U68" s="123">
        <f t="shared" ref="U68" si="990">+T68+U67</f>
        <v>22720</v>
      </c>
      <c r="V68" s="123">
        <f t="shared" ref="V68" si="991">+U68+V67</f>
        <v>22720</v>
      </c>
      <c r="W68" s="123">
        <f t="shared" ref="W68" si="992">+V68+W67</f>
        <v>22720</v>
      </c>
      <c r="X68" s="123">
        <f t="shared" ref="X68" si="993">+W68+X67</f>
        <v>22760</v>
      </c>
      <c r="Y68" s="123">
        <f t="shared" ref="Y68" si="994">+X68+Y67</f>
        <v>22880</v>
      </c>
      <c r="Z68" s="123">
        <f t="shared" ref="Z68" si="995">+Y68+Z67</f>
        <v>22880</v>
      </c>
      <c r="AA68" s="123">
        <f t="shared" ref="AA68" si="996">+Z68+AA67</f>
        <v>22960</v>
      </c>
      <c r="AB68" s="123">
        <f>+AA68+AB67</f>
        <v>22960</v>
      </c>
      <c r="AC68" s="123">
        <f>+AB68+AC67</f>
        <v>23040</v>
      </c>
      <c r="AD68" s="123">
        <f>+AC68+AD67</f>
        <v>23080</v>
      </c>
      <c r="AE68" s="123">
        <f>+AD68+AE67</f>
        <v>23120</v>
      </c>
      <c r="AF68" s="123">
        <f t="shared" ref="AF68" si="997">+AE68+AF67</f>
        <v>23160</v>
      </c>
      <c r="AG68" s="123">
        <f t="shared" ref="AG68" si="998">+AF68+AG67</f>
        <v>23200</v>
      </c>
      <c r="AH68" s="123">
        <f t="shared" ref="AH68" si="999">+AG68+AH67</f>
        <v>23280</v>
      </c>
      <c r="AI68" s="123">
        <f t="shared" ref="AI68" si="1000">+AH68+AI67</f>
        <v>23320</v>
      </c>
      <c r="AJ68" s="123">
        <f t="shared" ref="AJ68" si="1001">+AI68+AJ67</f>
        <v>23400</v>
      </c>
      <c r="AK68" s="123">
        <f t="shared" ref="AK68" si="1002">+AJ68+AK67</f>
        <v>23440</v>
      </c>
      <c r="AL68" s="123">
        <f t="shared" ref="AL68" si="1003">+AK68+AL67</f>
        <v>23480</v>
      </c>
      <c r="AM68" s="123">
        <f t="shared" ref="AM68" si="1004">+AL68+AM67</f>
        <v>23560</v>
      </c>
      <c r="AN68" s="123">
        <f t="shared" ref="AN68" si="1005">+AM68+AN67</f>
        <v>23600</v>
      </c>
      <c r="AO68" s="123">
        <f t="shared" ref="AO68" si="1006">+AN68+AO67</f>
        <v>23680</v>
      </c>
      <c r="AP68" s="123">
        <f t="shared" ref="AP68" si="1007">+AG68+AP67</f>
        <v>23320</v>
      </c>
      <c r="AQ68" s="123">
        <f t="shared" ref="AQ68" si="1008">+AP68+AQ67</f>
        <v>23440</v>
      </c>
      <c r="AR68" s="123">
        <f t="shared" ref="AR68" si="1009">+AI68+AR67</f>
        <v>23440</v>
      </c>
      <c r="AS68" s="123">
        <f t="shared" ref="AS68" si="1010">+AR68+AS67</f>
        <v>23520</v>
      </c>
      <c r="AT68" s="123">
        <f t="shared" ref="AT68" si="1011">+AK68+AT67</f>
        <v>23520</v>
      </c>
      <c r="AU68" s="123">
        <f t="shared" ref="AU68" si="1012">+AT68+AU67</f>
        <v>23600</v>
      </c>
      <c r="AV68" s="123">
        <f t="shared" ref="AV68" si="1013">+AM68+AV67</f>
        <v>23680</v>
      </c>
      <c r="AW68" s="123">
        <f t="shared" ref="AW68" si="1014">+AV68+AW67</f>
        <v>23760</v>
      </c>
      <c r="AX68" s="123">
        <f t="shared" ref="AX68" si="1015">+AO68+AX67</f>
        <v>23760</v>
      </c>
      <c r="AY68" s="123">
        <f t="shared" ref="AY68" si="1016">+AX68+AY67</f>
        <v>23840</v>
      </c>
      <c r="AZ68" s="123">
        <v>27680</v>
      </c>
      <c r="BA68" s="123">
        <f t="shared" ref="BA68:BG68" si="1017">+AZ68+BA67</f>
        <v>28040</v>
      </c>
      <c r="BB68" s="123">
        <f t="shared" si="1017"/>
        <v>28200</v>
      </c>
      <c r="BC68" s="123">
        <f t="shared" si="1017"/>
        <v>28640</v>
      </c>
      <c r="BD68" s="123">
        <f t="shared" si="1017"/>
        <v>29000</v>
      </c>
      <c r="BE68" s="123">
        <f t="shared" si="1017"/>
        <v>29960</v>
      </c>
      <c r="BF68" s="123">
        <f t="shared" si="1017"/>
        <v>30600</v>
      </c>
      <c r="BG68" s="123">
        <f t="shared" si="1017"/>
        <v>31280</v>
      </c>
      <c r="BH68" s="121"/>
      <c r="BI68" s="118"/>
      <c r="BK68" s="118"/>
    </row>
    <row r="69" spans="1:63" ht="35.25" customHeight="1" x14ac:dyDescent="0.2">
      <c r="A69" s="16">
        <f>+A67+1</f>
        <v>29</v>
      </c>
      <c r="B69" s="17" t="s">
        <v>51</v>
      </c>
      <c r="C69" s="17" t="s">
        <v>51</v>
      </c>
      <c r="D69" s="17"/>
      <c r="E69" s="124">
        <v>0</v>
      </c>
      <c r="F69" s="124">
        <v>0</v>
      </c>
      <c r="G69" s="124">
        <v>0</v>
      </c>
      <c r="H69" s="124">
        <v>0</v>
      </c>
      <c r="I69" s="124">
        <v>0</v>
      </c>
      <c r="J69" s="124">
        <v>0</v>
      </c>
      <c r="K69" s="124">
        <v>0</v>
      </c>
      <c r="L69" s="124">
        <v>0</v>
      </c>
      <c r="M69" s="124">
        <v>0</v>
      </c>
      <c r="N69" s="124">
        <v>0</v>
      </c>
      <c r="O69" s="124">
        <v>0</v>
      </c>
      <c r="P69" s="124">
        <v>0</v>
      </c>
      <c r="Q69" s="124">
        <v>0</v>
      </c>
      <c r="R69" s="124">
        <v>0</v>
      </c>
      <c r="S69" s="124">
        <v>0</v>
      </c>
      <c r="T69" s="124">
        <v>0</v>
      </c>
      <c r="U69" s="124">
        <v>0</v>
      </c>
      <c r="V69" s="124">
        <v>0</v>
      </c>
      <c r="W69" s="124">
        <v>0</v>
      </c>
      <c r="X69" s="124">
        <v>0</v>
      </c>
      <c r="Y69" s="124">
        <v>0</v>
      </c>
      <c r="Z69" s="124">
        <v>0</v>
      </c>
      <c r="AA69" s="124">
        <v>0</v>
      </c>
      <c r="AB69" s="124">
        <v>0</v>
      </c>
      <c r="AC69" s="124">
        <v>0</v>
      </c>
      <c r="AD69" s="124">
        <v>0</v>
      </c>
      <c r="AE69" s="124">
        <v>0</v>
      </c>
      <c r="AF69" s="124">
        <v>0</v>
      </c>
      <c r="AG69" s="124">
        <v>0</v>
      </c>
      <c r="AH69" s="124">
        <v>0</v>
      </c>
      <c r="AI69" s="124">
        <v>0</v>
      </c>
      <c r="AJ69" s="124">
        <v>0</v>
      </c>
      <c r="AK69" s="124">
        <v>0</v>
      </c>
      <c r="AL69" s="124">
        <v>0</v>
      </c>
      <c r="AM69" s="124">
        <v>0</v>
      </c>
      <c r="AN69" s="124">
        <v>0</v>
      </c>
      <c r="AO69" s="124">
        <v>0</v>
      </c>
      <c r="AP69" s="124">
        <v>0</v>
      </c>
      <c r="AQ69" s="124">
        <v>0</v>
      </c>
      <c r="AR69" s="124">
        <v>0</v>
      </c>
      <c r="AS69" s="124">
        <v>0</v>
      </c>
      <c r="AT69" s="124">
        <v>0</v>
      </c>
      <c r="AU69" s="124">
        <v>0</v>
      </c>
      <c r="AV69" s="124">
        <v>0</v>
      </c>
      <c r="AW69" s="124">
        <v>0</v>
      </c>
      <c r="AX69" s="124">
        <v>0</v>
      </c>
      <c r="AY69" s="124">
        <v>0</v>
      </c>
      <c r="AZ69" s="124">
        <v>0</v>
      </c>
      <c r="BA69" s="124">
        <f>+SUM(M69:T69)</f>
        <v>0</v>
      </c>
      <c r="BB69" s="124">
        <f>SUM(U69:Z69)</f>
        <v>0</v>
      </c>
      <c r="BC69" s="124">
        <f>SUM(AA69:AI69)</f>
        <v>0</v>
      </c>
      <c r="BD69" s="124">
        <f>SUM(AJ69:AO69)</f>
        <v>0</v>
      </c>
      <c r="BE69" s="124">
        <f>SUM(AP69:AY69)</f>
        <v>0</v>
      </c>
      <c r="BF69" s="124">
        <v>0</v>
      </c>
      <c r="BG69" s="124">
        <v>0</v>
      </c>
      <c r="BH69" s="116" t="s">
        <v>83</v>
      </c>
    </row>
    <row r="70" spans="1:63" ht="35.25" customHeight="1" x14ac:dyDescent="0.2">
      <c r="A70" s="119"/>
      <c r="B70" s="120"/>
      <c r="C70" s="120" t="s">
        <v>48</v>
      </c>
      <c r="D70" s="133">
        <f>E70</f>
        <v>3400</v>
      </c>
      <c r="E70" s="123">
        <v>3400</v>
      </c>
      <c r="F70" s="123">
        <f>+E70+F69</f>
        <v>3400</v>
      </c>
      <c r="G70" s="123">
        <f>+F70+G69</f>
        <v>3400</v>
      </c>
      <c r="H70" s="123">
        <f>+G70+H69</f>
        <v>3400</v>
      </c>
      <c r="I70" s="123">
        <f>+H70+I69</f>
        <v>3400</v>
      </c>
      <c r="J70" s="123">
        <f>+I70+J69</f>
        <v>3400</v>
      </c>
      <c r="K70" s="123">
        <f t="shared" ref="K70" si="1018">+J70+K69</f>
        <v>3400</v>
      </c>
      <c r="L70" s="123">
        <f t="shared" ref="L70" si="1019">+K70+L69</f>
        <v>3400</v>
      </c>
      <c r="M70" s="123">
        <f t="shared" ref="M70" si="1020">+L70+M69</f>
        <v>3400</v>
      </c>
      <c r="N70" s="123">
        <f t="shared" ref="N70" si="1021">+M70+N69</f>
        <v>3400</v>
      </c>
      <c r="O70" s="123">
        <f t="shared" ref="O70" si="1022">+N70+O69</f>
        <v>3400</v>
      </c>
      <c r="P70" s="123">
        <f t="shared" ref="P70" si="1023">+O70+P69</f>
        <v>3400</v>
      </c>
      <c r="Q70" s="123">
        <f t="shared" ref="Q70" si="1024">+P70+Q69</f>
        <v>3400</v>
      </c>
      <c r="R70" s="123">
        <f t="shared" ref="R70" si="1025">+Q70+R69</f>
        <v>3400</v>
      </c>
      <c r="S70" s="123">
        <f>+R70+S69</f>
        <v>3400</v>
      </c>
      <c r="T70" s="123">
        <f>+S70+T69</f>
        <v>3400</v>
      </c>
      <c r="U70" s="123">
        <f t="shared" ref="U70" si="1026">+T70+U69</f>
        <v>3400</v>
      </c>
      <c r="V70" s="123">
        <f t="shared" ref="V70" si="1027">+U70+V69</f>
        <v>3400</v>
      </c>
      <c r="W70" s="123">
        <f t="shared" ref="W70" si="1028">+V70+W69</f>
        <v>3400</v>
      </c>
      <c r="X70" s="123">
        <f t="shared" ref="X70" si="1029">+W70+X69</f>
        <v>3400</v>
      </c>
      <c r="Y70" s="123">
        <f t="shared" ref="Y70" si="1030">+X70+Y69</f>
        <v>3400</v>
      </c>
      <c r="Z70" s="123">
        <f t="shared" ref="Z70" si="1031">+Y70+Z69</f>
        <v>3400</v>
      </c>
      <c r="AA70" s="123">
        <f t="shared" ref="AA70" si="1032">+Z70+AA69</f>
        <v>3400</v>
      </c>
      <c r="AB70" s="123">
        <f>+AA70+AB69</f>
        <v>3400</v>
      </c>
      <c r="AC70" s="123">
        <f>+AB70+AC69</f>
        <v>3400</v>
      </c>
      <c r="AD70" s="123">
        <f>+AC70+AD69</f>
        <v>3400</v>
      </c>
      <c r="AE70" s="123">
        <f>+AD70+AE69</f>
        <v>3400</v>
      </c>
      <c r="AF70" s="123">
        <f t="shared" ref="AF70" si="1033">+AE70+AF69</f>
        <v>3400</v>
      </c>
      <c r="AG70" s="123">
        <f t="shared" ref="AG70" si="1034">+AF70+AG69</f>
        <v>3400</v>
      </c>
      <c r="AH70" s="123">
        <f t="shared" ref="AH70" si="1035">+AG70+AH69</f>
        <v>3400</v>
      </c>
      <c r="AI70" s="123">
        <f t="shared" ref="AI70" si="1036">+AH70+AI69</f>
        <v>3400</v>
      </c>
      <c r="AJ70" s="123">
        <f t="shared" ref="AJ70" si="1037">+AI70+AJ69</f>
        <v>3400</v>
      </c>
      <c r="AK70" s="123">
        <f t="shared" ref="AK70" si="1038">+AJ70+AK69</f>
        <v>3400</v>
      </c>
      <c r="AL70" s="123">
        <f t="shared" ref="AL70" si="1039">+AK70+AL69</f>
        <v>3400</v>
      </c>
      <c r="AM70" s="123">
        <f t="shared" ref="AM70" si="1040">+AL70+AM69</f>
        <v>3400</v>
      </c>
      <c r="AN70" s="123">
        <f t="shared" ref="AN70" si="1041">+AM70+AN69</f>
        <v>3400</v>
      </c>
      <c r="AO70" s="123">
        <f t="shared" ref="AO70" si="1042">+AN70+AO69</f>
        <v>3400</v>
      </c>
      <c r="AP70" s="123">
        <f t="shared" ref="AP70" si="1043">+AG70+AP69</f>
        <v>3400</v>
      </c>
      <c r="AQ70" s="123">
        <f t="shared" ref="AQ70" si="1044">+AP70+AQ69</f>
        <v>3400</v>
      </c>
      <c r="AR70" s="123">
        <f t="shared" ref="AR70" si="1045">+AI70+AR69</f>
        <v>3400</v>
      </c>
      <c r="AS70" s="123">
        <f t="shared" ref="AS70" si="1046">+AR70+AS69</f>
        <v>3400</v>
      </c>
      <c r="AT70" s="123">
        <f t="shared" ref="AT70" si="1047">+AK70+AT69</f>
        <v>3400</v>
      </c>
      <c r="AU70" s="123">
        <f t="shared" ref="AU70" si="1048">+AT70+AU69</f>
        <v>3400</v>
      </c>
      <c r="AV70" s="123">
        <f t="shared" ref="AV70" si="1049">+AM70+AV69</f>
        <v>3400</v>
      </c>
      <c r="AW70" s="123">
        <f t="shared" ref="AW70" si="1050">+AV70+AW69</f>
        <v>3400</v>
      </c>
      <c r="AX70" s="123">
        <f t="shared" ref="AX70" si="1051">+AO70+AX69</f>
        <v>3400</v>
      </c>
      <c r="AY70" s="123">
        <f t="shared" ref="AY70" si="1052">+AX70+AY69</f>
        <v>3400</v>
      </c>
      <c r="AZ70" s="123">
        <v>3960</v>
      </c>
      <c r="BA70" s="123">
        <f t="shared" ref="BA70:BG70" si="1053">+AZ70+BA69</f>
        <v>3960</v>
      </c>
      <c r="BB70" s="123">
        <f t="shared" si="1053"/>
        <v>3960</v>
      </c>
      <c r="BC70" s="123">
        <f t="shared" si="1053"/>
        <v>3960</v>
      </c>
      <c r="BD70" s="123">
        <f t="shared" si="1053"/>
        <v>3960</v>
      </c>
      <c r="BE70" s="123">
        <f t="shared" si="1053"/>
        <v>3960</v>
      </c>
      <c r="BF70" s="123">
        <f t="shared" si="1053"/>
        <v>3960</v>
      </c>
      <c r="BG70" s="123">
        <f t="shared" si="1053"/>
        <v>3960</v>
      </c>
      <c r="BH70" s="121"/>
      <c r="BI70" s="118"/>
      <c r="BK70" s="118"/>
    </row>
    <row r="71" spans="1:63" ht="35.25" customHeight="1" x14ac:dyDescent="0.2">
      <c r="A71" s="16">
        <f>+A69+1</f>
        <v>30</v>
      </c>
      <c r="B71" s="17" t="s">
        <v>52</v>
      </c>
      <c r="C71" s="17" t="s">
        <v>52</v>
      </c>
      <c r="D71" s="17"/>
      <c r="E71" s="124">
        <v>0</v>
      </c>
      <c r="F71" s="124">
        <v>0</v>
      </c>
      <c r="G71" s="124">
        <v>0</v>
      </c>
      <c r="H71" s="124">
        <v>0</v>
      </c>
      <c r="I71" s="124">
        <v>0</v>
      </c>
      <c r="J71" s="124">
        <v>0</v>
      </c>
      <c r="K71" s="124">
        <v>0</v>
      </c>
      <c r="L71" s="124">
        <v>0</v>
      </c>
      <c r="M71" s="124">
        <v>0</v>
      </c>
      <c r="N71" s="124">
        <v>0</v>
      </c>
      <c r="O71" s="124">
        <v>0</v>
      </c>
      <c r="P71" s="124">
        <v>0</v>
      </c>
      <c r="Q71" s="124">
        <v>0</v>
      </c>
      <c r="R71" s="124">
        <v>0</v>
      </c>
      <c r="S71" s="124">
        <v>0</v>
      </c>
      <c r="T71" s="124">
        <v>0</v>
      </c>
      <c r="U71" s="124">
        <v>0</v>
      </c>
      <c r="V71" s="124">
        <v>0</v>
      </c>
      <c r="W71" s="124">
        <v>0</v>
      </c>
      <c r="X71" s="124">
        <v>0</v>
      </c>
      <c r="Y71" s="124">
        <v>0</v>
      </c>
      <c r="Z71" s="124">
        <v>0</v>
      </c>
      <c r="AA71" s="124">
        <v>0</v>
      </c>
      <c r="AB71" s="124">
        <v>0</v>
      </c>
      <c r="AC71" s="124">
        <v>0</v>
      </c>
      <c r="AD71" s="124">
        <v>0</v>
      </c>
      <c r="AE71" s="124">
        <v>0</v>
      </c>
      <c r="AF71" s="124">
        <v>0</v>
      </c>
      <c r="AG71" s="124">
        <v>0</v>
      </c>
      <c r="AH71" s="124">
        <v>0</v>
      </c>
      <c r="AI71" s="124">
        <v>0</v>
      </c>
      <c r="AJ71" s="124">
        <v>0</v>
      </c>
      <c r="AK71" s="124">
        <v>0</v>
      </c>
      <c r="AL71" s="124">
        <v>0</v>
      </c>
      <c r="AM71" s="124">
        <v>0</v>
      </c>
      <c r="AN71" s="124">
        <v>0</v>
      </c>
      <c r="AO71" s="124">
        <v>0</v>
      </c>
      <c r="AP71" s="124">
        <v>0</v>
      </c>
      <c r="AQ71" s="124">
        <v>0</v>
      </c>
      <c r="AR71" s="124">
        <v>0</v>
      </c>
      <c r="AS71" s="124">
        <v>0</v>
      </c>
      <c r="AT71" s="124">
        <v>0</v>
      </c>
      <c r="AU71" s="124">
        <v>0</v>
      </c>
      <c r="AV71" s="124">
        <v>0</v>
      </c>
      <c r="AW71" s="124">
        <v>0</v>
      </c>
      <c r="AX71" s="124">
        <v>0</v>
      </c>
      <c r="AY71" s="124">
        <v>0</v>
      </c>
      <c r="AZ71" s="124">
        <v>0</v>
      </c>
      <c r="BA71" s="124">
        <f>+SUM(M71:T71)</f>
        <v>0</v>
      </c>
      <c r="BB71" s="124">
        <f>SUM(U71:Z71)</f>
        <v>0</v>
      </c>
      <c r="BC71" s="124">
        <f>SUM(AA71:AI71)</f>
        <v>0</v>
      </c>
      <c r="BD71" s="124">
        <f>SUM(AJ71:AO71)</f>
        <v>0</v>
      </c>
      <c r="BE71" s="124">
        <f>SUM(AP71:AY71)</f>
        <v>0</v>
      </c>
      <c r="BF71" s="124">
        <v>0</v>
      </c>
      <c r="BG71" s="124">
        <v>0</v>
      </c>
      <c r="BH71" s="116" t="s">
        <v>83</v>
      </c>
    </row>
    <row r="72" spans="1:63" ht="35.25" customHeight="1" x14ac:dyDescent="0.2">
      <c r="A72" s="119"/>
      <c r="B72" s="120"/>
      <c r="C72" s="120" t="s">
        <v>48</v>
      </c>
      <c r="D72" s="133">
        <f>E72</f>
        <v>3240</v>
      </c>
      <c r="E72" s="123">
        <v>3240</v>
      </c>
      <c r="F72" s="123">
        <f>+E72+F71</f>
        <v>3240</v>
      </c>
      <c r="G72" s="123">
        <f>+F72+G71</f>
        <v>3240</v>
      </c>
      <c r="H72" s="123">
        <f>+G72+H71</f>
        <v>3240</v>
      </c>
      <c r="I72" s="123">
        <f>+H72+I71</f>
        <v>3240</v>
      </c>
      <c r="J72" s="123">
        <f>+I72+J71</f>
        <v>3240</v>
      </c>
      <c r="K72" s="123">
        <f t="shared" ref="K72" si="1054">+J72+K71</f>
        <v>3240</v>
      </c>
      <c r="L72" s="123">
        <f t="shared" ref="L72" si="1055">+K72+L71</f>
        <v>3240</v>
      </c>
      <c r="M72" s="123">
        <f t="shared" ref="M72" si="1056">+L72+M71</f>
        <v>3240</v>
      </c>
      <c r="N72" s="123">
        <f t="shared" ref="N72" si="1057">+M72+N71</f>
        <v>3240</v>
      </c>
      <c r="O72" s="123">
        <f t="shared" ref="O72" si="1058">+N72+O71</f>
        <v>3240</v>
      </c>
      <c r="P72" s="123">
        <f t="shared" ref="P72" si="1059">+O72+P71</f>
        <v>3240</v>
      </c>
      <c r="Q72" s="123">
        <f t="shared" ref="Q72" si="1060">+P72+Q71</f>
        <v>3240</v>
      </c>
      <c r="R72" s="123">
        <f t="shared" ref="R72" si="1061">+Q72+R71</f>
        <v>3240</v>
      </c>
      <c r="S72" s="123">
        <f>+R72+S71</f>
        <v>3240</v>
      </c>
      <c r="T72" s="123">
        <f>+S72+T71</f>
        <v>3240</v>
      </c>
      <c r="U72" s="123">
        <f t="shared" ref="U72" si="1062">+T72+U71</f>
        <v>3240</v>
      </c>
      <c r="V72" s="123">
        <f t="shared" ref="V72" si="1063">+U72+V71</f>
        <v>3240</v>
      </c>
      <c r="W72" s="123">
        <f t="shared" ref="W72" si="1064">+V72+W71</f>
        <v>3240</v>
      </c>
      <c r="X72" s="123">
        <f t="shared" ref="X72" si="1065">+W72+X71</f>
        <v>3240</v>
      </c>
      <c r="Y72" s="123">
        <f t="shared" ref="Y72" si="1066">+X72+Y71</f>
        <v>3240</v>
      </c>
      <c r="Z72" s="123">
        <f t="shared" ref="Z72" si="1067">+Y72+Z71</f>
        <v>3240</v>
      </c>
      <c r="AA72" s="123">
        <f t="shared" ref="AA72" si="1068">+Z72+AA71</f>
        <v>3240</v>
      </c>
      <c r="AB72" s="123">
        <f>+AA72+AB71</f>
        <v>3240</v>
      </c>
      <c r="AC72" s="123">
        <f>+AB72+AC71</f>
        <v>3240</v>
      </c>
      <c r="AD72" s="123">
        <f>+AC72+AD71</f>
        <v>3240</v>
      </c>
      <c r="AE72" s="123">
        <f>+AD72+AE71</f>
        <v>3240</v>
      </c>
      <c r="AF72" s="123">
        <f t="shared" ref="AF72" si="1069">+AE72+AF71</f>
        <v>3240</v>
      </c>
      <c r="AG72" s="123">
        <f t="shared" ref="AG72" si="1070">+AF72+AG71</f>
        <v>3240</v>
      </c>
      <c r="AH72" s="123">
        <f t="shared" ref="AH72" si="1071">+AG72+AH71</f>
        <v>3240</v>
      </c>
      <c r="AI72" s="123">
        <f t="shared" ref="AI72" si="1072">+AH72+AI71</f>
        <v>3240</v>
      </c>
      <c r="AJ72" s="123">
        <f t="shared" ref="AJ72" si="1073">+AI72+AJ71</f>
        <v>3240</v>
      </c>
      <c r="AK72" s="123">
        <f t="shared" ref="AK72" si="1074">+AJ72+AK71</f>
        <v>3240</v>
      </c>
      <c r="AL72" s="123">
        <f t="shared" ref="AL72" si="1075">+AK72+AL71</f>
        <v>3240</v>
      </c>
      <c r="AM72" s="123">
        <f t="shared" ref="AM72" si="1076">+AL72+AM71</f>
        <v>3240</v>
      </c>
      <c r="AN72" s="123">
        <f t="shared" ref="AN72" si="1077">+AM72+AN71</f>
        <v>3240</v>
      </c>
      <c r="AO72" s="123">
        <f t="shared" ref="AO72" si="1078">+AN72+AO71</f>
        <v>3240</v>
      </c>
      <c r="AP72" s="123">
        <f t="shared" ref="AP72" si="1079">+AG72+AP71</f>
        <v>3240</v>
      </c>
      <c r="AQ72" s="123">
        <f t="shared" ref="AQ72" si="1080">+AP72+AQ71</f>
        <v>3240</v>
      </c>
      <c r="AR72" s="123">
        <f t="shared" ref="AR72" si="1081">+AI72+AR71</f>
        <v>3240</v>
      </c>
      <c r="AS72" s="123">
        <f t="shared" ref="AS72" si="1082">+AR72+AS71</f>
        <v>3240</v>
      </c>
      <c r="AT72" s="123">
        <f t="shared" ref="AT72" si="1083">+AK72+AT71</f>
        <v>3240</v>
      </c>
      <c r="AU72" s="123">
        <f t="shared" ref="AU72" si="1084">+AT72+AU71</f>
        <v>3240</v>
      </c>
      <c r="AV72" s="123">
        <f t="shared" ref="AV72" si="1085">+AM72+AV71</f>
        <v>3240</v>
      </c>
      <c r="AW72" s="123">
        <f t="shared" ref="AW72" si="1086">+AV72+AW71</f>
        <v>3240</v>
      </c>
      <c r="AX72" s="123">
        <f t="shared" ref="AX72" si="1087">+AO72+AX71</f>
        <v>3240</v>
      </c>
      <c r="AY72" s="123">
        <f t="shared" ref="AY72" si="1088">+AX72+AY71</f>
        <v>3240</v>
      </c>
      <c r="AZ72" s="123">
        <v>3840</v>
      </c>
      <c r="BA72" s="123">
        <f t="shared" ref="BA72:BG72" si="1089">+AZ72+BA71</f>
        <v>3840</v>
      </c>
      <c r="BB72" s="123">
        <f t="shared" si="1089"/>
        <v>3840</v>
      </c>
      <c r="BC72" s="123">
        <f t="shared" si="1089"/>
        <v>3840</v>
      </c>
      <c r="BD72" s="123">
        <f t="shared" si="1089"/>
        <v>3840</v>
      </c>
      <c r="BE72" s="123">
        <f t="shared" si="1089"/>
        <v>3840</v>
      </c>
      <c r="BF72" s="123">
        <f t="shared" si="1089"/>
        <v>3840</v>
      </c>
      <c r="BG72" s="123">
        <f t="shared" si="1089"/>
        <v>3840</v>
      </c>
      <c r="BH72" s="121"/>
      <c r="BI72" s="118"/>
      <c r="BK72" s="118"/>
    </row>
    <row r="73" spans="1:63" ht="35.25" customHeight="1" x14ac:dyDescent="0.2">
      <c r="A73" s="16">
        <f>+A71+1</f>
        <v>31</v>
      </c>
      <c r="B73" s="17" t="s">
        <v>74</v>
      </c>
      <c r="C73" s="17" t="s">
        <v>74</v>
      </c>
      <c r="D73" s="17"/>
      <c r="E73" s="124">
        <v>0</v>
      </c>
      <c r="F73" s="124">
        <v>0</v>
      </c>
      <c r="G73" s="124">
        <v>0</v>
      </c>
      <c r="H73" s="124">
        <v>0</v>
      </c>
      <c r="I73" s="124">
        <v>0</v>
      </c>
      <c r="J73" s="124">
        <v>0</v>
      </c>
      <c r="K73" s="124">
        <v>0</v>
      </c>
      <c r="L73" s="124">
        <v>0</v>
      </c>
      <c r="M73" s="124">
        <v>0</v>
      </c>
      <c r="N73" s="124">
        <v>0</v>
      </c>
      <c r="O73" s="124">
        <v>0</v>
      </c>
      <c r="P73" s="124">
        <v>0</v>
      </c>
      <c r="Q73" s="124">
        <v>0</v>
      </c>
      <c r="R73" s="124">
        <v>0</v>
      </c>
      <c r="S73" s="124">
        <v>0</v>
      </c>
      <c r="T73" s="124">
        <v>0</v>
      </c>
      <c r="U73" s="124">
        <v>0</v>
      </c>
      <c r="V73" s="124">
        <v>0</v>
      </c>
      <c r="W73" s="124">
        <v>0</v>
      </c>
      <c r="X73" s="124">
        <v>0</v>
      </c>
      <c r="Y73" s="124">
        <v>0</v>
      </c>
      <c r="Z73" s="124">
        <v>0</v>
      </c>
      <c r="AA73" s="124">
        <v>0</v>
      </c>
      <c r="AB73" s="124">
        <v>0</v>
      </c>
      <c r="AC73" s="124">
        <v>0</v>
      </c>
      <c r="AD73" s="124">
        <v>20</v>
      </c>
      <c r="AE73" s="124">
        <v>0</v>
      </c>
      <c r="AF73" s="124">
        <v>0</v>
      </c>
      <c r="AG73" s="124">
        <v>0</v>
      </c>
      <c r="AH73" s="124">
        <v>0</v>
      </c>
      <c r="AI73" s="124">
        <v>0</v>
      </c>
      <c r="AJ73" s="124">
        <v>0</v>
      </c>
      <c r="AK73" s="124">
        <v>0</v>
      </c>
      <c r="AL73" s="124">
        <v>0</v>
      </c>
      <c r="AM73" s="124">
        <v>0</v>
      </c>
      <c r="AN73" s="124">
        <v>0</v>
      </c>
      <c r="AO73" s="124">
        <v>0</v>
      </c>
      <c r="AP73" s="124">
        <v>0</v>
      </c>
      <c r="AQ73" s="124">
        <v>0</v>
      </c>
      <c r="AR73" s="124">
        <v>0</v>
      </c>
      <c r="AS73" s="124">
        <v>0</v>
      </c>
      <c r="AT73" s="124">
        <v>0</v>
      </c>
      <c r="AU73" s="124">
        <v>0</v>
      </c>
      <c r="AV73" s="124">
        <v>0</v>
      </c>
      <c r="AW73" s="124">
        <v>0</v>
      </c>
      <c r="AX73" s="124">
        <v>0</v>
      </c>
      <c r="AY73" s="124">
        <v>0</v>
      </c>
      <c r="AZ73" s="124">
        <v>0</v>
      </c>
      <c r="BA73" s="124">
        <f>+SUM(M73:T73)</f>
        <v>0</v>
      </c>
      <c r="BB73" s="124">
        <f>SUM(U73:Z73)</f>
        <v>0</v>
      </c>
      <c r="BC73" s="124">
        <f>SUM(AA73:AI73)</f>
        <v>20</v>
      </c>
      <c r="BD73" s="124">
        <f>SUM(AJ73:AO73)</f>
        <v>0</v>
      </c>
      <c r="BE73" s="124">
        <f>SUM(AP73:AY73)</f>
        <v>0</v>
      </c>
      <c r="BF73" s="124">
        <v>0</v>
      </c>
      <c r="BG73" s="124">
        <v>0</v>
      </c>
      <c r="BH73" s="116" t="s">
        <v>83</v>
      </c>
    </row>
    <row r="74" spans="1:63" ht="35.25" customHeight="1" x14ac:dyDescent="0.2">
      <c r="A74" s="119"/>
      <c r="B74" s="120"/>
      <c r="C74" s="120" t="s">
        <v>48</v>
      </c>
      <c r="D74" s="133">
        <f>E74</f>
        <v>3340</v>
      </c>
      <c r="E74" s="123">
        <v>3340</v>
      </c>
      <c r="F74" s="123">
        <f>+E74+F73</f>
        <v>3340</v>
      </c>
      <c r="G74" s="123">
        <f>+F74+G73</f>
        <v>3340</v>
      </c>
      <c r="H74" s="123">
        <f>+G74+H73</f>
        <v>3340</v>
      </c>
      <c r="I74" s="123">
        <f>+H74+I73</f>
        <v>3340</v>
      </c>
      <c r="J74" s="123">
        <f>+I74+J73</f>
        <v>3340</v>
      </c>
      <c r="K74" s="123">
        <f t="shared" ref="K74" si="1090">+J74+K73</f>
        <v>3340</v>
      </c>
      <c r="L74" s="123">
        <f t="shared" ref="L74" si="1091">+K74+L73</f>
        <v>3340</v>
      </c>
      <c r="M74" s="123">
        <f t="shared" ref="M74" si="1092">+L74+M73</f>
        <v>3340</v>
      </c>
      <c r="N74" s="123">
        <f t="shared" ref="N74" si="1093">+M74+N73</f>
        <v>3340</v>
      </c>
      <c r="O74" s="123">
        <f t="shared" ref="O74" si="1094">+N74+O73</f>
        <v>3340</v>
      </c>
      <c r="P74" s="123">
        <f t="shared" ref="P74" si="1095">+O74+P73</f>
        <v>3340</v>
      </c>
      <c r="Q74" s="123">
        <f t="shared" ref="Q74" si="1096">+P74+Q73</f>
        <v>3340</v>
      </c>
      <c r="R74" s="123">
        <f t="shared" ref="R74" si="1097">+Q74+R73</f>
        <v>3340</v>
      </c>
      <c r="S74" s="123">
        <f>+R74+S73</f>
        <v>3340</v>
      </c>
      <c r="T74" s="123">
        <f>+S74+T73</f>
        <v>3340</v>
      </c>
      <c r="U74" s="123">
        <f t="shared" ref="U74" si="1098">+T74+U73</f>
        <v>3340</v>
      </c>
      <c r="V74" s="123">
        <f t="shared" ref="V74" si="1099">+U74+V73</f>
        <v>3340</v>
      </c>
      <c r="W74" s="123">
        <f t="shared" ref="W74" si="1100">+V74+W73</f>
        <v>3340</v>
      </c>
      <c r="X74" s="123">
        <f t="shared" ref="X74" si="1101">+W74+X73</f>
        <v>3340</v>
      </c>
      <c r="Y74" s="123">
        <f t="shared" ref="Y74" si="1102">+X74+Y73</f>
        <v>3340</v>
      </c>
      <c r="Z74" s="123">
        <f t="shared" ref="Z74" si="1103">+Y74+Z73</f>
        <v>3340</v>
      </c>
      <c r="AA74" s="123">
        <f t="shared" ref="AA74" si="1104">+Z74+AA73</f>
        <v>3340</v>
      </c>
      <c r="AB74" s="123">
        <f>+AA74+AB73</f>
        <v>3340</v>
      </c>
      <c r="AC74" s="123">
        <f>+AB74+AC73</f>
        <v>3340</v>
      </c>
      <c r="AD74" s="123">
        <f>+AC74+AD73</f>
        <v>3360</v>
      </c>
      <c r="AE74" s="123">
        <f>+AD74+AE73</f>
        <v>3360</v>
      </c>
      <c r="AF74" s="123">
        <f t="shared" ref="AF74" si="1105">+AE74+AF73</f>
        <v>3360</v>
      </c>
      <c r="AG74" s="123">
        <f t="shared" ref="AG74" si="1106">+AF74+AG73</f>
        <v>3360</v>
      </c>
      <c r="AH74" s="123">
        <f t="shared" ref="AH74" si="1107">+AG74+AH73</f>
        <v>3360</v>
      </c>
      <c r="AI74" s="123">
        <f t="shared" ref="AI74" si="1108">+AH74+AI73</f>
        <v>3360</v>
      </c>
      <c r="AJ74" s="123">
        <f t="shared" ref="AJ74" si="1109">+AI74+AJ73</f>
        <v>3360</v>
      </c>
      <c r="AK74" s="123">
        <f t="shared" ref="AK74" si="1110">+AJ74+AK73</f>
        <v>3360</v>
      </c>
      <c r="AL74" s="123">
        <f t="shared" ref="AL74" si="1111">+AK74+AL73</f>
        <v>3360</v>
      </c>
      <c r="AM74" s="123">
        <f t="shared" ref="AM74" si="1112">+AL74+AM73</f>
        <v>3360</v>
      </c>
      <c r="AN74" s="123">
        <f t="shared" ref="AN74" si="1113">+AM74+AN73</f>
        <v>3360</v>
      </c>
      <c r="AO74" s="123">
        <f t="shared" ref="AO74" si="1114">+AN74+AO73</f>
        <v>3360</v>
      </c>
      <c r="AP74" s="123">
        <f t="shared" ref="AP74" si="1115">+AG74+AP73</f>
        <v>3360</v>
      </c>
      <c r="AQ74" s="123">
        <f t="shared" ref="AQ74" si="1116">+AP74+AQ73</f>
        <v>3360</v>
      </c>
      <c r="AR74" s="123">
        <f t="shared" ref="AR74" si="1117">+AI74+AR73</f>
        <v>3360</v>
      </c>
      <c r="AS74" s="123">
        <f t="shared" ref="AS74" si="1118">+AR74+AS73</f>
        <v>3360</v>
      </c>
      <c r="AT74" s="123">
        <f t="shared" ref="AT74" si="1119">+AK74+AT73</f>
        <v>3360</v>
      </c>
      <c r="AU74" s="123">
        <f t="shared" ref="AU74" si="1120">+AT74+AU73</f>
        <v>3360</v>
      </c>
      <c r="AV74" s="123">
        <f t="shared" ref="AV74" si="1121">+AM74+AV73</f>
        <v>3360</v>
      </c>
      <c r="AW74" s="123">
        <f t="shared" ref="AW74" si="1122">+AV74+AW73</f>
        <v>3360</v>
      </c>
      <c r="AX74" s="123">
        <f t="shared" ref="AX74" si="1123">+AO74+AX73</f>
        <v>3360</v>
      </c>
      <c r="AY74" s="123">
        <f t="shared" ref="AY74" si="1124">+AX74+AY73</f>
        <v>3360</v>
      </c>
      <c r="AZ74" s="123">
        <v>3880</v>
      </c>
      <c r="BA74" s="123">
        <f t="shared" ref="BA74:BG74" si="1125">+AZ74+BA73</f>
        <v>3880</v>
      </c>
      <c r="BB74" s="123">
        <f t="shared" si="1125"/>
        <v>3880</v>
      </c>
      <c r="BC74" s="123">
        <f t="shared" si="1125"/>
        <v>3900</v>
      </c>
      <c r="BD74" s="123">
        <f t="shared" si="1125"/>
        <v>3900</v>
      </c>
      <c r="BE74" s="123">
        <f t="shared" si="1125"/>
        <v>3900</v>
      </c>
      <c r="BF74" s="123">
        <f t="shared" si="1125"/>
        <v>3900</v>
      </c>
      <c r="BG74" s="123">
        <f t="shared" si="1125"/>
        <v>3900</v>
      </c>
      <c r="BH74" s="121"/>
      <c r="BI74" s="118"/>
      <c r="BK74" s="118"/>
    </row>
    <row r="75" spans="1:63" ht="35.25" customHeight="1" x14ac:dyDescent="0.2">
      <c r="A75" s="16">
        <f>A73+1</f>
        <v>32</v>
      </c>
      <c r="B75" s="17" t="s">
        <v>75</v>
      </c>
      <c r="C75" s="17" t="s">
        <v>75</v>
      </c>
      <c r="D75" s="17"/>
      <c r="E75" s="124">
        <v>0</v>
      </c>
      <c r="F75" s="124">
        <v>0</v>
      </c>
      <c r="G75" s="124">
        <v>0</v>
      </c>
      <c r="H75" s="124">
        <v>0</v>
      </c>
      <c r="I75" s="124">
        <v>0</v>
      </c>
      <c r="J75" s="124">
        <v>0</v>
      </c>
      <c r="K75" s="124">
        <v>0</v>
      </c>
      <c r="L75" s="124">
        <v>0</v>
      </c>
      <c r="M75" s="124">
        <v>0</v>
      </c>
      <c r="N75" s="124">
        <v>0</v>
      </c>
      <c r="O75" s="124">
        <v>0</v>
      </c>
      <c r="P75" s="124">
        <v>0</v>
      </c>
      <c r="Q75" s="124">
        <v>0</v>
      </c>
      <c r="R75" s="124">
        <v>0</v>
      </c>
      <c r="S75" s="124">
        <v>0</v>
      </c>
      <c r="T75" s="124">
        <v>0</v>
      </c>
      <c r="U75" s="124">
        <v>0</v>
      </c>
      <c r="V75" s="124">
        <v>0</v>
      </c>
      <c r="W75" s="124">
        <v>0</v>
      </c>
      <c r="X75" s="124">
        <v>0</v>
      </c>
      <c r="Y75" s="124">
        <v>0</v>
      </c>
      <c r="Z75" s="124">
        <v>0</v>
      </c>
      <c r="AA75" s="124">
        <v>0</v>
      </c>
      <c r="AB75" s="124">
        <v>0</v>
      </c>
      <c r="AC75" s="124">
        <v>0</v>
      </c>
      <c r="AD75" s="124">
        <v>0</v>
      </c>
      <c r="AE75" s="124">
        <v>0</v>
      </c>
      <c r="AF75" s="124">
        <v>0</v>
      </c>
      <c r="AG75" s="124">
        <v>0</v>
      </c>
      <c r="AH75" s="124">
        <v>0</v>
      </c>
      <c r="AI75" s="124">
        <v>0</v>
      </c>
      <c r="AJ75" s="124">
        <v>0</v>
      </c>
      <c r="AK75" s="124">
        <v>0</v>
      </c>
      <c r="AL75" s="124">
        <v>0</v>
      </c>
      <c r="AM75" s="124">
        <v>0</v>
      </c>
      <c r="AN75" s="124">
        <v>0</v>
      </c>
      <c r="AO75" s="124">
        <v>0</v>
      </c>
      <c r="AP75" s="124">
        <v>0</v>
      </c>
      <c r="AQ75" s="124">
        <v>0</v>
      </c>
      <c r="AR75" s="124">
        <v>0</v>
      </c>
      <c r="AS75" s="124">
        <v>0</v>
      </c>
      <c r="AT75" s="124">
        <v>0</v>
      </c>
      <c r="AU75" s="124">
        <v>0</v>
      </c>
      <c r="AV75" s="124">
        <v>0</v>
      </c>
      <c r="AW75" s="124">
        <v>0</v>
      </c>
      <c r="AX75" s="124">
        <v>0</v>
      </c>
      <c r="AY75" s="124">
        <v>0</v>
      </c>
      <c r="AZ75" s="124">
        <v>0</v>
      </c>
      <c r="BA75" s="124">
        <f>+SUM(M75:T75)</f>
        <v>0</v>
      </c>
      <c r="BB75" s="124">
        <f>SUM(U75:Z75)</f>
        <v>0</v>
      </c>
      <c r="BC75" s="124">
        <f>SUM(AA75:AI75)</f>
        <v>0</v>
      </c>
      <c r="BD75" s="124">
        <f>SUM(AJ75:AO75)</f>
        <v>0</v>
      </c>
      <c r="BE75" s="124">
        <f>SUM(AP75:AY75)</f>
        <v>0</v>
      </c>
      <c r="BF75" s="124">
        <v>0</v>
      </c>
      <c r="BG75" s="124">
        <v>0</v>
      </c>
      <c r="BH75" s="148" t="s">
        <v>135</v>
      </c>
    </row>
    <row r="76" spans="1:63" ht="35.25" customHeight="1" x14ac:dyDescent="0.2">
      <c r="A76" s="119"/>
      <c r="B76" s="120"/>
      <c r="C76" s="120" t="s">
        <v>48</v>
      </c>
      <c r="D76" s="133">
        <f>E76</f>
        <v>380</v>
      </c>
      <c r="E76" s="123">
        <v>380</v>
      </c>
      <c r="F76" s="123">
        <f>+E76+F75</f>
        <v>380</v>
      </c>
      <c r="G76" s="123">
        <f>+F76+G75</f>
        <v>380</v>
      </c>
      <c r="H76" s="123">
        <f>+G76+H75</f>
        <v>380</v>
      </c>
      <c r="I76" s="123">
        <f>+H76+I75</f>
        <v>380</v>
      </c>
      <c r="J76" s="123">
        <f>+I76+J75</f>
        <v>380</v>
      </c>
      <c r="K76" s="123">
        <f t="shared" ref="K76" si="1126">+J76+K75</f>
        <v>380</v>
      </c>
      <c r="L76" s="123">
        <f t="shared" ref="L76" si="1127">+K76+L75</f>
        <v>380</v>
      </c>
      <c r="M76" s="123">
        <f t="shared" ref="M76" si="1128">+L76+M75</f>
        <v>380</v>
      </c>
      <c r="N76" s="123">
        <f t="shared" ref="N76" si="1129">+M76+N75</f>
        <v>380</v>
      </c>
      <c r="O76" s="123">
        <f t="shared" ref="O76" si="1130">+N76+O75</f>
        <v>380</v>
      </c>
      <c r="P76" s="123">
        <f t="shared" ref="P76" si="1131">+O76+P75</f>
        <v>380</v>
      </c>
      <c r="Q76" s="123">
        <f t="shared" ref="Q76" si="1132">+P76+Q75</f>
        <v>380</v>
      </c>
      <c r="R76" s="123">
        <f t="shared" ref="R76" si="1133">+Q76+R75</f>
        <v>380</v>
      </c>
      <c r="S76" s="123">
        <f>+R76+S75</f>
        <v>380</v>
      </c>
      <c r="T76" s="123">
        <f>+S76+T75</f>
        <v>380</v>
      </c>
      <c r="U76" s="123">
        <f t="shared" ref="U76" si="1134">+T76+U75</f>
        <v>380</v>
      </c>
      <c r="V76" s="123">
        <f t="shared" ref="V76" si="1135">+U76+V75</f>
        <v>380</v>
      </c>
      <c r="W76" s="123">
        <f t="shared" ref="W76" si="1136">+V76+W75</f>
        <v>380</v>
      </c>
      <c r="X76" s="123">
        <f t="shared" ref="X76" si="1137">+W76+X75</f>
        <v>380</v>
      </c>
      <c r="Y76" s="123">
        <f t="shared" ref="Y76" si="1138">+X76+Y75</f>
        <v>380</v>
      </c>
      <c r="Z76" s="123">
        <f t="shared" ref="Z76" si="1139">+Y76+Z75</f>
        <v>380</v>
      </c>
      <c r="AA76" s="123">
        <f t="shared" ref="AA76" si="1140">+Z76+AA75</f>
        <v>380</v>
      </c>
      <c r="AB76" s="123">
        <f>+AA76+AB75</f>
        <v>380</v>
      </c>
      <c r="AC76" s="123">
        <f>+AB76+AC75</f>
        <v>380</v>
      </c>
      <c r="AD76" s="123">
        <f>+AC76+AD75</f>
        <v>380</v>
      </c>
      <c r="AE76" s="123">
        <f>+AD76+AE75</f>
        <v>380</v>
      </c>
      <c r="AF76" s="123">
        <f t="shared" ref="AF76" si="1141">+AE76+AF75</f>
        <v>380</v>
      </c>
      <c r="AG76" s="123">
        <f t="shared" ref="AG76" si="1142">+AF76+AG75</f>
        <v>380</v>
      </c>
      <c r="AH76" s="123">
        <f t="shared" ref="AH76" si="1143">+AG76+AH75</f>
        <v>380</v>
      </c>
      <c r="AI76" s="123">
        <f t="shared" ref="AI76" si="1144">+AH76+AI75</f>
        <v>380</v>
      </c>
      <c r="AJ76" s="123">
        <f t="shared" ref="AJ76" si="1145">+AI76+AJ75</f>
        <v>380</v>
      </c>
      <c r="AK76" s="123">
        <f t="shared" ref="AK76" si="1146">+AJ76+AK75</f>
        <v>380</v>
      </c>
      <c r="AL76" s="123">
        <f t="shared" ref="AL76" si="1147">+AK76+AL75</f>
        <v>380</v>
      </c>
      <c r="AM76" s="123">
        <f t="shared" ref="AM76" si="1148">+AL76+AM75</f>
        <v>380</v>
      </c>
      <c r="AN76" s="123">
        <f t="shared" ref="AN76" si="1149">+AM76+AN75</f>
        <v>380</v>
      </c>
      <c r="AO76" s="123">
        <f t="shared" ref="AO76" si="1150">+AN76+AO75</f>
        <v>380</v>
      </c>
      <c r="AP76" s="123">
        <f t="shared" ref="AP76" si="1151">+AG76+AP75</f>
        <v>380</v>
      </c>
      <c r="AQ76" s="123">
        <f t="shared" ref="AQ76" si="1152">+AP76+AQ75</f>
        <v>380</v>
      </c>
      <c r="AR76" s="123">
        <f t="shared" ref="AR76" si="1153">+AI76+AR75</f>
        <v>380</v>
      </c>
      <c r="AS76" s="123">
        <f t="shared" ref="AS76" si="1154">+AR76+AS75</f>
        <v>380</v>
      </c>
      <c r="AT76" s="123">
        <f t="shared" ref="AT76" si="1155">+AK76+AT75</f>
        <v>380</v>
      </c>
      <c r="AU76" s="123">
        <f t="shared" ref="AU76" si="1156">+AT76+AU75</f>
        <v>380</v>
      </c>
      <c r="AV76" s="123">
        <f t="shared" ref="AV76" si="1157">+AM76+AV75</f>
        <v>380</v>
      </c>
      <c r="AW76" s="123">
        <f t="shared" ref="AW76" si="1158">+AV76+AW75</f>
        <v>380</v>
      </c>
      <c r="AX76" s="123">
        <f t="shared" ref="AX76" si="1159">+AO76+AX75</f>
        <v>380</v>
      </c>
      <c r="AY76" s="123">
        <f t="shared" ref="AY76" si="1160">+AX76+AY75</f>
        <v>380</v>
      </c>
      <c r="AZ76" s="123">
        <v>380</v>
      </c>
      <c r="BA76" s="123">
        <f t="shared" ref="BA76:BG76" si="1161">+AZ76+BA75</f>
        <v>380</v>
      </c>
      <c r="BB76" s="123">
        <f t="shared" si="1161"/>
        <v>380</v>
      </c>
      <c r="BC76" s="123">
        <f t="shared" si="1161"/>
        <v>380</v>
      </c>
      <c r="BD76" s="123">
        <f t="shared" si="1161"/>
        <v>380</v>
      </c>
      <c r="BE76" s="123">
        <f t="shared" si="1161"/>
        <v>380</v>
      </c>
      <c r="BF76" s="123">
        <f t="shared" si="1161"/>
        <v>380</v>
      </c>
      <c r="BG76" s="123">
        <f t="shared" si="1161"/>
        <v>380</v>
      </c>
      <c r="BH76" s="121"/>
      <c r="BI76" s="118"/>
      <c r="BK76" s="118"/>
    </row>
    <row r="77" spans="1:63" ht="35.25" customHeight="1" x14ac:dyDescent="0.2">
      <c r="A77" s="16">
        <f>+A75+1</f>
        <v>33</v>
      </c>
      <c r="B77" s="17" t="s">
        <v>231</v>
      </c>
      <c r="C77" s="17" t="s">
        <v>76</v>
      </c>
      <c r="D77" s="17"/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4">
        <v>0</v>
      </c>
      <c r="L77" s="124">
        <v>0</v>
      </c>
      <c r="M77" s="124">
        <v>0</v>
      </c>
      <c r="N77" s="124">
        <v>0</v>
      </c>
      <c r="O77" s="124">
        <v>0</v>
      </c>
      <c r="P77" s="124">
        <v>0</v>
      </c>
      <c r="Q77" s="124">
        <v>0</v>
      </c>
      <c r="R77" s="124">
        <v>0</v>
      </c>
      <c r="S77" s="124">
        <v>0</v>
      </c>
      <c r="T77" s="124">
        <v>0</v>
      </c>
      <c r="U77" s="124">
        <v>0</v>
      </c>
      <c r="V77" s="124">
        <v>0</v>
      </c>
      <c r="W77" s="124">
        <v>0</v>
      </c>
      <c r="X77" s="124">
        <v>0</v>
      </c>
      <c r="Y77" s="124">
        <v>0</v>
      </c>
      <c r="Z77" s="124">
        <v>0</v>
      </c>
      <c r="AA77" s="124">
        <v>0</v>
      </c>
      <c r="AB77" s="124">
        <v>0</v>
      </c>
      <c r="AC77" s="124">
        <v>0</v>
      </c>
      <c r="AD77" s="124">
        <v>20</v>
      </c>
      <c r="AE77" s="124">
        <v>0</v>
      </c>
      <c r="AF77" s="124">
        <v>0</v>
      </c>
      <c r="AG77" s="124">
        <v>0</v>
      </c>
      <c r="AH77" s="124">
        <v>0</v>
      </c>
      <c r="AI77" s="124">
        <v>0</v>
      </c>
      <c r="AJ77" s="124">
        <v>0</v>
      </c>
      <c r="AK77" s="124">
        <v>0</v>
      </c>
      <c r="AL77" s="124">
        <v>0</v>
      </c>
      <c r="AM77" s="124">
        <v>0</v>
      </c>
      <c r="AN77" s="124">
        <v>0</v>
      </c>
      <c r="AO77" s="124">
        <v>0</v>
      </c>
      <c r="AP77" s="124">
        <v>0</v>
      </c>
      <c r="AQ77" s="124">
        <v>0</v>
      </c>
      <c r="AR77" s="124">
        <v>0</v>
      </c>
      <c r="AS77" s="124">
        <v>0</v>
      </c>
      <c r="AT77" s="124">
        <v>0</v>
      </c>
      <c r="AU77" s="124">
        <v>0</v>
      </c>
      <c r="AV77" s="124">
        <v>0</v>
      </c>
      <c r="AW77" s="124">
        <v>0</v>
      </c>
      <c r="AX77" s="124">
        <v>0</v>
      </c>
      <c r="AY77" s="124">
        <v>0</v>
      </c>
      <c r="AZ77" s="124">
        <v>0</v>
      </c>
      <c r="BA77" s="124">
        <f>+SUM(M77:T77)</f>
        <v>0</v>
      </c>
      <c r="BB77" s="124">
        <f>SUM(U77:Z77)</f>
        <v>0</v>
      </c>
      <c r="BC77" s="124">
        <f>SUM(AA77:AI77)</f>
        <v>20</v>
      </c>
      <c r="BD77" s="124">
        <f>SUM(AJ77:AO77)</f>
        <v>0</v>
      </c>
      <c r="BE77" s="124">
        <f>SUM(AP77:AY77)</f>
        <v>0</v>
      </c>
      <c r="BF77" s="124">
        <v>0</v>
      </c>
      <c r="BG77" s="124">
        <v>20</v>
      </c>
      <c r="BH77" s="148" t="s">
        <v>135</v>
      </c>
    </row>
    <row r="78" spans="1:63" ht="35.25" customHeight="1" x14ac:dyDescent="0.2">
      <c r="A78" s="119"/>
      <c r="B78" s="120"/>
      <c r="C78" s="120" t="s">
        <v>48</v>
      </c>
      <c r="D78" s="133">
        <f>E78</f>
        <v>540</v>
      </c>
      <c r="E78" s="123">
        <v>540</v>
      </c>
      <c r="F78" s="123">
        <f>+E78+F77</f>
        <v>540</v>
      </c>
      <c r="G78" s="123">
        <f>+F78+G77</f>
        <v>540</v>
      </c>
      <c r="H78" s="123">
        <f>+G78+H77</f>
        <v>540</v>
      </c>
      <c r="I78" s="123">
        <f>+H78+I77</f>
        <v>540</v>
      </c>
      <c r="J78" s="123">
        <f>+I78+J77</f>
        <v>540</v>
      </c>
      <c r="K78" s="123">
        <f t="shared" ref="K78" si="1162">+J78+K77</f>
        <v>540</v>
      </c>
      <c r="L78" s="123">
        <f t="shared" ref="L78" si="1163">+K78+L77</f>
        <v>540</v>
      </c>
      <c r="M78" s="123">
        <f t="shared" ref="M78" si="1164">+L78+M77</f>
        <v>540</v>
      </c>
      <c r="N78" s="123">
        <f t="shared" ref="N78" si="1165">+M78+N77</f>
        <v>540</v>
      </c>
      <c r="O78" s="123">
        <f t="shared" ref="O78" si="1166">+N78+O77</f>
        <v>540</v>
      </c>
      <c r="P78" s="123">
        <f t="shared" ref="P78" si="1167">+O78+P77</f>
        <v>540</v>
      </c>
      <c r="Q78" s="123">
        <f t="shared" ref="Q78" si="1168">+P78+Q77</f>
        <v>540</v>
      </c>
      <c r="R78" s="123">
        <f t="shared" ref="R78" si="1169">+Q78+R77</f>
        <v>540</v>
      </c>
      <c r="S78" s="123">
        <f>+R78+S77</f>
        <v>540</v>
      </c>
      <c r="T78" s="123">
        <f>+S78+T77</f>
        <v>540</v>
      </c>
      <c r="U78" s="123">
        <f t="shared" ref="U78" si="1170">+T78+U77</f>
        <v>540</v>
      </c>
      <c r="V78" s="123">
        <f t="shared" ref="V78" si="1171">+U78+V77</f>
        <v>540</v>
      </c>
      <c r="W78" s="123">
        <f t="shared" ref="W78" si="1172">+V78+W77</f>
        <v>540</v>
      </c>
      <c r="X78" s="123">
        <f t="shared" ref="X78" si="1173">+W78+X77</f>
        <v>540</v>
      </c>
      <c r="Y78" s="123">
        <f t="shared" ref="Y78" si="1174">+X78+Y77</f>
        <v>540</v>
      </c>
      <c r="Z78" s="123">
        <f t="shared" ref="Z78" si="1175">+Y78+Z77</f>
        <v>540</v>
      </c>
      <c r="AA78" s="123">
        <f t="shared" ref="AA78" si="1176">+Z78+AA77</f>
        <v>540</v>
      </c>
      <c r="AB78" s="123">
        <f>+AA78+AB77</f>
        <v>540</v>
      </c>
      <c r="AC78" s="123">
        <f>+AB78+AC77</f>
        <v>540</v>
      </c>
      <c r="AD78" s="123">
        <f>+AC78+AD77</f>
        <v>560</v>
      </c>
      <c r="AE78" s="123">
        <f>+AD78+AE77</f>
        <v>560</v>
      </c>
      <c r="AF78" s="123">
        <f t="shared" ref="AF78" si="1177">+AE78+AF77</f>
        <v>560</v>
      </c>
      <c r="AG78" s="123">
        <f t="shared" ref="AG78" si="1178">+AF78+AG77</f>
        <v>560</v>
      </c>
      <c r="AH78" s="123">
        <f t="shared" ref="AH78" si="1179">+AG78+AH77</f>
        <v>560</v>
      </c>
      <c r="AI78" s="123">
        <f t="shared" ref="AI78" si="1180">+AH78+AI77</f>
        <v>560</v>
      </c>
      <c r="AJ78" s="123">
        <f t="shared" ref="AJ78" si="1181">+AI78+AJ77</f>
        <v>560</v>
      </c>
      <c r="AK78" s="123">
        <f t="shared" ref="AK78" si="1182">+AJ78+AK77</f>
        <v>560</v>
      </c>
      <c r="AL78" s="123">
        <f t="shared" ref="AL78" si="1183">+AK78+AL77</f>
        <v>560</v>
      </c>
      <c r="AM78" s="123">
        <f t="shared" ref="AM78" si="1184">+AL78+AM77</f>
        <v>560</v>
      </c>
      <c r="AN78" s="123">
        <f t="shared" ref="AN78" si="1185">+AM78+AN77</f>
        <v>560</v>
      </c>
      <c r="AO78" s="123">
        <f t="shared" ref="AO78" si="1186">+AN78+AO77</f>
        <v>560</v>
      </c>
      <c r="AP78" s="123">
        <f t="shared" ref="AP78" si="1187">+AG78+AP77</f>
        <v>560</v>
      </c>
      <c r="AQ78" s="123">
        <f t="shared" ref="AQ78" si="1188">+AP78+AQ77</f>
        <v>560</v>
      </c>
      <c r="AR78" s="123">
        <f t="shared" ref="AR78" si="1189">+AI78+AR77</f>
        <v>560</v>
      </c>
      <c r="AS78" s="123">
        <f t="shared" ref="AS78" si="1190">+AR78+AS77</f>
        <v>560</v>
      </c>
      <c r="AT78" s="123">
        <f t="shared" ref="AT78" si="1191">+AK78+AT77</f>
        <v>560</v>
      </c>
      <c r="AU78" s="123">
        <f t="shared" ref="AU78" si="1192">+AT78+AU77</f>
        <v>560</v>
      </c>
      <c r="AV78" s="123">
        <f t="shared" ref="AV78" si="1193">+AM78+AV77</f>
        <v>560</v>
      </c>
      <c r="AW78" s="123">
        <f t="shared" ref="AW78" si="1194">+AV78+AW77</f>
        <v>560</v>
      </c>
      <c r="AX78" s="123">
        <f t="shared" ref="AX78" si="1195">+AO78+AX77</f>
        <v>560</v>
      </c>
      <c r="AY78" s="123">
        <f t="shared" ref="AY78" si="1196">+AX78+AY77</f>
        <v>560</v>
      </c>
      <c r="AZ78" s="123">
        <v>620</v>
      </c>
      <c r="BA78" s="123">
        <f t="shared" ref="BA78:BG78" si="1197">+AZ78+BA77</f>
        <v>620</v>
      </c>
      <c r="BB78" s="123">
        <f t="shared" si="1197"/>
        <v>620</v>
      </c>
      <c r="BC78" s="123">
        <f t="shared" si="1197"/>
        <v>640</v>
      </c>
      <c r="BD78" s="123">
        <f t="shared" si="1197"/>
        <v>640</v>
      </c>
      <c r="BE78" s="123">
        <f t="shared" si="1197"/>
        <v>640</v>
      </c>
      <c r="BF78" s="123">
        <f t="shared" si="1197"/>
        <v>640</v>
      </c>
      <c r="BG78" s="123">
        <f t="shared" si="1197"/>
        <v>660</v>
      </c>
      <c r="BH78" s="121"/>
      <c r="BI78" s="118"/>
      <c r="BK78" s="118"/>
    </row>
    <row r="79" spans="1:63" ht="35.25" customHeight="1" x14ac:dyDescent="0.2">
      <c r="A79" s="16">
        <f>+A77+1</f>
        <v>34</v>
      </c>
      <c r="B79" s="17" t="s">
        <v>85</v>
      </c>
      <c r="C79" s="17" t="s">
        <v>85</v>
      </c>
      <c r="D79" s="17"/>
      <c r="E79" s="124">
        <v>320</v>
      </c>
      <c r="F79" s="124">
        <v>320</v>
      </c>
      <c r="G79" s="124">
        <v>560</v>
      </c>
      <c r="H79" s="124">
        <v>520</v>
      </c>
      <c r="I79" s="124">
        <v>840</v>
      </c>
      <c r="J79" s="124">
        <v>720</v>
      </c>
      <c r="K79" s="124">
        <v>1000</v>
      </c>
      <c r="L79" s="124">
        <v>560</v>
      </c>
      <c r="M79" s="124">
        <v>680</v>
      </c>
      <c r="N79" s="124">
        <v>640</v>
      </c>
      <c r="O79" s="124">
        <v>520</v>
      </c>
      <c r="P79" s="124">
        <v>600</v>
      </c>
      <c r="Q79" s="124">
        <v>680</v>
      </c>
      <c r="R79" s="124">
        <v>520</v>
      </c>
      <c r="S79" s="124">
        <v>280</v>
      </c>
      <c r="T79" s="124">
        <v>720</v>
      </c>
      <c r="U79" s="124">
        <v>640</v>
      </c>
      <c r="V79" s="124">
        <v>560</v>
      </c>
      <c r="W79" s="124">
        <v>360</v>
      </c>
      <c r="X79" s="124">
        <v>600</v>
      </c>
      <c r="Y79" s="124">
        <v>840</v>
      </c>
      <c r="Z79" s="124">
        <v>800</v>
      </c>
      <c r="AA79" s="124">
        <v>1240</v>
      </c>
      <c r="AB79" s="124">
        <v>560</v>
      </c>
      <c r="AC79" s="124">
        <v>600</v>
      </c>
      <c r="AD79" s="124">
        <v>720</v>
      </c>
      <c r="AE79" s="124">
        <v>480</v>
      </c>
      <c r="AF79" s="124">
        <v>760</v>
      </c>
      <c r="AG79" s="124">
        <v>480</v>
      </c>
      <c r="AH79" s="124">
        <v>880</v>
      </c>
      <c r="AI79" s="124">
        <v>560</v>
      </c>
      <c r="AJ79" s="124">
        <v>880</v>
      </c>
      <c r="AK79" s="124">
        <v>560</v>
      </c>
      <c r="AL79" s="124">
        <v>840</v>
      </c>
      <c r="AM79" s="124">
        <v>840</v>
      </c>
      <c r="AN79" s="124">
        <v>560</v>
      </c>
      <c r="AO79" s="124">
        <v>560</v>
      </c>
      <c r="AP79" s="124">
        <v>1080</v>
      </c>
      <c r="AQ79" s="124">
        <v>560</v>
      </c>
      <c r="AR79" s="124">
        <v>800</v>
      </c>
      <c r="AS79" s="124">
        <v>560</v>
      </c>
      <c r="AT79" s="124">
        <v>520</v>
      </c>
      <c r="AU79" s="124">
        <v>560</v>
      </c>
      <c r="AV79" s="124">
        <v>800</v>
      </c>
      <c r="AW79" s="124">
        <v>560</v>
      </c>
      <c r="AX79" s="124">
        <v>600</v>
      </c>
      <c r="AY79" s="124">
        <v>880</v>
      </c>
      <c r="AZ79" s="124">
        <v>4840</v>
      </c>
      <c r="BA79" s="124">
        <f>+SUM(M79:T79)</f>
        <v>4640</v>
      </c>
      <c r="BB79" s="124">
        <f>SUM(U79:Z79)</f>
        <v>3800</v>
      </c>
      <c r="BC79" s="124">
        <f>SUM(AA79:AI79)</f>
        <v>6280</v>
      </c>
      <c r="BD79" s="124">
        <f>SUM(AJ79:AO79)</f>
        <v>4240</v>
      </c>
      <c r="BE79" s="124">
        <f>SUM(AP79:AY79)</f>
        <v>6920</v>
      </c>
      <c r="BF79" s="124">
        <v>6280</v>
      </c>
      <c r="BG79" s="124">
        <v>5200</v>
      </c>
      <c r="BH79" s="116" t="s">
        <v>84</v>
      </c>
    </row>
    <row r="80" spans="1:63" ht="35.25" customHeight="1" x14ac:dyDescent="0.2">
      <c r="A80" s="119"/>
      <c r="B80" s="120"/>
      <c r="C80" s="120" t="s">
        <v>48</v>
      </c>
      <c r="D80" s="133">
        <f>E80</f>
        <v>291080</v>
      </c>
      <c r="E80" s="123">
        <v>291080</v>
      </c>
      <c r="F80" s="123">
        <f>+E80+F79</f>
        <v>291400</v>
      </c>
      <c r="G80" s="123">
        <f>+F80+G79</f>
        <v>291960</v>
      </c>
      <c r="H80" s="123">
        <f>+G80+H79</f>
        <v>292480</v>
      </c>
      <c r="I80" s="123">
        <f>+H80+I79</f>
        <v>293320</v>
      </c>
      <c r="J80" s="123">
        <f>+I80+J79</f>
        <v>294040</v>
      </c>
      <c r="K80" s="123">
        <f t="shared" ref="K80" si="1198">+J80+K79</f>
        <v>295040</v>
      </c>
      <c r="L80" s="123">
        <f t="shared" ref="L80" si="1199">+K80+L79</f>
        <v>295600</v>
      </c>
      <c r="M80" s="123">
        <f t="shared" ref="M80" si="1200">+L80+M79</f>
        <v>296280</v>
      </c>
      <c r="N80" s="123">
        <f t="shared" ref="N80" si="1201">+M80+N79</f>
        <v>296920</v>
      </c>
      <c r="O80" s="123">
        <f t="shared" ref="O80" si="1202">+N80+O79</f>
        <v>297440</v>
      </c>
      <c r="P80" s="123">
        <f t="shared" ref="P80" si="1203">+O80+P79</f>
        <v>298040</v>
      </c>
      <c r="Q80" s="123">
        <f t="shared" ref="Q80" si="1204">+P80+Q79</f>
        <v>298720</v>
      </c>
      <c r="R80" s="123">
        <f t="shared" ref="R80" si="1205">+Q80+R79</f>
        <v>299240</v>
      </c>
      <c r="S80" s="123">
        <f>+R80+S79</f>
        <v>299520</v>
      </c>
      <c r="T80" s="123">
        <f>+S80+T79</f>
        <v>300240</v>
      </c>
      <c r="U80" s="123">
        <f t="shared" ref="U80" si="1206">+T80+U79</f>
        <v>300880</v>
      </c>
      <c r="V80" s="123">
        <f t="shared" ref="V80" si="1207">+U80+V79</f>
        <v>301440</v>
      </c>
      <c r="W80" s="123">
        <f t="shared" ref="W80" si="1208">+V80+W79</f>
        <v>301800</v>
      </c>
      <c r="X80" s="123">
        <f t="shared" ref="X80" si="1209">+W80+X79</f>
        <v>302400</v>
      </c>
      <c r="Y80" s="123">
        <f t="shared" ref="Y80" si="1210">+X80+Y79</f>
        <v>303240</v>
      </c>
      <c r="Z80" s="123">
        <f t="shared" ref="Z80" si="1211">+Y80+Z79</f>
        <v>304040</v>
      </c>
      <c r="AA80" s="123">
        <f t="shared" ref="AA80" si="1212">+Z80+AA79</f>
        <v>305280</v>
      </c>
      <c r="AB80" s="123">
        <f>+AA80+AB79</f>
        <v>305840</v>
      </c>
      <c r="AC80" s="123">
        <f>+AB80+AC79</f>
        <v>306440</v>
      </c>
      <c r="AD80" s="123">
        <f>+AC80+AD79</f>
        <v>307160</v>
      </c>
      <c r="AE80" s="123">
        <f>+AD80+AE79</f>
        <v>307640</v>
      </c>
      <c r="AF80" s="123">
        <f t="shared" ref="AF80" si="1213">+AE80+AF79</f>
        <v>308400</v>
      </c>
      <c r="AG80" s="123">
        <f t="shared" ref="AG80" si="1214">+AF80+AG79</f>
        <v>308880</v>
      </c>
      <c r="AH80" s="123">
        <f t="shared" ref="AH80" si="1215">+AG80+AH79</f>
        <v>309760</v>
      </c>
      <c r="AI80" s="123">
        <f t="shared" ref="AI80" si="1216">+AH80+AI79</f>
        <v>310320</v>
      </c>
      <c r="AJ80" s="123">
        <f t="shared" ref="AJ80" si="1217">+AI80+AJ79</f>
        <v>311200</v>
      </c>
      <c r="AK80" s="123">
        <f t="shared" ref="AK80" si="1218">+AJ80+AK79</f>
        <v>311760</v>
      </c>
      <c r="AL80" s="123">
        <f t="shared" ref="AL80" si="1219">+AK80+AL79</f>
        <v>312600</v>
      </c>
      <c r="AM80" s="123">
        <f t="shared" ref="AM80" si="1220">+AL80+AM79</f>
        <v>313440</v>
      </c>
      <c r="AN80" s="123">
        <f t="shared" ref="AN80" si="1221">+AM80+AN79</f>
        <v>314000</v>
      </c>
      <c r="AO80" s="123">
        <f t="shared" ref="AO80" si="1222">+AN80+AO79</f>
        <v>314560</v>
      </c>
      <c r="AP80" s="123">
        <f t="shared" ref="AP80" si="1223">+AG80+AP79</f>
        <v>309960</v>
      </c>
      <c r="AQ80" s="123">
        <f t="shared" ref="AQ80" si="1224">+AP80+AQ79</f>
        <v>310520</v>
      </c>
      <c r="AR80" s="123">
        <f t="shared" ref="AR80" si="1225">+AI80+AR79</f>
        <v>311120</v>
      </c>
      <c r="AS80" s="123">
        <f t="shared" ref="AS80" si="1226">+AR80+AS79</f>
        <v>311680</v>
      </c>
      <c r="AT80" s="123">
        <f t="shared" ref="AT80" si="1227">+AK80+AT79</f>
        <v>312280</v>
      </c>
      <c r="AU80" s="123">
        <f t="shared" ref="AU80" si="1228">+AT80+AU79</f>
        <v>312840</v>
      </c>
      <c r="AV80" s="123">
        <f t="shared" ref="AV80" si="1229">+AM80+AV79</f>
        <v>314240</v>
      </c>
      <c r="AW80" s="123">
        <f t="shared" ref="AW80" si="1230">+AV80+AW79</f>
        <v>314800</v>
      </c>
      <c r="AX80" s="123">
        <f t="shared" ref="AX80" si="1231">+AO80+AX79</f>
        <v>315160</v>
      </c>
      <c r="AY80" s="123">
        <f t="shared" ref="AY80" si="1232">+AX80+AY79</f>
        <v>316040</v>
      </c>
      <c r="AZ80" s="123">
        <v>345920</v>
      </c>
      <c r="BA80" s="123">
        <f t="shared" ref="BA80:BG80" si="1233">+AZ80+BA79</f>
        <v>350560</v>
      </c>
      <c r="BB80" s="123">
        <f t="shared" si="1233"/>
        <v>354360</v>
      </c>
      <c r="BC80" s="123">
        <f t="shared" si="1233"/>
        <v>360640</v>
      </c>
      <c r="BD80" s="123">
        <f t="shared" si="1233"/>
        <v>364880</v>
      </c>
      <c r="BE80" s="123">
        <f t="shared" si="1233"/>
        <v>371800</v>
      </c>
      <c r="BF80" s="123">
        <f t="shared" si="1233"/>
        <v>378080</v>
      </c>
      <c r="BG80" s="123">
        <f t="shared" si="1233"/>
        <v>383280</v>
      </c>
      <c r="BH80" s="121"/>
      <c r="BI80" s="118"/>
      <c r="BK80" s="118"/>
    </row>
    <row r="81" spans="1:63" ht="35.25" customHeight="1" x14ac:dyDescent="0.2">
      <c r="A81" s="16">
        <f>+A79+1</f>
        <v>35</v>
      </c>
      <c r="B81" s="17" t="s">
        <v>46</v>
      </c>
      <c r="C81" s="17" t="s">
        <v>46</v>
      </c>
      <c r="D81" s="17"/>
      <c r="E81" s="124">
        <v>0</v>
      </c>
      <c r="F81" s="124">
        <v>0</v>
      </c>
      <c r="G81" s="124">
        <v>0</v>
      </c>
      <c r="H81" s="124">
        <v>0</v>
      </c>
      <c r="I81" s="124">
        <v>0</v>
      </c>
      <c r="J81" s="124">
        <v>0</v>
      </c>
      <c r="K81" s="124">
        <v>0</v>
      </c>
      <c r="L81" s="124">
        <v>0</v>
      </c>
      <c r="M81" s="124">
        <v>0</v>
      </c>
      <c r="N81" s="124">
        <v>0</v>
      </c>
      <c r="O81" s="124">
        <v>0</v>
      </c>
      <c r="P81" s="124">
        <v>0</v>
      </c>
      <c r="Q81" s="124">
        <v>0</v>
      </c>
      <c r="R81" s="124">
        <v>0</v>
      </c>
      <c r="S81" s="124">
        <v>0</v>
      </c>
      <c r="T81" s="124">
        <v>0</v>
      </c>
      <c r="U81" s="124">
        <v>0</v>
      </c>
      <c r="V81" s="124">
        <v>0</v>
      </c>
      <c r="W81" s="124">
        <v>0</v>
      </c>
      <c r="X81" s="124">
        <v>0</v>
      </c>
      <c r="Y81" s="168">
        <v>60</v>
      </c>
      <c r="Z81" s="124">
        <v>0</v>
      </c>
      <c r="AA81" s="124">
        <v>60</v>
      </c>
      <c r="AB81" s="124">
        <v>0</v>
      </c>
      <c r="AC81" s="124">
        <v>0</v>
      </c>
      <c r="AD81" s="124">
        <v>0</v>
      </c>
      <c r="AE81" s="124">
        <v>0</v>
      </c>
      <c r="AF81" s="124">
        <v>0</v>
      </c>
      <c r="AG81" s="124">
        <v>0</v>
      </c>
      <c r="AH81" s="124">
        <v>0</v>
      </c>
      <c r="AI81" s="124">
        <v>0</v>
      </c>
      <c r="AJ81" s="124">
        <v>60</v>
      </c>
      <c r="AK81" s="124">
        <v>0</v>
      </c>
      <c r="AL81" s="124">
        <v>0</v>
      </c>
      <c r="AM81" s="124">
        <v>0</v>
      </c>
      <c r="AN81" s="124">
        <v>0</v>
      </c>
      <c r="AO81" s="124">
        <v>0</v>
      </c>
      <c r="AP81" s="124">
        <v>0</v>
      </c>
      <c r="AQ81" s="124">
        <v>0</v>
      </c>
      <c r="AR81" s="124">
        <v>60</v>
      </c>
      <c r="AS81" s="124">
        <v>0</v>
      </c>
      <c r="AT81" s="124">
        <v>0</v>
      </c>
      <c r="AU81" s="124">
        <v>0</v>
      </c>
      <c r="AV81" s="124">
        <v>0</v>
      </c>
      <c r="AW81" s="124">
        <v>0</v>
      </c>
      <c r="AX81" s="124">
        <v>0</v>
      </c>
      <c r="AY81" s="124">
        <v>0</v>
      </c>
      <c r="AZ81" s="124">
        <v>0</v>
      </c>
      <c r="BA81" s="124">
        <f>+SUM(M81:T81)</f>
        <v>0</v>
      </c>
      <c r="BB81" s="124">
        <f>SUM(U81:Z81)</f>
        <v>60</v>
      </c>
      <c r="BC81" s="124">
        <f>SUM(AA81:AI81)</f>
        <v>60</v>
      </c>
      <c r="BD81" s="124">
        <f>SUM(AJ81:AO81)</f>
        <v>60</v>
      </c>
      <c r="BE81" s="124">
        <f>SUM(AP81:AY81)</f>
        <v>60</v>
      </c>
      <c r="BF81" s="124">
        <v>60</v>
      </c>
      <c r="BG81" s="124">
        <v>60</v>
      </c>
      <c r="BH81" s="116" t="s">
        <v>84</v>
      </c>
    </row>
    <row r="82" spans="1:63" ht="35.25" customHeight="1" x14ac:dyDescent="0.2">
      <c r="A82" s="119"/>
      <c r="B82" s="120"/>
      <c r="C82" s="120" t="s">
        <v>48</v>
      </c>
      <c r="D82" s="133">
        <f>E82</f>
        <v>35460</v>
      </c>
      <c r="E82" s="123">
        <v>35460</v>
      </c>
      <c r="F82" s="123">
        <f>+E82+F81</f>
        <v>35460</v>
      </c>
      <c r="G82" s="123">
        <f>+F82+G81</f>
        <v>35460</v>
      </c>
      <c r="H82" s="123">
        <f>+G82+H81</f>
        <v>35460</v>
      </c>
      <c r="I82" s="123">
        <f>+H82+I81</f>
        <v>35460</v>
      </c>
      <c r="J82" s="123">
        <f>+I82+J81</f>
        <v>35460</v>
      </c>
      <c r="K82" s="123">
        <f t="shared" ref="K82" si="1234">+J82+K81</f>
        <v>35460</v>
      </c>
      <c r="L82" s="123">
        <f t="shared" ref="L82" si="1235">+K82+L81</f>
        <v>35460</v>
      </c>
      <c r="M82" s="123">
        <f t="shared" ref="M82" si="1236">+L82+M81</f>
        <v>35460</v>
      </c>
      <c r="N82" s="123">
        <f t="shared" ref="N82" si="1237">+M82+N81</f>
        <v>35460</v>
      </c>
      <c r="O82" s="123">
        <f t="shared" ref="O82" si="1238">+N82+O81</f>
        <v>35460</v>
      </c>
      <c r="P82" s="123">
        <f t="shared" ref="P82" si="1239">+O82+P81</f>
        <v>35460</v>
      </c>
      <c r="Q82" s="123">
        <f t="shared" ref="Q82" si="1240">+P82+Q81</f>
        <v>35460</v>
      </c>
      <c r="R82" s="123">
        <f t="shared" ref="R82" si="1241">+Q82+R81</f>
        <v>35460</v>
      </c>
      <c r="S82" s="123">
        <f>+R82+S81</f>
        <v>35460</v>
      </c>
      <c r="T82" s="123">
        <f>+S82+T81</f>
        <v>35460</v>
      </c>
      <c r="U82" s="123">
        <f t="shared" ref="U82" si="1242">+T82+U81</f>
        <v>35460</v>
      </c>
      <c r="V82" s="123">
        <f t="shared" ref="V82" si="1243">+U82+V81</f>
        <v>35460</v>
      </c>
      <c r="W82" s="123">
        <f t="shared" ref="W82" si="1244">+V82+W81</f>
        <v>35460</v>
      </c>
      <c r="X82" s="123">
        <f t="shared" ref="X82" si="1245">+W82+X81</f>
        <v>35460</v>
      </c>
      <c r="Y82" s="123">
        <f t="shared" ref="Y82" si="1246">+X82+Y81</f>
        <v>35520</v>
      </c>
      <c r="Z82" s="123">
        <f t="shared" ref="Z82" si="1247">+Y82+Z81</f>
        <v>35520</v>
      </c>
      <c r="AA82" s="123">
        <f t="shared" ref="AA82" si="1248">+Z82+AA81</f>
        <v>35580</v>
      </c>
      <c r="AB82" s="123">
        <f>+AA82+AB81</f>
        <v>35580</v>
      </c>
      <c r="AC82" s="123">
        <f>+AB82+AC81</f>
        <v>35580</v>
      </c>
      <c r="AD82" s="123">
        <f>+AC82+AD81</f>
        <v>35580</v>
      </c>
      <c r="AE82" s="123">
        <f>+AD82+AE81</f>
        <v>35580</v>
      </c>
      <c r="AF82" s="123">
        <f t="shared" ref="AF82" si="1249">+AE82+AF81</f>
        <v>35580</v>
      </c>
      <c r="AG82" s="123">
        <f t="shared" ref="AG82" si="1250">+AF82+AG81</f>
        <v>35580</v>
      </c>
      <c r="AH82" s="123">
        <f t="shared" ref="AH82" si="1251">+AG82+AH81</f>
        <v>35580</v>
      </c>
      <c r="AI82" s="123">
        <f t="shared" ref="AI82" si="1252">+AH82+AI81</f>
        <v>35580</v>
      </c>
      <c r="AJ82" s="123">
        <f t="shared" ref="AJ82" si="1253">+AI82+AJ81</f>
        <v>35640</v>
      </c>
      <c r="AK82" s="123">
        <f t="shared" ref="AK82" si="1254">+AJ82+AK81</f>
        <v>35640</v>
      </c>
      <c r="AL82" s="123">
        <f t="shared" ref="AL82" si="1255">+AK82+AL81</f>
        <v>35640</v>
      </c>
      <c r="AM82" s="123">
        <f t="shared" ref="AM82" si="1256">+AL82+AM81</f>
        <v>35640</v>
      </c>
      <c r="AN82" s="123">
        <f t="shared" ref="AN82" si="1257">+AM82+AN81</f>
        <v>35640</v>
      </c>
      <c r="AO82" s="123">
        <f t="shared" ref="AO82" si="1258">+AN82+AO81</f>
        <v>35640</v>
      </c>
      <c r="AP82" s="123">
        <f t="shared" ref="AP82" si="1259">+AG82+AP81</f>
        <v>35580</v>
      </c>
      <c r="AQ82" s="123">
        <f t="shared" ref="AQ82" si="1260">+AP82+AQ81</f>
        <v>35580</v>
      </c>
      <c r="AR82" s="123">
        <f t="shared" ref="AR82" si="1261">+AI82+AR81</f>
        <v>35640</v>
      </c>
      <c r="AS82" s="123">
        <f t="shared" ref="AS82" si="1262">+AR82+AS81</f>
        <v>35640</v>
      </c>
      <c r="AT82" s="123">
        <f t="shared" ref="AT82" si="1263">+AK82+AT81</f>
        <v>35640</v>
      </c>
      <c r="AU82" s="123">
        <f t="shared" ref="AU82" si="1264">+AT82+AU81</f>
        <v>35640</v>
      </c>
      <c r="AV82" s="123">
        <f t="shared" ref="AV82" si="1265">+AM82+AV81</f>
        <v>35640</v>
      </c>
      <c r="AW82" s="123">
        <f t="shared" ref="AW82" si="1266">+AV82+AW81</f>
        <v>35640</v>
      </c>
      <c r="AX82" s="123">
        <f t="shared" ref="AX82" si="1267">+AO82+AX81</f>
        <v>35640</v>
      </c>
      <c r="AY82" s="123">
        <f t="shared" ref="AY82" si="1268">+AX82+AY81</f>
        <v>35640</v>
      </c>
      <c r="AZ82" s="123">
        <v>35520</v>
      </c>
      <c r="BA82" s="123">
        <f t="shared" ref="BA82:BG82" si="1269">+AZ82+BA81</f>
        <v>35520</v>
      </c>
      <c r="BB82" s="123">
        <f t="shared" si="1269"/>
        <v>35580</v>
      </c>
      <c r="BC82" s="123">
        <f t="shared" si="1269"/>
        <v>35640</v>
      </c>
      <c r="BD82" s="123">
        <f t="shared" si="1269"/>
        <v>35700</v>
      </c>
      <c r="BE82" s="123">
        <f t="shared" si="1269"/>
        <v>35760</v>
      </c>
      <c r="BF82" s="123">
        <f t="shared" si="1269"/>
        <v>35820</v>
      </c>
      <c r="BG82" s="123">
        <f t="shared" si="1269"/>
        <v>35880</v>
      </c>
      <c r="BH82" s="121"/>
      <c r="BI82" s="118"/>
      <c r="BK82" s="118"/>
    </row>
    <row r="83" spans="1:63" ht="35.25" customHeight="1" x14ac:dyDescent="0.2">
      <c r="A83" s="16">
        <f>+A81+1</f>
        <v>36</v>
      </c>
      <c r="B83" s="17" t="s">
        <v>226</v>
      </c>
      <c r="C83" s="17" t="s">
        <v>86</v>
      </c>
      <c r="D83" s="17"/>
      <c r="E83" s="124">
        <v>320</v>
      </c>
      <c r="F83" s="124">
        <v>400</v>
      </c>
      <c r="G83" s="124">
        <v>720</v>
      </c>
      <c r="H83" s="124">
        <v>720</v>
      </c>
      <c r="I83" s="124">
        <v>1240</v>
      </c>
      <c r="J83" s="124">
        <v>760</v>
      </c>
      <c r="K83" s="124">
        <v>800</v>
      </c>
      <c r="L83" s="124">
        <v>760</v>
      </c>
      <c r="M83" s="124">
        <v>800</v>
      </c>
      <c r="N83" s="124">
        <v>800</v>
      </c>
      <c r="O83" s="124">
        <v>960</v>
      </c>
      <c r="P83" s="168">
        <f>680+160</f>
        <v>840</v>
      </c>
      <c r="Q83" s="124">
        <v>800</v>
      </c>
      <c r="R83" s="124">
        <v>640</v>
      </c>
      <c r="S83" s="124">
        <v>1320</v>
      </c>
      <c r="T83" s="124">
        <v>840</v>
      </c>
      <c r="U83" s="124">
        <v>760</v>
      </c>
      <c r="V83" s="124">
        <v>760</v>
      </c>
      <c r="W83" s="124">
        <v>640</v>
      </c>
      <c r="X83" s="168">
        <f>960+80</f>
        <v>1040</v>
      </c>
      <c r="Y83" s="124">
        <v>1000</v>
      </c>
      <c r="Z83" s="124">
        <v>1120</v>
      </c>
      <c r="AA83" s="124">
        <v>1240</v>
      </c>
      <c r="AB83" s="124">
        <v>720</v>
      </c>
      <c r="AC83" s="124">
        <v>680</v>
      </c>
      <c r="AD83" s="124">
        <v>840</v>
      </c>
      <c r="AE83" s="124">
        <v>560</v>
      </c>
      <c r="AF83" s="124">
        <v>880</v>
      </c>
      <c r="AG83" s="124">
        <v>560</v>
      </c>
      <c r="AH83" s="124">
        <v>1080</v>
      </c>
      <c r="AI83" s="124">
        <v>720</v>
      </c>
      <c r="AJ83" s="124">
        <v>1120</v>
      </c>
      <c r="AK83" s="124">
        <v>720</v>
      </c>
      <c r="AL83" s="124">
        <v>1040</v>
      </c>
      <c r="AM83" s="124">
        <v>1040</v>
      </c>
      <c r="AN83" s="124">
        <v>720</v>
      </c>
      <c r="AO83" s="124">
        <v>680</v>
      </c>
      <c r="AP83" s="124">
        <v>1440</v>
      </c>
      <c r="AQ83" s="124">
        <v>680</v>
      </c>
      <c r="AR83" s="124">
        <v>1000</v>
      </c>
      <c r="AS83" s="124">
        <v>680</v>
      </c>
      <c r="AT83" s="124">
        <v>680</v>
      </c>
      <c r="AU83" s="124">
        <v>680</v>
      </c>
      <c r="AV83" s="124">
        <v>960</v>
      </c>
      <c r="AW83" s="124">
        <v>800</v>
      </c>
      <c r="AX83" s="124">
        <v>800</v>
      </c>
      <c r="AY83" s="124">
        <v>1200</v>
      </c>
      <c r="AZ83" s="124">
        <v>5720</v>
      </c>
      <c r="BA83" s="124">
        <f>+SUM(M83:T83)</f>
        <v>7000</v>
      </c>
      <c r="BB83" s="124">
        <f>SUM(U83:Z83)</f>
        <v>5320</v>
      </c>
      <c r="BC83" s="124">
        <f>SUM(AA83:AI83)</f>
        <v>7280</v>
      </c>
      <c r="BD83" s="124">
        <f>SUM(AJ83:AO83)</f>
        <v>5320</v>
      </c>
      <c r="BE83" s="124">
        <f>SUM(AP83:AY83)</f>
        <v>8920</v>
      </c>
      <c r="BF83" s="124">
        <v>8440</v>
      </c>
      <c r="BG83" s="124">
        <v>7040</v>
      </c>
      <c r="BH83" s="116" t="s">
        <v>84</v>
      </c>
    </row>
    <row r="84" spans="1:63" ht="35.25" customHeight="1" x14ac:dyDescent="0.2">
      <c r="A84" s="119"/>
      <c r="B84" s="120"/>
      <c r="C84" s="120" t="s">
        <v>48</v>
      </c>
      <c r="D84" s="133">
        <f>E84</f>
        <v>407520</v>
      </c>
      <c r="E84" s="123">
        <v>407520</v>
      </c>
      <c r="F84" s="123">
        <f>+E84+F83</f>
        <v>407920</v>
      </c>
      <c r="G84" s="123">
        <f>+F84+G83</f>
        <v>408640</v>
      </c>
      <c r="H84" s="123">
        <f>+G84+H83</f>
        <v>409360</v>
      </c>
      <c r="I84" s="123">
        <f>+H84+I83</f>
        <v>410600</v>
      </c>
      <c r="J84" s="123">
        <f>+I84+J83</f>
        <v>411360</v>
      </c>
      <c r="K84" s="123">
        <f t="shared" ref="K84" si="1270">+J84+K83</f>
        <v>412160</v>
      </c>
      <c r="L84" s="123">
        <f t="shared" ref="L84" si="1271">+K84+L83</f>
        <v>412920</v>
      </c>
      <c r="M84" s="123">
        <f t="shared" ref="M84" si="1272">+L84+M83</f>
        <v>413720</v>
      </c>
      <c r="N84" s="123">
        <f t="shared" ref="N84" si="1273">+M84+N83</f>
        <v>414520</v>
      </c>
      <c r="O84" s="123">
        <f t="shared" ref="O84" si="1274">+N84+O83</f>
        <v>415480</v>
      </c>
      <c r="P84" s="123">
        <f t="shared" ref="P84" si="1275">+O84+P83</f>
        <v>416320</v>
      </c>
      <c r="Q84" s="123">
        <f t="shared" ref="Q84" si="1276">+P84+Q83</f>
        <v>417120</v>
      </c>
      <c r="R84" s="123">
        <f t="shared" ref="R84" si="1277">+Q84+R83</f>
        <v>417760</v>
      </c>
      <c r="S84" s="123">
        <f>+R84+S83</f>
        <v>419080</v>
      </c>
      <c r="T84" s="123">
        <f>+S84+T83</f>
        <v>419920</v>
      </c>
      <c r="U84" s="123">
        <f t="shared" ref="U84" si="1278">+T84+U83</f>
        <v>420680</v>
      </c>
      <c r="V84" s="123">
        <f t="shared" ref="V84" si="1279">+U84+V83</f>
        <v>421440</v>
      </c>
      <c r="W84" s="123">
        <f t="shared" ref="W84" si="1280">+V84+W83</f>
        <v>422080</v>
      </c>
      <c r="X84" s="123">
        <f t="shared" ref="X84" si="1281">+W84+X83</f>
        <v>423120</v>
      </c>
      <c r="Y84" s="123">
        <f t="shared" ref="Y84" si="1282">+X84+Y83</f>
        <v>424120</v>
      </c>
      <c r="Z84" s="123">
        <f t="shared" ref="Z84" si="1283">+Y84+Z83</f>
        <v>425240</v>
      </c>
      <c r="AA84" s="123">
        <f t="shared" ref="AA84" si="1284">+Z84+AA83</f>
        <v>426480</v>
      </c>
      <c r="AB84" s="123">
        <f>+AA84+AB83</f>
        <v>427200</v>
      </c>
      <c r="AC84" s="123">
        <f>+AB84+AC83</f>
        <v>427880</v>
      </c>
      <c r="AD84" s="123">
        <f>+AC84+AD83</f>
        <v>428720</v>
      </c>
      <c r="AE84" s="123">
        <f>+AD84+AE83</f>
        <v>429280</v>
      </c>
      <c r="AF84" s="123">
        <f t="shared" ref="AF84" si="1285">+AE84+AF83</f>
        <v>430160</v>
      </c>
      <c r="AG84" s="123">
        <f t="shared" ref="AG84" si="1286">+AF84+AG83</f>
        <v>430720</v>
      </c>
      <c r="AH84" s="123">
        <f t="shared" ref="AH84" si="1287">+AG84+AH83</f>
        <v>431800</v>
      </c>
      <c r="AI84" s="123">
        <f t="shared" ref="AI84" si="1288">+AH84+AI83</f>
        <v>432520</v>
      </c>
      <c r="AJ84" s="123">
        <f t="shared" ref="AJ84" si="1289">+AI84+AJ83</f>
        <v>433640</v>
      </c>
      <c r="AK84" s="123">
        <f t="shared" ref="AK84" si="1290">+AJ84+AK83</f>
        <v>434360</v>
      </c>
      <c r="AL84" s="123">
        <f t="shared" ref="AL84" si="1291">+AK84+AL83</f>
        <v>435400</v>
      </c>
      <c r="AM84" s="123">
        <f t="shared" ref="AM84" si="1292">+AL84+AM83</f>
        <v>436440</v>
      </c>
      <c r="AN84" s="123">
        <f t="shared" ref="AN84" si="1293">+AM84+AN83</f>
        <v>437160</v>
      </c>
      <c r="AO84" s="123">
        <f t="shared" ref="AO84" si="1294">+AN84+AO83</f>
        <v>437840</v>
      </c>
      <c r="AP84" s="123">
        <f t="shared" ref="AP84" si="1295">+AG84+AP83</f>
        <v>432160</v>
      </c>
      <c r="AQ84" s="123">
        <f t="shared" ref="AQ84" si="1296">+AP84+AQ83</f>
        <v>432840</v>
      </c>
      <c r="AR84" s="123">
        <f t="shared" ref="AR84" si="1297">+AI84+AR83</f>
        <v>433520</v>
      </c>
      <c r="AS84" s="123">
        <f t="shared" ref="AS84" si="1298">+AR84+AS83</f>
        <v>434200</v>
      </c>
      <c r="AT84" s="123">
        <f t="shared" ref="AT84" si="1299">+AK84+AT83</f>
        <v>435040</v>
      </c>
      <c r="AU84" s="123">
        <f t="shared" ref="AU84" si="1300">+AT84+AU83</f>
        <v>435720</v>
      </c>
      <c r="AV84" s="123">
        <f t="shared" ref="AV84" si="1301">+AM84+AV83</f>
        <v>437400</v>
      </c>
      <c r="AW84" s="123">
        <f t="shared" ref="AW84" si="1302">+AV84+AW83</f>
        <v>438200</v>
      </c>
      <c r="AX84" s="123">
        <f t="shared" ref="AX84" si="1303">+AO84+AX83</f>
        <v>438640</v>
      </c>
      <c r="AY84" s="123">
        <f t="shared" ref="AY84" si="1304">+AX84+AY83</f>
        <v>439840</v>
      </c>
      <c r="AZ84" s="123">
        <v>480360</v>
      </c>
      <c r="BA84" s="123">
        <f t="shared" ref="BA84:BG84" si="1305">+AZ84+BA83</f>
        <v>487360</v>
      </c>
      <c r="BB84" s="123">
        <f t="shared" si="1305"/>
        <v>492680</v>
      </c>
      <c r="BC84" s="123">
        <f t="shared" si="1305"/>
        <v>499960</v>
      </c>
      <c r="BD84" s="123">
        <f t="shared" si="1305"/>
        <v>505280</v>
      </c>
      <c r="BE84" s="123">
        <f t="shared" si="1305"/>
        <v>514200</v>
      </c>
      <c r="BF84" s="123">
        <f t="shared" si="1305"/>
        <v>522640</v>
      </c>
      <c r="BG84" s="123">
        <f t="shared" si="1305"/>
        <v>529680</v>
      </c>
      <c r="BH84" s="121"/>
      <c r="BI84" s="118"/>
      <c r="BK84" s="118"/>
    </row>
    <row r="85" spans="1:63" ht="35.25" customHeight="1" x14ac:dyDescent="0.2">
      <c r="A85" s="128">
        <f>+A83+1</f>
        <v>37</v>
      </c>
      <c r="B85" s="17" t="s">
        <v>227</v>
      </c>
      <c r="C85" s="17" t="s">
        <v>89</v>
      </c>
      <c r="D85" s="17"/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4">
        <v>0</v>
      </c>
      <c r="L85" s="124">
        <v>0</v>
      </c>
      <c r="M85" s="124">
        <v>0</v>
      </c>
      <c r="N85" s="124">
        <v>0</v>
      </c>
      <c r="O85" s="124">
        <v>0</v>
      </c>
      <c r="P85" s="124">
        <v>0</v>
      </c>
      <c r="Q85" s="124">
        <v>0</v>
      </c>
      <c r="R85" s="124">
        <v>0</v>
      </c>
      <c r="S85" s="124">
        <v>0</v>
      </c>
      <c r="T85" s="124">
        <v>0</v>
      </c>
      <c r="U85" s="124">
        <v>0</v>
      </c>
      <c r="V85" s="124">
        <v>0</v>
      </c>
      <c r="W85" s="124">
        <v>0</v>
      </c>
      <c r="X85" s="124">
        <v>0</v>
      </c>
      <c r="Y85" s="124">
        <v>0</v>
      </c>
      <c r="Z85" s="124">
        <v>0</v>
      </c>
      <c r="AA85" s="124">
        <v>0</v>
      </c>
      <c r="AB85" s="124">
        <v>0</v>
      </c>
      <c r="AC85" s="124">
        <v>0</v>
      </c>
      <c r="AD85" s="124">
        <v>20</v>
      </c>
      <c r="AE85" s="124">
        <v>0</v>
      </c>
      <c r="AF85" s="124">
        <v>0</v>
      </c>
      <c r="AG85" s="124">
        <v>0</v>
      </c>
      <c r="AH85" s="124">
        <v>20</v>
      </c>
      <c r="AI85" s="124">
        <v>0</v>
      </c>
      <c r="AJ85" s="124">
        <v>0</v>
      </c>
      <c r="AK85" s="124">
        <v>0</v>
      </c>
      <c r="AL85" s="124">
        <v>0</v>
      </c>
      <c r="AM85" s="124">
        <v>0</v>
      </c>
      <c r="AN85" s="124">
        <v>0</v>
      </c>
      <c r="AO85" s="124">
        <v>0</v>
      </c>
      <c r="AP85" s="124">
        <v>0</v>
      </c>
      <c r="AQ85" s="124">
        <v>0</v>
      </c>
      <c r="AR85" s="124">
        <v>0</v>
      </c>
      <c r="AS85" s="124">
        <v>0</v>
      </c>
      <c r="AT85" s="124">
        <v>0</v>
      </c>
      <c r="AU85" s="124">
        <v>0</v>
      </c>
      <c r="AV85" s="124">
        <v>0</v>
      </c>
      <c r="AW85" s="124">
        <v>0</v>
      </c>
      <c r="AX85" s="124">
        <v>0</v>
      </c>
      <c r="AY85" s="124">
        <v>0</v>
      </c>
      <c r="AZ85" s="124">
        <v>0</v>
      </c>
      <c r="BA85" s="124">
        <f>+SUM(M85:T85)</f>
        <v>0</v>
      </c>
      <c r="BB85" s="124">
        <f>SUM(U85:Z85)</f>
        <v>0</v>
      </c>
      <c r="BC85" s="124">
        <f>SUM(AA85:AI85)</f>
        <v>40</v>
      </c>
      <c r="BD85" s="124">
        <f>SUM(AJ85:AO85)</f>
        <v>0</v>
      </c>
      <c r="BE85" s="124">
        <f>SUM(AP85:AY85)</f>
        <v>0</v>
      </c>
      <c r="BF85" s="124">
        <v>0</v>
      </c>
      <c r="BG85" s="124">
        <v>0</v>
      </c>
      <c r="BH85" s="148" t="s">
        <v>136</v>
      </c>
    </row>
    <row r="86" spans="1:63" ht="35.25" customHeight="1" x14ac:dyDescent="0.2">
      <c r="A86" s="16"/>
      <c r="B86" s="120"/>
      <c r="C86" s="120" t="s">
        <v>48</v>
      </c>
      <c r="D86" s="133">
        <f>E86</f>
        <v>771</v>
      </c>
      <c r="E86" s="123">
        <v>771</v>
      </c>
      <c r="F86" s="123">
        <f>+E86+F85</f>
        <v>771</v>
      </c>
      <c r="G86" s="123">
        <f>+F86+G85</f>
        <v>771</v>
      </c>
      <c r="H86" s="123">
        <f>+G86+H85</f>
        <v>771</v>
      </c>
      <c r="I86" s="123">
        <f>+H86+I85</f>
        <v>771</v>
      </c>
      <c r="J86" s="123">
        <f>+I86+J85</f>
        <v>771</v>
      </c>
      <c r="K86" s="123">
        <f t="shared" ref="K86" si="1306">+J86+K85</f>
        <v>771</v>
      </c>
      <c r="L86" s="123">
        <f t="shared" ref="L86" si="1307">+K86+L85</f>
        <v>771</v>
      </c>
      <c r="M86" s="123">
        <f t="shared" ref="M86" si="1308">+L86+M85</f>
        <v>771</v>
      </c>
      <c r="N86" s="123">
        <f t="shared" ref="N86" si="1309">+M86+N85</f>
        <v>771</v>
      </c>
      <c r="O86" s="123">
        <f t="shared" ref="O86" si="1310">+N86+O85</f>
        <v>771</v>
      </c>
      <c r="P86" s="123">
        <f t="shared" ref="P86" si="1311">+O86+P85</f>
        <v>771</v>
      </c>
      <c r="Q86" s="123">
        <f t="shared" ref="Q86" si="1312">+P86+Q85</f>
        <v>771</v>
      </c>
      <c r="R86" s="123">
        <f t="shared" ref="R86" si="1313">+Q86+R85</f>
        <v>771</v>
      </c>
      <c r="S86" s="123">
        <f>+R86+S85</f>
        <v>771</v>
      </c>
      <c r="T86" s="123">
        <f>+S86+T85</f>
        <v>771</v>
      </c>
      <c r="U86" s="123">
        <f t="shared" ref="U86" si="1314">+T86+U85</f>
        <v>771</v>
      </c>
      <c r="V86" s="123">
        <f t="shared" ref="V86" si="1315">+U86+V85</f>
        <v>771</v>
      </c>
      <c r="W86" s="123">
        <f t="shared" ref="W86" si="1316">+V86+W85</f>
        <v>771</v>
      </c>
      <c r="X86" s="123">
        <f t="shared" ref="X86" si="1317">+W86+X85</f>
        <v>771</v>
      </c>
      <c r="Y86" s="123">
        <f t="shared" ref="Y86" si="1318">+X86+Y85</f>
        <v>771</v>
      </c>
      <c r="Z86" s="123">
        <f t="shared" ref="Z86" si="1319">+Y86+Z85</f>
        <v>771</v>
      </c>
      <c r="AA86" s="123">
        <f t="shared" ref="AA86" si="1320">+Z86+AA85</f>
        <v>771</v>
      </c>
      <c r="AB86" s="123">
        <f>+AA86+AB85</f>
        <v>771</v>
      </c>
      <c r="AC86" s="123">
        <f>+AB86+AC85</f>
        <v>771</v>
      </c>
      <c r="AD86" s="123">
        <f>+AC86+AD85</f>
        <v>791</v>
      </c>
      <c r="AE86" s="123">
        <f>+AD86+AE85</f>
        <v>791</v>
      </c>
      <c r="AF86" s="123">
        <f t="shared" ref="AF86" si="1321">+AE86+AF85</f>
        <v>791</v>
      </c>
      <c r="AG86" s="123">
        <f t="shared" ref="AG86" si="1322">+AF86+AG85</f>
        <v>791</v>
      </c>
      <c r="AH86" s="123">
        <f t="shared" ref="AH86" si="1323">+AG86+AH85</f>
        <v>811</v>
      </c>
      <c r="AI86" s="123">
        <f t="shared" ref="AI86" si="1324">+AH86+AI85</f>
        <v>811</v>
      </c>
      <c r="AJ86" s="123">
        <f t="shared" ref="AJ86" si="1325">+AI86+AJ85</f>
        <v>811</v>
      </c>
      <c r="AK86" s="123">
        <f t="shared" ref="AK86" si="1326">+AJ86+AK85</f>
        <v>811</v>
      </c>
      <c r="AL86" s="123">
        <f t="shared" ref="AL86" si="1327">+AK86+AL85</f>
        <v>811</v>
      </c>
      <c r="AM86" s="123">
        <f t="shared" ref="AM86" si="1328">+AL86+AM85</f>
        <v>811</v>
      </c>
      <c r="AN86" s="123">
        <f t="shared" ref="AN86" si="1329">+AM86+AN85</f>
        <v>811</v>
      </c>
      <c r="AO86" s="123">
        <f t="shared" ref="AO86" si="1330">+AN86+AO85</f>
        <v>811</v>
      </c>
      <c r="AP86" s="123">
        <f t="shared" ref="AP86" si="1331">+AG86+AP85</f>
        <v>791</v>
      </c>
      <c r="AQ86" s="123">
        <f t="shared" ref="AQ86" si="1332">+AP86+AQ85</f>
        <v>791</v>
      </c>
      <c r="AR86" s="123">
        <f t="shared" ref="AR86" si="1333">+AI86+AR85</f>
        <v>811</v>
      </c>
      <c r="AS86" s="123">
        <f t="shared" ref="AS86" si="1334">+AR86+AS85</f>
        <v>811</v>
      </c>
      <c r="AT86" s="123">
        <f t="shared" ref="AT86" si="1335">+AK86+AT85</f>
        <v>811</v>
      </c>
      <c r="AU86" s="123">
        <f t="shared" ref="AU86" si="1336">+AT86+AU85</f>
        <v>811</v>
      </c>
      <c r="AV86" s="123">
        <f t="shared" ref="AV86" si="1337">+AM86+AV85</f>
        <v>811</v>
      </c>
      <c r="AW86" s="123">
        <f t="shared" ref="AW86" si="1338">+AV86+AW85</f>
        <v>811</v>
      </c>
      <c r="AX86" s="123">
        <f t="shared" ref="AX86" si="1339">+AO86+AX85</f>
        <v>811</v>
      </c>
      <c r="AY86" s="123">
        <f t="shared" ref="AY86" si="1340">+AX86+AY85</f>
        <v>811</v>
      </c>
      <c r="AZ86" s="123">
        <v>891</v>
      </c>
      <c r="BA86" s="123">
        <f t="shared" ref="BA86:BG86" si="1341">+AZ86+BA85</f>
        <v>891</v>
      </c>
      <c r="BB86" s="123">
        <f t="shared" si="1341"/>
        <v>891</v>
      </c>
      <c r="BC86" s="123">
        <f t="shared" si="1341"/>
        <v>931</v>
      </c>
      <c r="BD86" s="123">
        <f t="shared" si="1341"/>
        <v>931</v>
      </c>
      <c r="BE86" s="123">
        <f t="shared" si="1341"/>
        <v>931</v>
      </c>
      <c r="BF86" s="123">
        <f t="shared" si="1341"/>
        <v>931</v>
      </c>
      <c r="BG86" s="123">
        <f t="shared" si="1341"/>
        <v>931</v>
      </c>
      <c r="BH86" s="121"/>
      <c r="BI86" s="118"/>
      <c r="BK86" s="118"/>
    </row>
    <row r="87" spans="1:63" ht="35.25" customHeight="1" x14ac:dyDescent="0.2">
      <c r="A87" s="128">
        <f>+A85+1</f>
        <v>38</v>
      </c>
      <c r="B87" s="17" t="s">
        <v>228</v>
      </c>
      <c r="C87" s="17" t="s">
        <v>90</v>
      </c>
      <c r="D87" s="17"/>
      <c r="E87" s="124">
        <v>20</v>
      </c>
      <c r="F87" s="124">
        <v>0</v>
      </c>
      <c r="G87" s="124">
        <v>0</v>
      </c>
      <c r="H87" s="124">
        <v>0</v>
      </c>
      <c r="I87" s="124">
        <v>20</v>
      </c>
      <c r="J87" s="124">
        <v>0</v>
      </c>
      <c r="K87" s="124">
        <v>0</v>
      </c>
      <c r="L87" s="124">
        <v>0</v>
      </c>
      <c r="M87" s="124">
        <v>20</v>
      </c>
      <c r="N87" s="124">
        <v>0</v>
      </c>
      <c r="O87" s="124">
        <v>0</v>
      </c>
      <c r="P87" s="124">
        <v>0</v>
      </c>
      <c r="Q87" s="124">
        <v>0</v>
      </c>
      <c r="R87" s="124">
        <v>0</v>
      </c>
      <c r="S87" s="124">
        <v>0</v>
      </c>
      <c r="T87" s="124">
        <v>0</v>
      </c>
      <c r="U87" s="124">
        <v>0</v>
      </c>
      <c r="V87" s="124">
        <v>20</v>
      </c>
      <c r="W87" s="124">
        <v>0</v>
      </c>
      <c r="X87" s="124">
        <v>0</v>
      </c>
      <c r="Y87" s="124">
        <v>0</v>
      </c>
      <c r="Z87" s="124">
        <v>20</v>
      </c>
      <c r="AA87" s="124">
        <v>0</v>
      </c>
      <c r="AB87" s="124">
        <v>0</v>
      </c>
      <c r="AC87" s="124">
        <v>20</v>
      </c>
      <c r="AD87" s="124">
        <v>20</v>
      </c>
      <c r="AE87" s="124">
        <v>0</v>
      </c>
      <c r="AF87" s="124">
        <v>0</v>
      </c>
      <c r="AG87" s="124">
        <v>0</v>
      </c>
      <c r="AH87" s="124">
        <v>20</v>
      </c>
      <c r="AI87" s="124">
        <v>0</v>
      </c>
      <c r="AJ87" s="124">
        <v>0</v>
      </c>
      <c r="AK87" s="124">
        <v>0</v>
      </c>
      <c r="AL87" s="124">
        <v>0</v>
      </c>
      <c r="AM87" s="124">
        <v>20</v>
      </c>
      <c r="AN87" s="124">
        <v>0</v>
      </c>
      <c r="AO87" s="124">
        <v>0</v>
      </c>
      <c r="AP87" s="124">
        <v>0</v>
      </c>
      <c r="AQ87" s="124">
        <v>0</v>
      </c>
      <c r="AR87" s="124">
        <v>0</v>
      </c>
      <c r="AS87" s="124">
        <v>0</v>
      </c>
      <c r="AT87" s="124">
        <v>0</v>
      </c>
      <c r="AU87" s="124">
        <v>0</v>
      </c>
      <c r="AV87" s="124">
        <v>0</v>
      </c>
      <c r="AW87" s="124">
        <v>0</v>
      </c>
      <c r="AX87" s="124">
        <v>0</v>
      </c>
      <c r="AY87" s="124">
        <v>0</v>
      </c>
      <c r="AZ87" s="124">
        <v>40</v>
      </c>
      <c r="BA87" s="124">
        <f>+SUM(M87:T87)</f>
        <v>20</v>
      </c>
      <c r="BB87" s="124">
        <f>SUM(U87:Z87)</f>
        <v>40</v>
      </c>
      <c r="BC87" s="124">
        <f>SUM(AA87:AI87)</f>
        <v>60</v>
      </c>
      <c r="BD87" s="124">
        <f>SUM(AJ87:AO87)</f>
        <v>20</v>
      </c>
      <c r="BE87" s="124">
        <f>SUM(AP87:AY87)</f>
        <v>0</v>
      </c>
      <c r="BF87" s="124">
        <v>0</v>
      </c>
      <c r="BG87" s="124">
        <v>0</v>
      </c>
      <c r="BH87" s="148" t="s">
        <v>136</v>
      </c>
    </row>
    <row r="88" spans="1:63" ht="35.25" customHeight="1" x14ac:dyDescent="0.2">
      <c r="A88" s="16"/>
      <c r="B88" s="120"/>
      <c r="C88" s="120" t="s">
        <v>48</v>
      </c>
      <c r="D88" s="133">
        <f>E88</f>
        <v>1397</v>
      </c>
      <c r="E88" s="123">
        <v>1397</v>
      </c>
      <c r="F88" s="123">
        <f>+E88+F87</f>
        <v>1397</v>
      </c>
      <c r="G88" s="123">
        <f>+F88+G87</f>
        <v>1397</v>
      </c>
      <c r="H88" s="123">
        <f>+G88+H87</f>
        <v>1397</v>
      </c>
      <c r="I88" s="123">
        <f>+H88+I87</f>
        <v>1417</v>
      </c>
      <c r="J88" s="123">
        <f>+I88+J87</f>
        <v>1417</v>
      </c>
      <c r="K88" s="123">
        <f t="shared" ref="K88" si="1342">+J88+K87</f>
        <v>1417</v>
      </c>
      <c r="L88" s="123">
        <f t="shared" ref="L88" si="1343">+K88+L87</f>
        <v>1417</v>
      </c>
      <c r="M88" s="123">
        <f t="shared" ref="M88" si="1344">+L88+M87</f>
        <v>1437</v>
      </c>
      <c r="N88" s="123">
        <f t="shared" ref="N88" si="1345">+M88+N87</f>
        <v>1437</v>
      </c>
      <c r="O88" s="123">
        <f t="shared" ref="O88" si="1346">+N88+O87</f>
        <v>1437</v>
      </c>
      <c r="P88" s="123">
        <f t="shared" ref="P88" si="1347">+O88+P87</f>
        <v>1437</v>
      </c>
      <c r="Q88" s="123">
        <f t="shared" ref="Q88" si="1348">+P88+Q87</f>
        <v>1437</v>
      </c>
      <c r="R88" s="123">
        <f t="shared" ref="R88" si="1349">+Q88+R87</f>
        <v>1437</v>
      </c>
      <c r="S88" s="123">
        <f>+R88+S87</f>
        <v>1437</v>
      </c>
      <c r="T88" s="123">
        <f>+S88+T87</f>
        <v>1437</v>
      </c>
      <c r="U88" s="123">
        <f t="shared" ref="U88" si="1350">+T88+U87</f>
        <v>1437</v>
      </c>
      <c r="V88" s="123">
        <f t="shared" ref="V88" si="1351">+U88+V87</f>
        <v>1457</v>
      </c>
      <c r="W88" s="123">
        <f t="shared" ref="W88" si="1352">+V88+W87</f>
        <v>1457</v>
      </c>
      <c r="X88" s="123">
        <f t="shared" ref="X88" si="1353">+W88+X87</f>
        <v>1457</v>
      </c>
      <c r="Y88" s="123">
        <f t="shared" ref="Y88" si="1354">+X88+Y87</f>
        <v>1457</v>
      </c>
      <c r="Z88" s="123">
        <f t="shared" ref="Z88" si="1355">+Y88+Z87</f>
        <v>1477</v>
      </c>
      <c r="AA88" s="123">
        <f t="shared" ref="AA88" si="1356">+Z88+AA87</f>
        <v>1477</v>
      </c>
      <c r="AB88" s="123">
        <f>+AA88+AB87</f>
        <v>1477</v>
      </c>
      <c r="AC88" s="123">
        <f>+AB88+AC87</f>
        <v>1497</v>
      </c>
      <c r="AD88" s="123">
        <f>+AC88+AD87</f>
        <v>1517</v>
      </c>
      <c r="AE88" s="123">
        <f>+AD88+AE87</f>
        <v>1517</v>
      </c>
      <c r="AF88" s="123">
        <f t="shared" ref="AF88" si="1357">+AE88+AF87</f>
        <v>1517</v>
      </c>
      <c r="AG88" s="123">
        <f t="shared" ref="AG88" si="1358">+AF88+AG87</f>
        <v>1517</v>
      </c>
      <c r="AH88" s="123">
        <f t="shared" ref="AH88" si="1359">+AG88+AH87</f>
        <v>1537</v>
      </c>
      <c r="AI88" s="123">
        <f t="shared" ref="AI88" si="1360">+AH88+AI87</f>
        <v>1537</v>
      </c>
      <c r="AJ88" s="123">
        <f t="shared" ref="AJ88" si="1361">+AI88+AJ87</f>
        <v>1537</v>
      </c>
      <c r="AK88" s="123">
        <f t="shared" ref="AK88" si="1362">+AJ88+AK87</f>
        <v>1537</v>
      </c>
      <c r="AL88" s="123">
        <f t="shared" ref="AL88" si="1363">+AK88+AL87</f>
        <v>1537</v>
      </c>
      <c r="AM88" s="123">
        <f t="shared" ref="AM88" si="1364">+AL88+AM87</f>
        <v>1557</v>
      </c>
      <c r="AN88" s="123">
        <f t="shared" ref="AN88" si="1365">+AM88+AN87</f>
        <v>1557</v>
      </c>
      <c r="AO88" s="123">
        <f t="shared" ref="AO88" si="1366">+AN88+AO87</f>
        <v>1557</v>
      </c>
      <c r="AP88" s="123">
        <f t="shared" ref="AP88" si="1367">+AG88+AP87</f>
        <v>1517</v>
      </c>
      <c r="AQ88" s="123">
        <f t="shared" ref="AQ88" si="1368">+AP88+AQ87</f>
        <v>1517</v>
      </c>
      <c r="AR88" s="123">
        <f t="shared" ref="AR88" si="1369">+AI88+AR87</f>
        <v>1537</v>
      </c>
      <c r="AS88" s="123">
        <f t="shared" ref="AS88" si="1370">+AR88+AS87</f>
        <v>1537</v>
      </c>
      <c r="AT88" s="123">
        <f t="shared" ref="AT88" si="1371">+AK88+AT87</f>
        <v>1537</v>
      </c>
      <c r="AU88" s="123">
        <f t="shared" ref="AU88" si="1372">+AT88+AU87</f>
        <v>1537</v>
      </c>
      <c r="AV88" s="123">
        <f t="shared" ref="AV88" si="1373">+AM88+AV87</f>
        <v>1557</v>
      </c>
      <c r="AW88" s="123">
        <f t="shared" ref="AW88" si="1374">+AV88+AW87</f>
        <v>1557</v>
      </c>
      <c r="AX88" s="123">
        <f t="shared" ref="AX88" si="1375">+AO88+AX87</f>
        <v>1557</v>
      </c>
      <c r="AY88" s="123">
        <f t="shared" ref="AY88" si="1376">+AX88+AY87</f>
        <v>1557</v>
      </c>
      <c r="AZ88" s="123">
        <v>1797</v>
      </c>
      <c r="BA88" s="123">
        <f t="shared" ref="BA88:BG88" si="1377">+AZ88+BA87</f>
        <v>1817</v>
      </c>
      <c r="BB88" s="123">
        <f t="shared" si="1377"/>
        <v>1857</v>
      </c>
      <c r="BC88" s="123">
        <f t="shared" si="1377"/>
        <v>1917</v>
      </c>
      <c r="BD88" s="123">
        <f t="shared" si="1377"/>
        <v>1937</v>
      </c>
      <c r="BE88" s="123">
        <f t="shared" si="1377"/>
        <v>1937</v>
      </c>
      <c r="BF88" s="123">
        <f t="shared" si="1377"/>
        <v>1937</v>
      </c>
      <c r="BG88" s="123">
        <f t="shared" si="1377"/>
        <v>1937</v>
      </c>
      <c r="BH88" s="121"/>
      <c r="BI88" s="118"/>
      <c r="BK88" s="118"/>
    </row>
    <row r="89" spans="1:63" ht="35.25" customHeight="1" x14ac:dyDescent="0.2">
      <c r="A89" s="128">
        <f>+A87+1</f>
        <v>39</v>
      </c>
      <c r="B89" s="17" t="s">
        <v>91</v>
      </c>
      <c r="C89" s="17" t="s">
        <v>91</v>
      </c>
      <c r="D89" s="17"/>
      <c r="E89" s="168">
        <v>40</v>
      </c>
      <c r="F89" s="124">
        <v>60</v>
      </c>
      <c r="G89" s="124">
        <v>300</v>
      </c>
      <c r="H89" s="124">
        <v>160</v>
      </c>
      <c r="I89" s="124">
        <v>280</v>
      </c>
      <c r="J89" s="124">
        <v>260</v>
      </c>
      <c r="K89" s="124">
        <v>340</v>
      </c>
      <c r="L89" s="124">
        <v>240</v>
      </c>
      <c r="M89" s="124">
        <v>300</v>
      </c>
      <c r="N89" s="124">
        <v>260</v>
      </c>
      <c r="O89" s="124">
        <v>260</v>
      </c>
      <c r="P89" s="124">
        <v>280</v>
      </c>
      <c r="Q89" s="124">
        <v>220</v>
      </c>
      <c r="R89" s="124">
        <v>220</v>
      </c>
      <c r="S89" s="124">
        <v>0</v>
      </c>
      <c r="T89" s="124">
        <v>200</v>
      </c>
      <c r="U89" s="185">
        <f>120+220</f>
        <v>340</v>
      </c>
      <c r="V89" s="124">
        <v>180</v>
      </c>
      <c r="W89" s="124">
        <v>200</v>
      </c>
      <c r="X89" s="124">
        <v>240</v>
      </c>
      <c r="Y89" s="168">
        <f>600+140</f>
        <v>740</v>
      </c>
      <c r="Z89" s="124">
        <v>360</v>
      </c>
      <c r="AA89" s="124">
        <v>420</v>
      </c>
      <c r="AB89" s="124">
        <v>60</v>
      </c>
      <c r="AC89" s="124">
        <v>160</v>
      </c>
      <c r="AD89" s="124">
        <v>220</v>
      </c>
      <c r="AE89" s="124">
        <v>140</v>
      </c>
      <c r="AF89" s="124">
        <v>240</v>
      </c>
      <c r="AG89" s="124">
        <v>140</v>
      </c>
      <c r="AH89" s="124">
        <v>280</v>
      </c>
      <c r="AI89" s="124">
        <v>200</v>
      </c>
      <c r="AJ89" s="124">
        <v>280</v>
      </c>
      <c r="AK89" s="124">
        <v>200</v>
      </c>
      <c r="AL89" s="124">
        <v>260</v>
      </c>
      <c r="AM89" s="124">
        <v>280</v>
      </c>
      <c r="AN89" s="124">
        <v>180</v>
      </c>
      <c r="AO89" s="124">
        <v>200</v>
      </c>
      <c r="AP89" s="124">
        <v>400</v>
      </c>
      <c r="AQ89" s="124">
        <v>200</v>
      </c>
      <c r="AR89" s="124">
        <v>300</v>
      </c>
      <c r="AS89" s="124">
        <v>200</v>
      </c>
      <c r="AT89" s="124">
        <v>180</v>
      </c>
      <c r="AU89" s="124">
        <v>200</v>
      </c>
      <c r="AV89" s="124">
        <v>300</v>
      </c>
      <c r="AW89" s="124">
        <v>140</v>
      </c>
      <c r="AX89" s="124">
        <v>160</v>
      </c>
      <c r="AY89" s="124">
        <v>220</v>
      </c>
      <c r="AZ89" s="124">
        <v>1680</v>
      </c>
      <c r="BA89" s="124">
        <f>+SUM(M89:T89)</f>
        <v>1740</v>
      </c>
      <c r="BB89" s="124">
        <f>SUM(U89:Z89)</f>
        <v>2060</v>
      </c>
      <c r="BC89" s="124">
        <f>SUM(AA89:AI89)</f>
        <v>1860</v>
      </c>
      <c r="BD89" s="124">
        <f>SUM(AJ89:AO89)</f>
        <v>1400</v>
      </c>
      <c r="BE89" s="124">
        <f>SUM(AP89:AY89)</f>
        <v>2300</v>
      </c>
      <c r="BF89" s="124">
        <v>1560</v>
      </c>
      <c r="BG89" s="124">
        <v>1280</v>
      </c>
      <c r="BH89" s="116" t="s">
        <v>97</v>
      </c>
    </row>
    <row r="90" spans="1:63" ht="35.25" customHeight="1" x14ac:dyDescent="0.2">
      <c r="A90" s="16"/>
      <c r="B90" s="120"/>
      <c r="C90" s="120" t="s">
        <v>48</v>
      </c>
      <c r="D90" s="133">
        <f>E90</f>
        <v>23960</v>
      </c>
      <c r="E90" s="123">
        <v>23960</v>
      </c>
      <c r="F90" s="123">
        <f>+E90+F89</f>
        <v>24020</v>
      </c>
      <c r="G90" s="123">
        <f>+F90+G89</f>
        <v>24320</v>
      </c>
      <c r="H90" s="123">
        <f>+G90+H89</f>
        <v>24480</v>
      </c>
      <c r="I90" s="123">
        <f>+H90+I89</f>
        <v>24760</v>
      </c>
      <c r="J90" s="123">
        <f>+I90+J89</f>
        <v>25020</v>
      </c>
      <c r="K90" s="123">
        <f t="shared" ref="K90" si="1378">+J90+K89</f>
        <v>25360</v>
      </c>
      <c r="L90" s="123">
        <f t="shared" ref="L90" si="1379">+K90+L89</f>
        <v>25600</v>
      </c>
      <c r="M90" s="123">
        <f t="shared" ref="M90" si="1380">+L90+M89</f>
        <v>25900</v>
      </c>
      <c r="N90" s="123">
        <f t="shared" ref="N90" si="1381">+M90+N89</f>
        <v>26160</v>
      </c>
      <c r="O90" s="123">
        <f t="shared" ref="O90" si="1382">+N90+O89</f>
        <v>26420</v>
      </c>
      <c r="P90" s="123">
        <f t="shared" ref="P90" si="1383">+O90+P89</f>
        <v>26700</v>
      </c>
      <c r="Q90" s="123">
        <f t="shared" ref="Q90" si="1384">+P90+Q89</f>
        <v>26920</v>
      </c>
      <c r="R90" s="123">
        <f t="shared" ref="R90" si="1385">+Q90+R89</f>
        <v>27140</v>
      </c>
      <c r="S90" s="123">
        <f>+R90+S89</f>
        <v>27140</v>
      </c>
      <c r="T90" s="123">
        <f>+S90+T89</f>
        <v>27340</v>
      </c>
      <c r="U90" s="123">
        <f t="shared" ref="U90" si="1386">+T90+U89</f>
        <v>27680</v>
      </c>
      <c r="V90" s="123">
        <f t="shared" ref="V90" si="1387">+U90+V89</f>
        <v>27860</v>
      </c>
      <c r="W90" s="123">
        <f t="shared" ref="W90" si="1388">+V90+W89</f>
        <v>28060</v>
      </c>
      <c r="X90" s="123">
        <f t="shared" ref="X90" si="1389">+W90+X89</f>
        <v>28300</v>
      </c>
      <c r="Y90" s="123">
        <f t="shared" ref="Y90" si="1390">+X90+Y89</f>
        <v>29040</v>
      </c>
      <c r="Z90" s="123">
        <f t="shared" ref="Z90" si="1391">+Y90+Z89</f>
        <v>29400</v>
      </c>
      <c r="AA90" s="123">
        <f t="shared" ref="AA90" si="1392">+Z90+AA89</f>
        <v>29820</v>
      </c>
      <c r="AB90" s="123">
        <f>+AA90+AB89</f>
        <v>29880</v>
      </c>
      <c r="AC90" s="123">
        <f>+AB90+AC89</f>
        <v>30040</v>
      </c>
      <c r="AD90" s="123">
        <f>+AC90+AD89</f>
        <v>30260</v>
      </c>
      <c r="AE90" s="123">
        <f>+AD90+AE89</f>
        <v>30400</v>
      </c>
      <c r="AF90" s="123">
        <f t="shared" ref="AF90" si="1393">+AE90+AF89</f>
        <v>30640</v>
      </c>
      <c r="AG90" s="123">
        <f t="shared" ref="AG90" si="1394">+AF90+AG89</f>
        <v>30780</v>
      </c>
      <c r="AH90" s="123">
        <f t="shared" ref="AH90" si="1395">+AG90+AH89</f>
        <v>31060</v>
      </c>
      <c r="AI90" s="123">
        <f t="shared" ref="AI90" si="1396">+AH90+AI89</f>
        <v>31260</v>
      </c>
      <c r="AJ90" s="123">
        <f t="shared" ref="AJ90" si="1397">+AI90+AJ89</f>
        <v>31540</v>
      </c>
      <c r="AK90" s="123">
        <f t="shared" ref="AK90" si="1398">+AJ90+AK89</f>
        <v>31740</v>
      </c>
      <c r="AL90" s="123">
        <f t="shared" ref="AL90" si="1399">+AK90+AL89</f>
        <v>32000</v>
      </c>
      <c r="AM90" s="123">
        <f t="shared" ref="AM90" si="1400">+AL90+AM89</f>
        <v>32280</v>
      </c>
      <c r="AN90" s="123">
        <f t="shared" ref="AN90" si="1401">+AM90+AN89</f>
        <v>32460</v>
      </c>
      <c r="AO90" s="123">
        <f t="shared" ref="AO90" si="1402">+AN90+AO89</f>
        <v>32660</v>
      </c>
      <c r="AP90" s="123">
        <f t="shared" ref="AP90" si="1403">+AG90+AP89</f>
        <v>31180</v>
      </c>
      <c r="AQ90" s="123">
        <f t="shared" ref="AQ90" si="1404">+AP90+AQ89</f>
        <v>31380</v>
      </c>
      <c r="AR90" s="123">
        <f t="shared" ref="AR90" si="1405">+AI90+AR89</f>
        <v>31560</v>
      </c>
      <c r="AS90" s="123">
        <f t="shared" ref="AS90" si="1406">+AR90+AS89</f>
        <v>31760</v>
      </c>
      <c r="AT90" s="123">
        <f t="shared" ref="AT90" si="1407">+AK90+AT89</f>
        <v>31920</v>
      </c>
      <c r="AU90" s="123">
        <f t="shared" ref="AU90" si="1408">+AT90+AU89</f>
        <v>32120</v>
      </c>
      <c r="AV90" s="123">
        <f t="shared" ref="AV90" si="1409">+AM90+AV89</f>
        <v>32580</v>
      </c>
      <c r="AW90" s="123">
        <f t="shared" ref="AW90" si="1410">+AV90+AW89</f>
        <v>32720</v>
      </c>
      <c r="AX90" s="123">
        <f t="shared" ref="AX90" si="1411">+AO90+AX89</f>
        <v>32820</v>
      </c>
      <c r="AY90" s="123">
        <f t="shared" ref="AY90" si="1412">+AX90+AY89</f>
        <v>33040</v>
      </c>
      <c r="AZ90" s="123">
        <v>44400</v>
      </c>
      <c r="BA90" s="123">
        <f t="shared" ref="BA90:BG90" si="1413">+AZ90+BA89</f>
        <v>46140</v>
      </c>
      <c r="BB90" s="123">
        <f t="shared" si="1413"/>
        <v>48200</v>
      </c>
      <c r="BC90" s="123">
        <f t="shared" si="1413"/>
        <v>50060</v>
      </c>
      <c r="BD90" s="123">
        <f t="shared" si="1413"/>
        <v>51460</v>
      </c>
      <c r="BE90" s="123">
        <f t="shared" si="1413"/>
        <v>53760</v>
      </c>
      <c r="BF90" s="123">
        <f t="shared" si="1413"/>
        <v>55320</v>
      </c>
      <c r="BG90" s="123">
        <f t="shared" si="1413"/>
        <v>56600</v>
      </c>
      <c r="BH90" s="121"/>
      <c r="BI90" s="118"/>
      <c r="BK90" s="118"/>
    </row>
    <row r="91" spans="1:63" ht="35.25" customHeight="1" x14ac:dyDescent="0.2">
      <c r="A91" s="128">
        <f>+A89+1</f>
        <v>40</v>
      </c>
      <c r="B91" s="17" t="s">
        <v>92</v>
      </c>
      <c r="C91" s="17" t="s">
        <v>92</v>
      </c>
      <c r="D91" s="17"/>
      <c r="E91" s="168">
        <v>80</v>
      </c>
      <c r="F91" s="124">
        <v>0</v>
      </c>
      <c r="G91" s="124">
        <v>800</v>
      </c>
      <c r="H91" s="124">
        <v>560</v>
      </c>
      <c r="I91" s="124">
        <v>760</v>
      </c>
      <c r="J91" s="124">
        <v>680</v>
      </c>
      <c r="K91" s="124">
        <v>760</v>
      </c>
      <c r="L91" s="124">
        <v>640</v>
      </c>
      <c r="M91" s="124">
        <v>800</v>
      </c>
      <c r="N91" s="124">
        <v>720</v>
      </c>
      <c r="O91" s="124">
        <v>600</v>
      </c>
      <c r="P91" s="124">
        <v>640</v>
      </c>
      <c r="Q91" s="124">
        <v>600</v>
      </c>
      <c r="R91" s="124">
        <v>560</v>
      </c>
      <c r="S91" s="124">
        <v>360</v>
      </c>
      <c r="T91" s="124">
        <v>920</v>
      </c>
      <c r="U91" s="124">
        <v>720</v>
      </c>
      <c r="V91" s="124">
        <v>720</v>
      </c>
      <c r="W91" s="124">
        <v>720</v>
      </c>
      <c r="X91" s="124">
        <v>760</v>
      </c>
      <c r="Y91" s="124">
        <v>880</v>
      </c>
      <c r="Z91" s="124">
        <v>720</v>
      </c>
      <c r="AA91" s="124">
        <v>400</v>
      </c>
      <c r="AB91" s="124">
        <v>320</v>
      </c>
      <c r="AC91" s="124">
        <v>440</v>
      </c>
      <c r="AD91" s="124">
        <v>600</v>
      </c>
      <c r="AE91" s="124">
        <v>440</v>
      </c>
      <c r="AF91" s="124">
        <v>600</v>
      </c>
      <c r="AG91" s="124">
        <v>360</v>
      </c>
      <c r="AH91" s="124">
        <v>760</v>
      </c>
      <c r="AI91" s="124">
        <v>520</v>
      </c>
      <c r="AJ91" s="124">
        <v>760</v>
      </c>
      <c r="AK91" s="124">
        <v>480</v>
      </c>
      <c r="AL91" s="124">
        <v>720</v>
      </c>
      <c r="AM91" s="124">
        <v>720</v>
      </c>
      <c r="AN91" s="124">
        <v>480</v>
      </c>
      <c r="AO91" s="124">
        <v>520</v>
      </c>
      <c r="AP91" s="124">
        <v>1000</v>
      </c>
      <c r="AQ91" s="124">
        <v>480</v>
      </c>
      <c r="AR91" s="124">
        <v>720</v>
      </c>
      <c r="AS91" s="124">
        <v>520</v>
      </c>
      <c r="AT91" s="124">
        <v>480</v>
      </c>
      <c r="AU91" s="124">
        <v>480</v>
      </c>
      <c r="AV91" s="124">
        <v>720</v>
      </c>
      <c r="AW91" s="124">
        <v>360</v>
      </c>
      <c r="AX91" s="124">
        <v>400</v>
      </c>
      <c r="AY91" s="124">
        <v>600</v>
      </c>
      <c r="AZ91" s="124">
        <v>4280</v>
      </c>
      <c r="BA91" s="124">
        <f>+SUM(M91:T91)</f>
        <v>5200</v>
      </c>
      <c r="BB91" s="124">
        <f>SUM(U91:Z91)</f>
        <v>4520</v>
      </c>
      <c r="BC91" s="124">
        <f>SUM(AA91:AI91)</f>
        <v>4440</v>
      </c>
      <c r="BD91" s="124">
        <f>SUM(AJ91:AO91)</f>
        <v>3680</v>
      </c>
      <c r="BE91" s="124">
        <f>SUM(AP91:AY91)</f>
        <v>5760</v>
      </c>
      <c r="BF91" s="124">
        <v>3960</v>
      </c>
      <c r="BG91" s="124">
        <v>3200</v>
      </c>
      <c r="BH91" s="116" t="s">
        <v>97</v>
      </c>
    </row>
    <row r="92" spans="1:63" ht="35.25" customHeight="1" x14ac:dyDescent="0.2">
      <c r="A92" s="16"/>
      <c r="B92" s="120"/>
      <c r="C92" s="120" t="s">
        <v>48</v>
      </c>
      <c r="D92" s="133">
        <f>E92</f>
        <v>68250</v>
      </c>
      <c r="E92" s="123">
        <v>68250</v>
      </c>
      <c r="F92" s="123">
        <f>+E92+F91</f>
        <v>68250</v>
      </c>
      <c r="G92" s="123">
        <f>+F92+G91</f>
        <v>69050</v>
      </c>
      <c r="H92" s="123">
        <f>+G92+H91</f>
        <v>69610</v>
      </c>
      <c r="I92" s="123">
        <f>+H92+I91</f>
        <v>70370</v>
      </c>
      <c r="J92" s="123">
        <f>+I92+J91</f>
        <v>71050</v>
      </c>
      <c r="K92" s="123">
        <f t="shared" ref="K92" si="1414">+J92+K91</f>
        <v>71810</v>
      </c>
      <c r="L92" s="123">
        <f t="shared" ref="L92" si="1415">+K92+L91</f>
        <v>72450</v>
      </c>
      <c r="M92" s="123">
        <f t="shared" ref="M92" si="1416">+L92+M91</f>
        <v>73250</v>
      </c>
      <c r="N92" s="123">
        <f t="shared" ref="N92" si="1417">+M92+N91</f>
        <v>73970</v>
      </c>
      <c r="O92" s="123">
        <f t="shared" ref="O92" si="1418">+N92+O91</f>
        <v>74570</v>
      </c>
      <c r="P92" s="123">
        <f t="shared" ref="P92" si="1419">+O92+P91</f>
        <v>75210</v>
      </c>
      <c r="Q92" s="123">
        <f t="shared" ref="Q92" si="1420">+P92+Q91</f>
        <v>75810</v>
      </c>
      <c r="R92" s="123">
        <f t="shared" ref="R92" si="1421">+Q92+R91</f>
        <v>76370</v>
      </c>
      <c r="S92" s="123">
        <f>+R92+S91</f>
        <v>76730</v>
      </c>
      <c r="T92" s="123">
        <f>+S92+T91</f>
        <v>77650</v>
      </c>
      <c r="U92" s="123">
        <f t="shared" ref="U92" si="1422">+T92+U91</f>
        <v>78370</v>
      </c>
      <c r="V92" s="123">
        <f t="shared" ref="V92" si="1423">+U92+V91</f>
        <v>79090</v>
      </c>
      <c r="W92" s="123">
        <f t="shared" ref="W92" si="1424">+V92+W91</f>
        <v>79810</v>
      </c>
      <c r="X92" s="123">
        <f t="shared" ref="X92" si="1425">+W92+X91</f>
        <v>80570</v>
      </c>
      <c r="Y92" s="123">
        <f t="shared" ref="Y92" si="1426">+X92+Y91</f>
        <v>81450</v>
      </c>
      <c r="Z92" s="123">
        <f t="shared" ref="Z92" si="1427">+Y92+Z91</f>
        <v>82170</v>
      </c>
      <c r="AA92" s="123">
        <f t="shared" ref="AA92" si="1428">+Z92+AA91</f>
        <v>82570</v>
      </c>
      <c r="AB92" s="123">
        <f>+AA92+AB91</f>
        <v>82890</v>
      </c>
      <c r="AC92" s="123">
        <f>+AB92+AC91</f>
        <v>83330</v>
      </c>
      <c r="AD92" s="123">
        <f>+AC92+AD91</f>
        <v>83930</v>
      </c>
      <c r="AE92" s="123">
        <f>+AD92+AE91</f>
        <v>84370</v>
      </c>
      <c r="AF92" s="123">
        <f t="shared" ref="AF92" si="1429">+AE92+AF91</f>
        <v>84970</v>
      </c>
      <c r="AG92" s="123">
        <f t="shared" ref="AG92" si="1430">+AF92+AG91</f>
        <v>85330</v>
      </c>
      <c r="AH92" s="123">
        <f t="shared" ref="AH92" si="1431">+AG92+AH91</f>
        <v>86090</v>
      </c>
      <c r="AI92" s="123">
        <f t="shared" ref="AI92" si="1432">+AH92+AI91</f>
        <v>86610</v>
      </c>
      <c r="AJ92" s="123">
        <f t="shared" ref="AJ92" si="1433">+AI92+AJ91</f>
        <v>87370</v>
      </c>
      <c r="AK92" s="123">
        <f t="shared" ref="AK92" si="1434">+AJ92+AK91</f>
        <v>87850</v>
      </c>
      <c r="AL92" s="123">
        <f t="shared" ref="AL92" si="1435">+AK92+AL91</f>
        <v>88570</v>
      </c>
      <c r="AM92" s="123">
        <f t="shared" ref="AM92" si="1436">+AL92+AM91</f>
        <v>89290</v>
      </c>
      <c r="AN92" s="123">
        <f t="shared" ref="AN92" si="1437">+AM92+AN91</f>
        <v>89770</v>
      </c>
      <c r="AO92" s="123">
        <f t="shared" ref="AO92" si="1438">+AN92+AO91</f>
        <v>90290</v>
      </c>
      <c r="AP92" s="123">
        <f t="shared" ref="AP92" si="1439">+AG92+AP91</f>
        <v>86330</v>
      </c>
      <c r="AQ92" s="123">
        <f t="shared" ref="AQ92" si="1440">+AP92+AQ91</f>
        <v>86810</v>
      </c>
      <c r="AR92" s="123">
        <f t="shared" ref="AR92" si="1441">+AI92+AR91</f>
        <v>87330</v>
      </c>
      <c r="AS92" s="123">
        <f t="shared" ref="AS92" si="1442">+AR92+AS91</f>
        <v>87850</v>
      </c>
      <c r="AT92" s="123">
        <f t="shared" ref="AT92" si="1443">+AK92+AT91</f>
        <v>88330</v>
      </c>
      <c r="AU92" s="123">
        <f t="shared" ref="AU92" si="1444">+AT92+AU91</f>
        <v>88810</v>
      </c>
      <c r="AV92" s="123">
        <f t="shared" ref="AV92" si="1445">+AM92+AV91</f>
        <v>90010</v>
      </c>
      <c r="AW92" s="123">
        <f t="shared" ref="AW92" si="1446">+AV92+AW91</f>
        <v>90370</v>
      </c>
      <c r="AX92" s="123">
        <f t="shared" ref="AX92" si="1447">+AO92+AX91</f>
        <v>90690</v>
      </c>
      <c r="AY92" s="123">
        <f t="shared" ref="AY92" si="1448">+AX92+AY91</f>
        <v>91290</v>
      </c>
      <c r="AZ92" s="123">
        <v>123450</v>
      </c>
      <c r="BA92" s="123">
        <f t="shared" ref="BA92:BG92" si="1449">+AZ92+BA91</f>
        <v>128650</v>
      </c>
      <c r="BB92" s="123">
        <f t="shared" si="1449"/>
        <v>133170</v>
      </c>
      <c r="BC92" s="123">
        <f t="shared" si="1449"/>
        <v>137610</v>
      </c>
      <c r="BD92" s="123">
        <f t="shared" si="1449"/>
        <v>141290</v>
      </c>
      <c r="BE92" s="123">
        <f t="shared" si="1449"/>
        <v>147050</v>
      </c>
      <c r="BF92" s="123">
        <f t="shared" si="1449"/>
        <v>151010</v>
      </c>
      <c r="BG92" s="123">
        <f t="shared" si="1449"/>
        <v>154210</v>
      </c>
      <c r="BH92" s="121"/>
      <c r="BI92" s="118"/>
      <c r="BK92" s="118"/>
    </row>
    <row r="93" spans="1:63" ht="35.25" customHeight="1" x14ac:dyDescent="0.2">
      <c r="A93" s="128">
        <f>+A91+1</f>
        <v>41</v>
      </c>
      <c r="B93" s="17" t="s">
        <v>93</v>
      </c>
      <c r="C93" s="17" t="s">
        <v>93</v>
      </c>
      <c r="D93" s="17"/>
      <c r="E93" s="124">
        <v>400</v>
      </c>
      <c r="F93" s="124">
        <v>280</v>
      </c>
      <c r="G93" s="124">
        <v>0</v>
      </c>
      <c r="H93" s="124">
        <v>0</v>
      </c>
      <c r="I93" s="124">
        <v>0</v>
      </c>
      <c r="J93" s="124">
        <v>200</v>
      </c>
      <c r="K93" s="124">
        <v>240</v>
      </c>
      <c r="L93" s="124">
        <v>280</v>
      </c>
      <c r="M93" s="124">
        <v>280</v>
      </c>
      <c r="N93" s="124">
        <v>320</v>
      </c>
      <c r="O93" s="124">
        <v>320</v>
      </c>
      <c r="P93" s="124">
        <v>320</v>
      </c>
      <c r="Q93" s="124">
        <v>360</v>
      </c>
      <c r="R93" s="124">
        <v>280</v>
      </c>
      <c r="S93" s="124">
        <v>280</v>
      </c>
      <c r="T93" s="124">
        <v>440</v>
      </c>
      <c r="U93" s="124">
        <v>440</v>
      </c>
      <c r="V93" s="124">
        <v>360</v>
      </c>
      <c r="W93" s="124">
        <v>320</v>
      </c>
      <c r="X93" s="124">
        <v>360</v>
      </c>
      <c r="Y93" s="124">
        <v>400</v>
      </c>
      <c r="Z93" s="124">
        <v>280</v>
      </c>
      <c r="AA93" s="124">
        <v>0</v>
      </c>
      <c r="AB93" s="124">
        <v>0</v>
      </c>
      <c r="AC93" s="124">
        <v>120</v>
      </c>
      <c r="AD93" s="124">
        <v>240</v>
      </c>
      <c r="AE93" s="124">
        <v>200</v>
      </c>
      <c r="AF93" s="124">
        <v>280</v>
      </c>
      <c r="AG93" s="124">
        <v>200</v>
      </c>
      <c r="AH93" s="124">
        <v>360</v>
      </c>
      <c r="AI93" s="124">
        <v>240</v>
      </c>
      <c r="AJ93" s="124">
        <v>320</v>
      </c>
      <c r="AK93" s="124">
        <v>240</v>
      </c>
      <c r="AL93" s="124">
        <v>360</v>
      </c>
      <c r="AM93" s="124">
        <v>320</v>
      </c>
      <c r="AN93" s="124">
        <v>240</v>
      </c>
      <c r="AO93" s="124">
        <v>240</v>
      </c>
      <c r="AP93" s="124">
        <v>480</v>
      </c>
      <c r="AQ93" s="124">
        <v>240</v>
      </c>
      <c r="AR93" s="124">
        <v>360</v>
      </c>
      <c r="AS93" s="124">
        <v>240</v>
      </c>
      <c r="AT93" s="124">
        <v>240</v>
      </c>
      <c r="AU93" s="124">
        <v>240</v>
      </c>
      <c r="AV93" s="124">
        <v>320</v>
      </c>
      <c r="AW93" s="124">
        <v>200</v>
      </c>
      <c r="AX93" s="124">
        <v>200</v>
      </c>
      <c r="AY93" s="124">
        <v>240</v>
      </c>
      <c r="AZ93" s="124">
        <v>1400</v>
      </c>
      <c r="BA93" s="124">
        <f>+SUM(M93:T93)</f>
        <v>2600</v>
      </c>
      <c r="BB93" s="124">
        <f>SUM(U93:Z93)</f>
        <v>2160</v>
      </c>
      <c r="BC93" s="124">
        <f>SUM(AA93:AI93)</f>
        <v>1640</v>
      </c>
      <c r="BD93" s="124">
        <f>SUM(AJ93:AO93)</f>
        <v>1720</v>
      </c>
      <c r="BE93" s="124">
        <f>SUM(AP93:AY93)</f>
        <v>2760</v>
      </c>
      <c r="BF93" s="124">
        <v>1920</v>
      </c>
      <c r="BG93" s="124">
        <v>1560</v>
      </c>
      <c r="BH93" s="116" t="s">
        <v>98</v>
      </c>
    </row>
    <row r="94" spans="1:63" ht="35.25" customHeight="1" x14ac:dyDescent="0.2">
      <c r="A94" s="16"/>
      <c r="B94" s="120"/>
      <c r="C94" s="120" t="s">
        <v>48</v>
      </c>
      <c r="D94" s="133">
        <f>E94</f>
        <v>48820</v>
      </c>
      <c r="E94" s="123">
        <v>48820</v>
      </c>
      <c r="F94" s="123">
        <f>+E94+F93</f>
        <v>49100</v>
      </c>
      <c r="G94" s="123">
        <f>+F94+G93</f>
        <v>49100</v>
      </c>
      <c r="H94" s="123">
        <f>+G94+H93</f>
        <v>49100</v>
      </c>
      <c r="I94" s="123">
        <f>+H94+I93</f>
        <v>49100</v>
      </c>
      <c r="J94" s="123">
        <f>+I94+J93</f>
        <v>49300</v>
      </c>
      <c r="K94" s="123">
        <f t="shared" ref="K94" si="1450">+J94+K93</f>
        <v>49540</v>
      </c>
      <c r="L94" s="123">
        <f t="shared" ref="L94" si="1451">+K94+L93</f>
        <v>49820</v>
      </c>
      <c r="M94" s="123">
        <f t="shared" ref="M94" si="1452">+L94+M93</f>
        <v>50100</v>
      </c>
      <c r="N94" s="123">
        <f t="shared" ref="N94" si="1453">+M94+N93</f>
        <v>50420</v>
      </c>
      <c r="O94" s="123">
        <f t="shared" ref="O94" si="1454">+N94+O93</f>
        <v>50740</v>
      </c>
      <c r="P94" s="123">
        <f t="shared" ref="P94" si="1455">+O94+P93</f>
        <v>51060</v>
      </c>
      <c r="Q94" s="123">
        <f t="shared" ref="Q94" si="1456">+P94+Q93</f>
        <v>51420</v>
      </c>
      <c r="R94" s="123">
        <f t="shared" ref="R94" si="1457">+Q94+R93</f>
        <v>51700</v>
      </c>
      <c r="S94" s="123">
        <f>+R94+S93</f>
        <v>51980</v>
      </c>
      <c r="T94" s="123">
        <f>+S94+T93</f>
        <v>52420</v>
      </c>
      <c r="U94" s="123">
        <f t="shared" ref="U94" si="1458">+T94+U93</f>
        <v>52860</v>
      </c>
      <c r="V94" s="123">
        <f t="shared" ref="V94" si="1459">+U94+V93</f>
        <v>53220</v>
      </c>
      <c r="W94" s="123">
        <f t="shared" ref="W94" si="1460">+V94+W93</f>
        <v>53540</v>
      </c>
      <c r="X94" s="123">
        <f t="shared" ref="X94" si="1461">+W94+X93</f>
        <v>53900</v>
      </c>
      <c r="Y94" s="123">
        <f t="shared" ref="Y94" si="1462">+X94+Y93</f>
        <v>54300</v>
      </c>
      <c r="Z94" s="123">
        <f t="shared" ref="Z94" si="1463">+Y94+Z93</f>
        <v>54580</v>
      </c>
      <c r="AA94" s="123">
        <f t="shared" ref="AA94" si="1464">+Z94+AA93</f>
        <v>54580</v>
      </c>
      <c r="AB94" s="123">
        <f>+AA94+AB93</f>
        <v>54580</v>
      </c>
      <c r="AC94" s="123">
        <f>+AB94+AC93</f>
        <v>54700</v>
      </c>
      <c r="AD94" s="123">
        <f>+AC94+AD93</f>
        <v>54940</v>
      </c>
      <c r="AE94" s="123">
        <f>+AD94+AE93</f>
        <v>55140</v>
      </c>
      <c r="AF94" s="123">
        <f t="shared" ref="AF94" si="1465">+AE94+AF93</f>
        <v>55420</v>
      </c>
      <c r="AG94" s="123">
        <f t="shared" ref="AG94" si="1466">+AF94+AG93</f>
        <v>55620</v>
      </c>
      <c r="AH94" s="123">
        <f t="shared" ref="AH94" si="1467">+AG94+AH93</f>
        <v>55980</v>
      </c>
      <c r="AI94" s="123">
        <f t="shared" ref="AI94" si="1468">+AH94+AI93</f>
        <v>56220</v>
      </c>
      <c r="AJ94" s="123">
        <f t="shared" ref="AJ94" si="1469">+AI94+AJ93</f>
        <v>56540</v>
      </c>
      <c r="AK94" s="123">
        <f t="shared" ref="AK94" si="1470">+AJ94+AK93</f>
        <v>56780</v>
      </c>
      <c r="AL94" s="123">
        <f t="shared" ref="AL94" si="1471">+AK94+AL93</f>
        <v>57140</v>
      </c>
      <c r="AM94" s="123">
        <f t="shared" ref="AM94" si="1472">+AL94+AM93</f>
        <v>57460</v>
      </c>
      <c r="AN94" s="123">
        <f t="shared" ref="AN94" si="1473">+AM94+AN93</f>
        <v>57700</v>
      </c>
      <c r="AO94" s="123">
        <f t="shared" ref="AO94" si="1474">+AN94+AO93</f>
        <v>57940</v>
      </c>
      <c r="AP94" s="123">
        <f t="shared" ref="AP94" si="1475">+AG94+AP93</f>
        <v>56100</v>
      </c>
      <c r="AQ94" s="123">
        <f t="shared" ref="AQ94" si="1476">+AP94+AQ93</f>
        <v>56340</v>
      </c>
      <c r="AR94" s="123">
        <f t="shared" ref="AR94" si="1477">+AI94+AR93</f>
        <v>56580</v>
      </c>
      <c r="AS94" s="123">
        <f t="shared" ref="AS94" si="1478">+AR94+AS93</f>
        <v>56820</v>
      </c>
      <c r="AT94" s="123">
        <f t="shared" ref="AT94" si="1479">+AK94+AT93</f>
        <v>57020</v>
      </c>
      <c r="AU94" s="123">
        <f t="shared" ref="AU94" si="1480">+AT94+AU93</f>
        <v>57260</v>
      </c>
      <c r="AV94" s="123">
        <f t="shared" ref="AV94" si="1481">+AM94+AV93</f>
        <v>57780</v>
      </c>
      <c r="AW94" s="123">
        <f t="shared" ref="AW94" si="1482">+AV94+AW93</f>
        <v>57980</v>
      </c>
      <c r="AX94" s="123">
        <f t="shared" ref="AX94" si="1483">+AO94+AX93</f>
        <v>58140</v>
      </c>
      <c r="AY94" s="123">
        <f t="shared" ref="AY94" si="1484">+AX94+AY93</f>
        <v>58380</v>
      </c>
      <c r="AZ94" s="123">
        <v>81740</v>
      </c>
      <c r="BA94" s="123">
        <f t="shared" ref="BA94:BG94" si="1485">+AZ94+BA93</f>
        <v>84340</v>
      </c>
      <c r="BB94" s="123">
        <f t="shared" si="1485"/>
        <v>86500</v>
      </c>
      <c r="BC94" s="123">
        <f t="shared" si="1485"/>
        <v>88140</v>
      </c>
      <c r="BD94" s="123">
        <f t="shared" si="1485"/>
        <v>89860</v>
      </c>
      <c r="BE94" s="123">
        <f t="shared" si="1485"/>
        <v>92620</v>
      </c>
      <c r="BF94" s="123">
        <f t="shared" si="1485"/>
        <v>94540</v>
      </c>
      <c r="BG94" s="123">
        <f t="shared" si="1485"/>
        <v>96100</v>
      </c>
      <c r="BH94" s="121"/>
      <c r="BI94" s="118"/>
      <c r="BK94" s="118"/>
    </row>
    <row r="95" spans="1:63" ht="35.25" customHeight="1" x14ac:dyDescent="0.2">
      <c r="A95" s="128">
        <f>+A93+1</f>
        <v>42</v>
      </c>
      <c r="B95" s="17" t="s">
        <v>94</v>
      </c>
      <c r="C95" s="17" t="s">
        <v>94</v>
      </c>
      <c r="D95" s="17"/>
      <c r="E95" s="124">
        <v>240</v>
      </c>
      <c r="F95" s="124">
        <v>160</v>
      </c>
      <c r="G95" s="124">
        <v>0</v>
      </c>
      <c r="H95" s="124">
        <v>0</v>
      </c>
      <c r="I95" s="124">
        <v>0</v>
      </c>
      <c r="J95" s="124">
        <v>0</v>
      </c>
      <c r="K95" s="124">
        <v>0</v>
      </c>
      <c r="L95" s="124">
        <v>60</v>
      </c>
      <c r="M95" s="124">
        <v>200</v>
      </c>
      <c r="N95" s="124">
        <v>180</v>
      </c>
      <c r="O95" s="124">
        <v>100</v>
      </c>
      <c r="P95" s="168">
        <f>140+180</f>
        <v>320</v>
      </c>
      <c r="Q95" s="124">
        <v>200</v>
      </c>
      <c r="R95" s="124">
        <v>140</v>
      </c>
      <c r="S95" s="124">
        <v>260</v>
      </c>
      <c r="T95" s="124">
        <v>280</v>
      </c>
      <c r="U95" s="185">
        <f>20+500</f>
        <v>520</v>
      </c>
      <c r="V95" s="124">
        <v>100</v>
      </c>
      <c r="W95" s="124">
        <v>40</v>
      </c>
      <c r="X95" s="124">
        <v>120</v>
      </c>
      <c r="Y95" s="124">
        <v>940</v>
      </c>
      <c r="Z95" s="124">
        <v>200</v>
      </c>
      <c r="AA95" s="124">
        <v>0</v>
      </c>
      <c r="AB95" s="124">
        <v>0</v>
      </c>
      <c r="AC95" s="124">
        <v>0</v>
      </c>
      <c r="AD95" s="124">
        <v>140</v>
      </c>
      <c r="AE95" s="124">
        <v>120</v>
      </c>
      <c r="AF95" s="124">
        <v>200</v>
      </c>
      <c r="AG95" s="124">
        <v>120</v>
      </c>
      <c r="AH95" s="124">
        <v>240</v>
      </c>
      <c r="AI95" s="124">
        <v>160</v>
      </c>
      <c r="AJ95" s="124">
        <v>240</v>
      </c>
      <c r="AK95" s="124">
        <v>160</v>
      </c>
      <c r="AL95" s="124">
        <v>240</v>
      </c>
      <c r="AM95" s="124">
        <v>220</v>
      </c>
      <c r="AN95" s="124">
        <v>160</v>
      </c>
      <c r="AO95" s="124">
        <v>160</v>
      </c>
      <c r="AP95" s="124">
        <v>320</v>
      </c>
      <c r="AQ95" s="124">
        <v>160</v>
      </c>
      <c r="AR95" s="124">
        <v>240</v>
      </c>
      <c r="AS95" s="124">
        <v>140</v>
      </c>
      <c r="AT95" s="124">
        <v>160</v>
      </c>
      <c r="AU95" s="124">
        <v>140</v>
      </c>
      <c r="AV95" s="124">
        <v>220</v>
      </c>
      <c r="AW95" s="124">
        <v>140</v>
      </c>
      <c r="AX95" s="124">
        <v>120</v>
      </c>
      <c r="AY95" s="124">
        <v>180</v>
      </c>
      <c r="AZ95" s="124">
        <v>460</v>
      </c>
      <c r="BA95" s="124">
        <f>+SUM(M95:T95)</f>
        <v>1680</v>
      </c>
      <c r="BB95" s="124">
        <f>SUM(U95:Z95)</f>
        <v>1920</v>
      </c>
      <c r="BC95" s="124">
        <f>SUM(AA95:AI95)</f>
        <v>980</v>
      </c>
      <c r="BD95" s="124">
        <f>SUM(AJ95:AO95)</f>
        <v>1180</v>
      </c>
      <c r="BE95" s="124">
        <f>SUM(AP95:AY95)</f>
        <v>1820</v>
      </c>
      <c r="BF95" s="124">
        <v>1220</v>
      </c>
      <c r="BG95" s="124">
        <v>980</v>
      </c>
      <c r="BH95" s="116" t="s">
        <v>99</v>
      </c>
    </row>
    <row r="96" spans="1:63" ht="35.25" customHeight="1" x14ac:dyDescent="0.2">
      <c r="A96" s="16"/>
      <c r="B96" s="120"/>
      <c r="C96" s="120" t="s">
        <v>48</v>
      </c>
      <c r="D96" s="133">
        <f>E96</f>
        <v>23430</v>
      </c>
      <c r="E96" s="123">
        <v>23430</v>
      </c>
      <c r="F96" s="123">
        <f>+E96+F95</f>
        <v>23590</v>
      </c>
      <c r="G96" s="123">
        <f>+F96+G95</f>
        <v>23590</v>
      </c>
      <c r="H96" s="123">
        <f>+G96+H95</f>
        <v>23590</v>
      </c>
      <c r="I96" s="123">
        <f>+H96+I95</f>
        <v>23590</v>
      </c>
      <c r="J96" s="123">
        <f>+I96+J95</f>
        <v>23590</v>
      </c>
      <c r="K96" s="123">
        <f t="shared" ref="K96" si="1486">+J96+K95</f>
        <v>23590</v>
      </c>
      <c r="L96" s="123">
        <f t="shared" ref="L96" si="1487">+K96+L95</f>
        <v>23650</v>
      </c>
      <c r="M96" s="123">
        <f t="shared" ref="M96" si="1488">+L96+M95</f>
        <v>23850</v>
      </c>
      <c r="N96" s="123">
        <f t="shared" ref="N96" si="1489">+M96+N95</f>
        <v>24030</v>
      </c>
      <c r="O96" s="123">
        <f t="shared" ref="O96" si="1490">+N96+O95</f>
        <v>24130</v>
      </c>
      <c r="P96" s="123">
        <f t="shared" ref="P96" si="1491">+O96+P95</f>
        <v>24450</v>
      </c>
      <c r="Q96" s="123">
        <f t="shared" ref="Q96" si="1492">+P96+Q95</f>
        <v>24650</v>
      </c>
      <c r="R96" s="123">
        <f t="shared" ref="R96" si="1493">+Q96+R95</f>
        <v>24790</v>
      </c>
      <c r="S96" s="123">
        <f>+R96+S95</f>
        <v>25050</v>
      </c>
      <c r="T96" s="123">
        <f>+S96+T95</f>
        <v>25330</v>
      </c>
      <c r="U96" s="123">
        <f t="shared" ref="U96" si="1494">+T96+U95</f>
        <v>25850</v>
      </c>
      <c r="V96" s="123">
        <f t="shared" ref="V96" si="1495">+U96+V95</f>
        <v>25950</v>
      </c>
      <c r="W96" s="123">
        <f t="shared" ref="W96" si="1496">+V96+W95</f>
        <v>25990</v>
      </c>
      <c r="X96" s="123">
        <f t="shared" ref="X96" si="1497">+W96+X95</f>
        <v>26110</v>
      </c>
      <c r="Y96" s="123">
        <f t="shared" ref="Y96" si="1498">+X96+Y95</f>
        <v>27050</v>
      </c>
      <c r="Z96" s="123">
        <f t="shared" ref="Z96" si="1499">+Y96+Z95</f>
        <v>27250</v>
      </c>
      <c r="AA96" s="123">
        <f t="shared" ref="AA96" si="1500">+Z96+AA95</f>
        <v>27250</v>
      </c>
      <c r="AB96" s="123">
        <f>+AA96+AB95</f>
        <v>27250</v>
      </c>
      <c r="AC96" s="123">
        <f>+AB96+AC95</f>
        <v>27250</v>
      </c>
      <c r="AD96" s="123">
        <f>+AC96+AD95</f>
        <v>27390</v>
      </c>
      <c r="AE96" s="123">
        <f>+AD96+AE95</f>
        <v>27510</v>
      </c>
      <c r="AF96" s="123">
        <f t="shared" ref="AF96" si="1501">+AE96+AF95</f>
        <v>27710</v>
      </c>
      <c r="AG96" s="123">
        <f t="shared" ref="AG96" si="1502">+AF96+AG95</f>
        <v>27830</v>
      </c>
      <c r="AH96" s="123">
        <f t="shared" ref="AH96" si="1503">+AG96+AH95</f>
        <v>28070</v>
      </c>
      <c r="AI96" s="123">
        <f t="shared" ref="AI96" si="1504">+AH96+AI95</f>
        <v>28230</v>
      </c>
      <c r="AJ96" s="123">
        <f t="shared" ref="AJ96" si="1505">+AI96+AJ95</f>
        <v>28470</v>
      </c>
      <c r="AK96" s="123">
        <f t="shared" ref="AK96" si="1506">+AJ96+AK95</f>
        <v>28630</v>
      </c>
      <c r="AL96" s="123">
        <f t="shared" ref="AL96" si="1507">+AK96+AL95</f>
        <v>28870</v>
      </c>
      <c r="AM96" s="123">
        <f t="shared" ref="AM96" si="1508">+AL96+AM95</f>
        <v>29090</v>
      </c>
      <c r="AN96" s="123">
        <f t="shared" ref="AN96" si="1509">+AM96+AN95</f>
        <v>29250</v>
      </c>
      <c r="AO96" s="123">
        <f t="shared" ref="AO96" si="1510">+AN96+AO95</f>
        <v>29410</v>
      </c>
      <c r="AP96" s="123">
        <f t="shared" ref="AP96" si="1511">+AG96+AP95</f>
        <v>28150</v>
      </c>
      <c r="AQ96" s="123">
        <f t="shared" ref="AQ96" si="1512">+AP96+AQ95</f>
        <v>28310</v>
      </c>
      <c r="AR96" s="123">
        <f t="shared" ref="AR96" si="1513">+AI96+AR95</f>
        <v>28470</v>
      </c>
      <c r="AS96" s="123">
        <f t="shared" ref="AS96" si="1514">+AR96+AS95</f>
        <v>28610</v>
      </c>
      <c r="AT96" s="123">
        <f t="shared" ref="AT96" si="1515">+AK96+AT95</f>
        <v>28790</v>
      </c>
      <c r="AU96" s="123">
        <f t="shared" ref="AU96" si="1516">+AT96+AU95</f>
        <v>28930</v>
      </c>
      <c r="AV96" s="123">
        <f t="shared" ref="AV96" si="1517">+AM96+AV95</f>
        <v>29310</v>
      </c>
      <c r="AW96" s="123">
        <f t="shared" ref="AW96" si="1518">+AV96+AW95</f>
        <v>29450</v>
      </c>
      <c r="AX96" s="123">
        <f t="shared" ref="AX96" si="1519">+AO96+AX95</f>
        <v>29530</v>
      </c>
      <c r="AY96" s="123">
        <f t="shared" ref="AY96" si="1520">+AX96+AY95</f>
        <v>29710</v>
      </c>
      <c r="AZ96" s="123">
        <v>37110</v>
      </c>
      <c r="BA96" s="123">
        <f t="shared" ref="BA96:BG96" si="1521">+AZ96+BA95</f>
        <v>38790</v>
      </c>
      <c r="BB96" s="123">
        <f t="shared" si="1521"/>
        <v>40710</v>
      </c>
      <c r="BC96" s="123">
        <f t="shared" si="1521"/>
        <v>41690</v>
      </c>
      <c r="BD96" s="123">
        <f t="shared" si="1521"/>
        <v>42870</v>
      </c>
      <c r="BE96" s="123">
        <f t="shared" si="1521"/>
        <v>44690</v>
      </c>
      <c r="BF96" s="123">
        <f t="shared" si="1521"/>
        <v>45910</v>
      </c>
      <c r="BG96" s="123">
        <f t="shared" si="1521"/>
        <v>46890</v>
      </c>
      <c r="BH96" s="121"/>
      <c r="BI96" s="118"/>
      <c r="BK96" s="118"/>
    </row>
    <row r="97" spans="1:63" ht="35.25" customHeight="1" x14ac:dyDescent="0.2">
      <c r="A97" s="128">
        <f>+A95+1</f>
        <v>43</v>
      </c>
      <c r="B97" s="17" t="s">
        <v>229</v>
      </c>
      <c r="C97" s="17" t="s">
        <v>95</v>
      </c>
      <c r="D97" s="17"/>
      <c r="E97" s="124">
        <v>0</v>
      </c>
      <c r="F97" s="124">
        <v>0</v>
      </c>
      <c r="G97" s="124">
        <v>20</v>
      </c>
      <c r="H97" s="124">
        <v>0</v>
      </c>
      <c r="I97" s="124">
        <v>20</v>
      </c>
      <c r="J97" s="124">
        <v>0</v>
      </c>
      <c r="K97" s="124">
        <v>0</v>
      </c>
      <c r="L97" s="124">
        <v>0</v>
      </c>
      <c r="M97" s="124">
        <v>0</v>
      </c>
      <c r="N97" s="124">
        <v>0</v>
      </c>
      <c r="O97" s="124">
        <v>0</v>
      </c>
      <c r="P97" s="124">
        <v>0</v>
      </c>
      <c r="Q97" s="124">
        <v>0</v>
      </c>
      <c r="R97" s="124">
        <v>0</v>
      </c>
      <c r="S97" s="124">
        <v>40</v>
      </c>
      <c r="T97" s="124">
        <v>0</v>
      </c>
      <c r="U97" s="124">
        <v>0</v>
      </c>
      <c r="V97" s="124">
        <v>0</v>
      </c>
      <c r="W97" s="124">
        <v>0</v>
      </c>
      <c r="X97" s="124">
        <v>0</v>
      </c>
      <c r="Y97" s="124">
        <v>0</v>
      </c>
      <c r="Z97" s="124">
        <v>0</v>
      </c>
      <c r="AA97" s="124">
        <v>20</v>
      </c>
      <c r="AB97" s="124">
        <v>0</v>
      </c>
      <c r="AC97" s="124">
        <v>0</v>
      </c>
      <c r="AD97" s="124">
        <v>20</v>
      </c>
      <c r="AE97" s="124">
        <v>0</v>
      </c>
      <c r="AF97" s="124">
        <v>0</v>
      </c>
      <c r="AG97" s="124">
        <v>0</v>
      </c>
      <c r="AH97" s="124">
        <v>0</v>
      </c>
      <c r="AI97" s="124">
        <v>0</v>
      </c>
      <c r="AJ97" s="124">
        <v>0</v>
      </c>
      <c r="AK97" s="124">
        <v>0</v>
      </c>
      <c r="AL97" s="124">
        <v>0</v>
      </c>
      <c r="AM97" s="124">
        <v>0</v>
      </c>
      <c r="AN97" s="124">
        <v>0</v>
      </c>
      <c r="AO97" s="124">
        <v>20</v>
      </c>
      <c r="AP97" s="124">
        <v>0</v>
      </c>
      <c r="AQ97" s="124">
        <v>0</v>
      </c>
      <c r="AR97" s="124">
        <v>0</v>
      </c>
      <c r="AS97" s="124">
        <v>0</v>
      </c>
      <c r="AT97" s="124">
        <v>0</v>
      </c>
      <c r="AU97" s="124">
        <v>0</v>
      </c>
      <c r="AV97" s="124">
        <v>0</v>
      </c>
      <c r="AW97" s="124">
        <v>0</v>
      </c>
      <c r="AX97" s="124">
        <v>0</v>
      </c>
      <c r="AY97" s="124">
        <v>0</v>
      </c>
      <c r="AZ97" s="124">
        <v>40</v>
      </c>
      <c r="BA97" s="124">
        <f>+SUM(M97:T97)</f>
        <v>40</v>
      </c>
      <c r="BB97" s="124">
        <f>SUM(U97:Z97)</f>
        <v>0</v>
      </c>
      <c r="BC97" s="124">
        <f>SUM(AA97:AI97)</f>
        <v>40</v>
      </c>
      <c r="BD97" s="124">
        <f>SUM(AJ97:AO97)</f>
        <v>20</v>
      </c>
      <c r="BE97" s="124">
        <f>SUM(AP97:AY97)</f>
        <v>0</v>
      </c>
      <c r="BF97" s="124">
        <v>0</v>
      </c>
      <c r="BG97" s="124">
        <v>0</v>
      </c>
      <c r="BH97" s="148" t="s">
        <v>137</v>
      </c>
    </row>
    <row r="98" spans="1:63" ht="35.25" customHeight="1" x14ac:dyDescent="0.2">
      <c r="A98" s="16"/>
      <c r="B98" s="120"/>
      <c r="C98" s="120" t="s">
        <v>48</v>
      </c>
      <c r="D98" s="133">
        <f>E98</f>
        <v>1832</v>
      </c>
      <c r="E98" s="123">
        <v>1832</v>
      </c>
      <c r="F98" s="123">
        <f>+E98+F97</f>
        <v>1832</v>
      </c>
      <c r="G98" s="123">
        <f>+F98+G97</f>
        <v>1852</v>
      </c>
      <c r="H98" s="123">
        <f>+G98+H97</f>
        <v>1852</v>
      </c>
      <c r="I98" s="123">
        <f>+H98+I97</f>
        <v>1872</v>
      </c>
      <c r="J98" s="123">
        <f>+I98+J97</f>
        <v>1872</v>
      </c>
      <c r="K98" s="123">
        <f t="shared" ref="K98" si="1522">+J98+K97</f>
        <v>1872</v>
      </c>
      <c r="L98" s="123">
        <f t="shared" ref="L98" si="1523">+K98+L97</f>
        <v>1872</v>
      </c>
      <c r="M98" s="123">
        <f t="shared" ref="M98" si="1524">+L98+M97</f>
        <v>1872</v>
      </c>
      <c r="N98" s="123">
        <f t="shared" ref="N98" si="1525">+M98+N97</f>
        <v>1872</v>
      </c>
      <c r="O98" s="123">
        <f t="shared" ref="O98" si="1526">+N98+O97</f>
        <v>1872</v>
      </c>
      <c r="P98" s="123">
        <f t="shared" ref="P98" si="1527">+O98+P97</f>
        <v>1872</v>
      </c>
      <c r="Q98" s="123">
        <f t="shared" ref="Q98" si="1528">+P98+Q97</f>
        <v>1872</v>
      </c>
      <c r="R98" s="123">
        <f t="shared" ref="R98" si="1529">+Q98+R97</f>
        <v>1872</v>
      </c>
      <c r="S98" s="123">
        <f>+R98+S97</f>
        <v>1912</v>
      </c>
      <c r="T98" s="123">
        <f>+S98+T97</f>
        <v>1912</v>
      </c>
      <c r="U98" s="123">
        <f t="shared" ref="U98" si="1530">+T98+U97</f>
        <v>1912</v>
      </c>
      <c r="V98" s="123">
        <f t="shared" ref="V98" si="1531">+U98+V97</f>
        <v>1912</v>
      </c>
      <c r="W98" s="123">
        <f t="shared" ref="W98" si="1532">+V98+W97</f>
        <v>1912</v>
      </c>
      <c r="X98" s="123">
        <f t="shared" ref="X98" si="1533">+W98+X97</f>
        <v>1912</v>
      </c>
      <c r="Y98" s="123">
        <f t="shared" ref="Y98" si="1534">+X98+Y97</f>
        <v>1912</v>
      </c>
      <c r="Z98" s="123">
        <f t="shared" ref="Z98" si="1535">+Y98+Z97</f>
        <v>1912</v>
      </c>
      <c r="AA98" s="123">
        <f t="shared" ref="AA98" si="1536">+Z98+AA97</f>
        <v>1932</v>
      </c>
      <c r="AB98" s="123">
        <f>+AA98+AB97</f>
        <v>1932</v>
      </c>
      <c r="AC98" s="123">
        <f>+AB98+AC97</f>
        <v>1932</v>
      </c>
      <c r="AD98" s="123">
        <f>+AC98+AD97</f>
        <v>1952</v>
      </c>
      <c r="AE98" s="123">
        <f>+AD98+AE97</f>
        <v>1952</v>
      </c>
      <c r="AF98" s="123">
        <f t="shared" ref="AF98" si="1537">+AE98+AF97</f>
        <v>1952</v>
      </c>
      <c r="AG98" s="123">
        <f t="shared" ref="AG98" si="1538">+AF98+AG97</f>
        <v>1952</v>
      </c>
      <c r="AH98" s="123">
        <f t="shared" ref="AH98" si="1539">+AG98+AH97</f>
        <v>1952</v>
      </c>
      <c r="AI98" s="123">
        <f t="shared" ref="AI98" si="1540">+AH98+AI97</f>
        <v>1952</v>
      </c>
      <c r="AJ98" s="123">
        <f t="shared" ref="AJ98" si="1541">+AI98+AJ97</f>
        <v>1952</v>
      </c>
      <c r="AK98" s="123">
        <f t="shared" ref="AK98" si="1542">+AJ98+AK97</f>
        <v>1952</v>
      </c>
      <c r="AL98" s="123">
        <f t="shared" ref="AL98" si="1543">+AK98+AL97</f>
        <v>1952</v>
      </c>
      <c r="AM98" s="123">
        <f t="shared" ref="AM98" si="1544">+AL98+AM97</f>
        <v>1952</v>
      </c>
      <c r="AN98" s="123">
        <f t="shared" ref="AN98" si="1545">+AM98+AN97</f>
        <v>1952</v>
      </c>
      <c r="AO98" s="123">
        <f t="shared" ref="AO98" si="1546">+AN98+AO97</f>
        <v>1972</v>
      </c>
      <c r="AP98" s="123">
        <f t="shared" ref="AP98" si="1547">+AG98+AP97</f>
        <v>1952</v>
      </c>
      <c r="AQ98" s="123">
        <f t="shared" ref="AQ98" si="1548">+AP98+AQ97</f>
        <v>1952</v>
      </c>
      <c r="AR98" s="123">
        <f t="shared" ref="AR98" si="1549">+AI98+AR97</f>
        <v>1952</v>
      </c>
      <c r="AS98" s="123">
        <f t="shared" ref="AS98" si="1550">+AR98+AS97</f>
        <v>1952</v>
      </c>
      <c r="AT98" s="123">
        <f t="shared" ref="AT98" si="1551">+AK98+AT97</f>
        <v>1952</v>
      </c>
      <c r="AU98" s="123">
        <f t="shared" ref="AU98" si="1552">+AT98+AU97</f>
        <v>1952</v>
      </c>
      <c r="AV98" s="123">
        <f t="shared" ref="AV98" si="1553">+AM98+AV97</f>
        <v>1952</v>
      </c>
      <c r="AW98" s="123">
        <f t="shared" ref="AW98" si="1554">+AV98+AW97</f>
        <v>1952</v>
      </c>
      <c r="AX98" s="123">
        <f t="shared" ref="AX98" si="1555">+AO98+AX97</f>
        <v>1972</v>
      </c>
      <c r="AY98" s="123">
        <f t="shared" ref="AY98" si="1556">+AX98+AY97</f>
        <v>1972</v>
      </c>
      <c r="AZ98" s="123">
        <v>2172</v>
      </c>
      <c r="BA98" s="123">
        <f t="shared" ref="BA98:BG98" si="1557">+AZ98+BA97</f>
        <v>2212</v>
      </c>
      <c r="BB98" s="123">
        <f t="shared" si="1557"/>
        <v>2212</v>
      </c>
      <c r="BC98" s="123">
        <f t="shared" si="1557"/>
        <v>2252</v>
      </c>
      <c r="BD98" s="123">
        <f t="shared" si="1557"/>
        <v>2272</v>
      </c>
      <c r="BE98" s="123">
        <f t="shared" si="1557"/>
        <v>2272</v>
      </c>
      <c r="BF98" s="123">
        <f t="shared" si="1557"/>
        <v>2272</v>
      </c>
      <c r="BG98" s="123">
        <f t="shared" si="1557"/>
        <v>2272</v>
      </c>
      <c r="BH98" s="121"/>
      <c r="BI98" s="118"/>
      <c r="BK98" s="118"/>
    </row>
    <row r="99" spans="1:63" ht="35.25" customHeight="1" x14ac:dyDescent="0.2">
      <c r="A99" s="128">
        <f>+A97+1</f>
        <v>44</v>
      </c>
      <c r="B99" s="17" t="s">
        <v>230</v>
      </c>
      <c r="C99" s="17" t="s">
        <v>96</v>
      </c>
      <c r="D99" s="17"/>
      <c r="E99" s="124">
        <v>0</v>
      </c>
      <c r="F99" s="124">
        <v>0</v>
      </c>
      <c r="G99" s="124">
        <v>0</v>
      </c>
      <c r="H99" s="124">
        <v>0</v>
      </c>
      <c r="I99" s="124">
        <v>0</v>
      </c>
      <c r="J99" s="124">
        <v>0</v>
      </c>
      <c r="K99" s="124">
        <v>0</v>
      </c>
      <c r="L99" s="124">
        <v>20</v>
      </c>
      <c r="M99" s="124">
        <v>0</v>
      </c>
      <c r="N99" s="124">
        <v>0</v>
      </c>
      <c r="O99" s="124">
        <v>20</v>
      </c>
      <c r="P99" s="124">
        <v>0</v>
      </c>
      <c r="Q99" s="124">
        <v>0</v>
      </c>
      <c r="R99" s="124">
        <v>0</v>
      </c>
      <c r="S99" s="124">
        <v>0</v>
      </c>
      <c r="T99" s="124">
        <v>0</v>
      </c>
      <c r="U99" s="124">
        <v>0</v>
      </c>
      <c r="V99" s="124">
        <v>20</v>
      </c>
      <c r="W99" s="124">
        <v>0</v>
      </c>
      <c r="X99" s="124">
        <v>0</v>
      </c>
      <c r="Y99" s="124">
        <v>0</v>
      </c>
      <c r="Z99" s="124">
        <v>0</v>
      </c>
      <c r="AA99" s="124">
        <v>0</v>
      </c>
      <c r="AB99" s="124">
        <v>0</v>
      </c>
      <c r="AC99" s="124">
        <v>20</v>
      </c>
      <c r="AD99" s="124">
        <v>20</v>
      </c>
      <c r="AE99" s="124">
        <v>0</v>
      </c>
      <c r="AF99" s="124">
        <v>0</v>
      </c>
      <c r="AG99" s="124">
        <v>0</v>
      </c>
      <c r="AH99" s="124">
        <v>20</v>
      </c>
      <c r="AI99" s="124">
        <v>0</v>
      </c>
      <c r="AJ99" s="124">
        <v>0</v>
      </c>
      <c r="AK99" s="124">
        <v>0</v>
      </c>
      <c r="AL99" s="124">
        <v>0</v>
      </c>
      <c r="AM99" s="124">
        <v>20</v>
      </c>
      <c r="AN99" s="124">
        <v>0</v>
      </c>
      <c r="AO99" s="124">
        <v>0</v>
      </c>
      <c r="AP99" s="124">
        <v>0</v>
      </c>
      <c r="AQ99" s="124">
        <v>0</v>
      </c>
      <c r="AR99" s="124">
        <v>0</v>
      </c>
      <c r="AS99" s="124">
        <v>0</v>
      </c>
      <c r="AT99" s="124">
        <v>0</v>
      </c>
      <c r="AU99" s="124">
        <v>0</v>
      </c>
      <c r="AV99" s="124">
        <v>0</v>
      </c>
      <c r="AW99" s="124">
        <v>0</v>
      </c>
      <c r="AX99" s="124">
        <v>0</v>
      </c>
      <c r="AY99" s="124">
        <v>0</v>
      </c>
      <c r="AZ99" s="124">
        <v>20</v>
      </c>
      <c r="BA99" s="124">
        <f>+SUM(M99:T99)</f>
        <v>20</v>
      </c>
      <c r="BB99" s="124">
        <f>SUM(U99:Z99)</f>
        <v>20</v>
      </c>
      <c r="BC99" s="124">
        <f>SUM(AA99:AI99)</f>
        <v>60</v>
      </c>
      <c r="BD99" s="124">
        <f>SUM(AJ99:AO99)</f>
        <v>20</v>
      </c>
      <c r="BE99" s="124">
        <f>SUM(AP99:AY99)</f>
        <v>0</v>
      </c>
      <c r="BF99" s="124">
        <v>0</v>
      </c>
      <c r="BG99" s="124">
        <v>0</v>
      </c>
      <c r="BH99" s="148" t="s">
        <v>137</v>
      </c>
    </row>
    <row r="100" spans="1:63" ht="35.25" customHeight="1" x14ac:dyDescent="0.2">
      <c r="A100" s="16"/>
      <c r="B100" s="120"/>
      <c r="C100" s="120" t="s">
        <v>48</v>
      </c>
      <c r="D100" s="133">
        <f>E100</f>
        <v>1442</v>
      </c>
      <c r="E100" s="123">
        <v>1442</v>
      </c>
      <c r="F100" s="123">
        <f>+E100+F99</f>
        <v>1442</v>
      </c>
      <c r="G100" s="123">
        <f>+F100+G99</f>
        <v>1442</v>
      </c>
      <c r="H100" s="123">
        <f>+G100+H99</f>
        <v>1442</v>
      </c>
      <c r="I100" s="123">
        <f>+H100+I99</f>
        <v>1442</v>
      </c>
      <c r="J100" s="123">
        <f>+I100+J99</f>
        <v>1442</v>
      </c>
      <c r="K100" s="123">
        <f t="shared" ref="K100" si="1558">+J100+K99</f>
        <v>1442</v>
      </c>
      <c r="L100" s="123">
        <f t="shared" ref="L100" si="1559">+K100+L99</f>
        <v>1462</v>
      </c>
      <c r="M100" s="123">
        <f t="shared" ref="M100" si="1560">+L100+M99</f>
        <v>1462</v>
      </c>
      <c r="N100" s="123">
        <f t="shared" ref="N100" si="1561">+M100+N99</f>
        <v>1462</v>
      </c>
      <c r="O100" s="123">
        <f t="shared" ref="O100" si="1562">+N100+O99</f>
        <v>1482</v>
      </c>
      <c r="P100" s="123">
        <f t="shared" ref="P100" si="1563">+O100+P99</f>
        <v>1482</v>
      </c>
      <c r="Q100" s="123">
        <f t="shared" ref="Q100" si="1564">+P100+Q99</f>
        <v>1482</v>
      </c>
      <c r="R100" s="123">
        <f t="shared" ref="R100" si="1565">+Q100+R99</f>
        <v>1482</v>
      </c>
      <c r="S100" s="123">
        <f>+R100+S99</f>
        <v>1482</v>
      </c>
      <c r="T100" s="123">
        <f>+S100+T99</f>
        <v>1482</v>
      </c>
      <c r="U100" s="123">
        <f t="shared" ref="U100" si="1566">+T100+U99</f>
        <v>1482</v>
      </c>
      <c r="V100" s="123">
        <f t="shared" ref="V100" si="1567">+U100+V99</f>
        <v>1502</v>
      </c>
      <c r="W100" s="123">
        <f t="shared" ref="W100" si="1568">+V100+W99</f>
        <v>1502</v>
      </c>
      <c r="X100" s="123">
        <f t="shared" ref="X100" si="1569">+W100+X99</f>
        <v>1502</v>
      </c>
      <c r="Y100" s="123">
        <f t="shared" ref="Y100" si="1570">+X100+Y99</f>
        <v>1502</v>
      </c>
      <c r="Z100" s="123">
        <f t="shared" ref="Z100" si="1571">+Y100+Z99</f>
        <v>1502</v>
      </c>
      <c r="AA100" s="123">
        <f t="shared" ref="AA100" si="1572">+Z100+AA99</f>
        <v>1502</v>
      </c>
      <c r="AB100" s="123">
        <f>+AA100+AB99</f>
        <v>1502</v>
      </c>
      <c r="AC100" s="123">
        <f>+AB100+AC99</f>
        <v>1522</v>
      </c>
      <c r="AD100" s="123">
        <f>+AC100+AD99</f>
        <v>1542</v>
      </c>
      <c r="AE100" s="123">
        <f>+AD100+AE99</f>
        <v>1542</v>
      </c>
      <c r="AF100" s="123">
        <f t="shared" ref="AF100" si="1573">+AE100+AF99</f>
        <v>1542</v>
      </c>
      <c r="AG100" s="123">
        <f t="shared" ref="AG100" si="1574">+AF100+AG99</f>
        <v>1542</v>
      </c>
      <c r="AH100" s="123">
        <f t="shared" ref="AH100" si="1575">+AG100+AH99</f>
        <v>1562</v>
      </c>
      <c r="AI100" s="123">
        <f t="shared" ref="AI100" si="1576">+AH100+AI99</f>
        <v>1562</v>
      </c>
      <c r="AJ100" s="123">
        <f t="shared" ref="AJ100" si="1577">+AI100+AJ99</f>
        <v>1562</v>
      </c>
      <c r="AK100" s="123">
        <f t="shared" ref="AK100" si="1578">+AJ100+AK99</f>
        <v>1562</v>
      </c>
      <c r="AL100" s="123">
        <f t="shared" ref="AL100" si="1579">+AK100+AL99</f>
        <v>1562</v>
      </c>
      <c r="AM100" s="123">
        <f t="shared" ref="AM100" si="1580">+AL100+AM99</f>
        <v>1582</v>
      </c>
      <c r="AN100" s="123">
        <f t="shared" ref="AN100" si="1581">+AM100+AN99</f>
        <v>1582</v>
      </c>
      <c r="AO100" s="123">
        <f t="shared" ref="AO100" si="1582">+AN100+AO99</f>
        <v>1582</v>
      </c>
      <c r="AP100" s="123">
        <f t="shared" ref="AP100" si="1583">+AG100+AP99</f>
        <v>1542</v>
      </c>
      <c r="AQ100" s="123">
        <f t="shared" ref="AQ100" si="1584">+AP100+AQ99</f>
        <v>1542</v>
      </c>
      <c r="AR100" s="123">
        <f t="shared" ref="AR100" si="1585">+AI100+AR99</f>
        <v>1562</v>
      </c>
      <c r="AS100" s="123">
        <f t="shared" ref="AS100" si="1586">+AR100+AS99</f>
        <v>1562</v>
      </c>
      <c r="AT100" s="123">
        <f t="shared" ref="AT100" si="1587">+AK100+AT99</f>
        <v>1562</v>
      </c>
      <c r="AU100" s="123">
        <f t="shared" ref="AU100" si="1588">+AT100+AU99</f>
        <v>1562</v>
      </c>
      <c r="AV100" s="123">
        <f t="shared" ref="AV100" si="1589">+AM100+AV99</f>
        <v>1582</v>
      </c>
      <c r="AW100" s="123">
        <f t="shared" ref="AW100" si="1590">+AV100+AW99</f>
        <v>1582</v>
      </c>
      <c r="AX100" s="123">
        <f t="shared" ref="AX100" si="1591">+AO100+AX99</f>
        <v>1582</v>
      </c>
      <c r="AY100" s="123">
        <f t="shared" ref="AY100" si="1592">+AX100+AY99</f>
        <v>1582</v>
      </c>
      <c r="AZ100" s="123">
        <v>1842</v>
      </c>
      <c r="BA100" s="123">
        <f t="shared" ref="BA100:BG100" si="1593">+AZ100+BA99</f>
        <v>1862</v>
      </c>
      <c r="BB100" s="123">
        <f t="shared" si="1593"/>
        <v>1882</v>
      </c>
      <c r="BC100" s="123">
        <f t="shared" si="1593"/>
        <v>1942</v>
      </c>
      <c r="BD100" s="123">
        <f t="shared" si="1593"/>
        <v>1962</v>
      </c>
      <c r="BE100" s="123">
        <f t="shared" si="1593"/>
        <v>1962</v>
      </c>
      <c r="BF100" s="123">
        <f t="shared" si="1593"/>
        <v>1962</v>
      </c>
      <c r="BG100" s="123">
        <f t="shared" si="1593"/>
        <v>1962</v>
      </c>
      <c r="BH100" s="121"/>
      <c r="BI100" s="118"/>
      <c r="BK100" s="118"/>
    </row>
    <row r="101" spans="1:63" ht="35.25" customHeight="1" x14ac:dyDescent="0.2">
      <c r="A101" s="128">
        <f>+A99+1</f>
        <v>45</v>
      </c>
      <c r="B101" s="145" t="s">
        <v>100</v>
      </c>
      <c r="C101" s="17" t="s">
        <v>100</v>
      </c>
      <c r="D101" s="17"/>
      <c r="E101" s="124">
        <v>0</v>
      </c>
      <c r="F101" s="124">
        <v>0</v>
      </c>
      <c r="G101" s="124">
        <v>0</v>
      </c>
      <c r="H101" s="124">
        <v>0</v>
      </c>
      <c r="I101" s="124">
        <v>0</v>
      </c>
      <c r="J101" s="124">
        <v>0</v>
      </c>
      <c r="K101" s="124">
        <v>0</v>
      </c>
      <c r="L101" s="124">
        <v>0</v>
      </c>
      <c r="M101" s="124">
        <v>0</v>
      </c>
      <c r="N101" s="124">
        <v>0</v>
      </c>
      <c r="O101" s="124">
        <v>0</v>
      </c>
      <c r="P101" s="124">
        <v>0</v>
      </c>
      <c r="Q101" s="124">
        <v>0</v>
      </c>
      <c r="R101" s="124">
        <v>0</v>
      </c>
      <c r="S101" s="124">
        <v>0</v>
      </c>
      <c r="T101" s="124">
        <v>0</v>
      </c>
      <c r="U101" s="124">
        <v>0</v>
      </c>
      <c r="V101" s="124">
        <v>0</v>
      </c>
      <c r="W101" s="124">
        <v>0</v>
      </c>
      <c r="X101" s="124">
        <v>0</v>
      </c>
      <c r="Y101" s="124">
        <v>0</v>
      </c>
      <c r="Z101" s="124">
        <v>0</v>
      </c>
      <c r="AA101" s="124">
        <v>0</v>
      </c>
      <c r="AB101" s="124">
        <v>0</v>
      </c>
      <c r="AC101" s="124">
        <v>0</v>
      </c>
      <c r="AD101" s="124">
        <v>0</v>
      </c>
      <c r="AE101" s="124">
        <v>0</v>
      </c>
      <c r="AF101" s="124">
        <v>0</v>
      </c>
      <c r="AG101" s="124">
        <v>0</v>
      </c>
      <c r="AH101" s="124">
        <v>0</v>
      </c>
      <c r="AI101" s="124">
        <v>0</v>
      </c>
      <c r="AJ101" s="124">
        <v>0</v>
      </c>
      <c r="AK101" s="124">
        <v>0</v>
      </c>
      <c r="AL101" s="124">
        <v>0</v>
      </c>
      <c r="AM101" s="124">
        <v>0</v>
      </c>
      <c r="AN101" s="124">
        <v>0</v>
      </c>
      <c r="AO101" s="124">
        <v>0</v>
      </c>
      <c r="AP101" s="124">
        <v>0</v>
      </c>
      <c r="AQ101" s="124">
        <v>0</v>
      </c>
      <c r="AR101" s="124">
        <v>0</v>
      </c>
      <c r="AS101" s="124">
        <v>0</v>
      </c>
      <c r="AT101" s="124">
        <v>0</v>
      </c>
      <c r="AU101" s="124">
        <v>0</v>
      </c>
      <c r="AV101" s="124">
        <v>0</v>
      </c>
      <c r="AW101" s="124">
        <v>0</v>
      </c>
      <c r="AX101" s="124">
        <v>0</v>
      </c>
      <c r="AY101" s="124">
        <v>0</v>
      </c>
      <c r="AZ101" s="124">
        <v>0</v>
      </c>
      <c r="BA101" s="124">
        <f>+SUM(M101:T101)</f>
        <v>0</v>
      </c>
      <c r="BB101" s="124">
        <f>SUM(U101:Z101)</f>
        <v>0</v>
      </c>
      <c r="BC101" s="124">
        <f>SUM(AA101:AI101)</f>
        <v>0</v>
      </c>
      <c r="BD101" s="124">
        <f>SUM(AJ101:AO101)</f>
        <v>0</v>
      </c>
      <c r="BE101" s="124">
        <f>SUM(AP101:AY101)</f>
        <v>0</v>
      </c>
      <c r="BF101" s="124">
        <v>0</v>
      </c>
      <c r="BG101" s="124">
        <v>0</v>
      </c>
      <c r="BH101" s="148" t="s">
        <v>138</v>
      </c>
    </row>
    <row r="102" spans="1:63" ht="35.25" customHeight="1" x14ac:dyDescent="0.2">
      <c r="A102" s="16"/>
      <c r="B102" s="120"/>
      <c r="C102" s="120" t="s">
        <v>48</v>
      </c>
      <c r="D102" s="133">
        <f>E102</f>
        <v>285</v>
      </c>
      <c r="E102" s="123">
        <v>285</v>
      </c>
      <c r="F102" s="123">
        <f>+E102+F101</f>
        <v>285</v>
      </c>
      <c r="G102" s="123">
        <f>+F102+G101</f>
        <v>285</v>
      </c>
      <c r="H102" s="123">
        <f>+G102+H101</f>
        <v>285</v>
      </c>
      <c r="I102" s="123">
        <f>+H102+I101</f>
        <v>285</v>
      </c>
      <c r="J102" s="123">
        <f>+I102+J101</f>
        <v>285</v>
      </c>
      <c r="K102" s="123">
        <f t="shared" ref="K102" si="1594">+J102+K101</f>
        <v>285</v>
      </c>
      <c r="L102" s="123">
        <f t="shared" ref="L102" si="1595">+K102+L101</f>
        <v>285</v>
      </c>
      <c r="M102" s="123">
        <f t="shared" ref="M102" si="1596">+L102+M101</f>
        <v>285</v>
      </c>
      <c r="N102" s="123">
        <f t="shared" ref="N102" si="1597">+M102+N101</f>
        <v>285</v>
      </c>
      <c r="O102" s="123">
        <f t="shared" ref="O102" si="1598">+N102+O101</f>
        <v>285</v>
      </c>
      <c r="P102" s="123">
        <f t="shared" ref="P102" si="1599">+O102+P101</f>
        <v>285</v>
      </c>
      <c r="Q102" s="123">
        <f t="shared" ref="Q102" si="1600">+P102+Q101</f>
        <v>285</v>
      </c>
      <c r="R102" s="123">
        <f t="shared" ref="R102" si="1601">+Q102+R101</f>
        <v>285</v>
      </c>
      <c r="S102" s="123">
        <f>+R102+S101</f>
        <v>285</v>
      </c>
      <c r="T102" s="123">
        <f>+S102+T101</f>
        <v>285</v>
      </c>
      <c r="U102" s="123">
        <f t="shared" ref="U102" si="1602">+T102+U101</f>
        <v>285</v>
      </c>
      <c r="V102" s="123">
        <f t="shared" ref="V102" si="1603">+U102+V101</f>
        <v>285</v>
      </c>
      <c r="W102" s="123">
        <f t="shared" ref="W102" si="1604">+V102+W101</f>
        <v>285</v>
      </c>
      <c r="X102" s="123">
        <f t="shared" ref="X102" si="1605">+W102+X101</f>
        <v>285</v>
      </c>
      <c r="Y102" s="123">
        <f t="shared" ref="Y102" si="1606">+X102+Y101</f>
        <v>285</v>
      </c>
      <c r="Z102" s="123">
        <f t="shared" ref="Z102" si="1607">+Y102+Z101</f>
        <v>285</v>
      </c>
      <c r="AA102" s="123">
        <f t="shared" ref="AA102" si="1608">+Z102+AA101</f>
        <v>285</v>
      </c>
      <c r="AB102" s="123">
        <f>+AA102+AB101</f>
        <v>285</v>
      </c>
      <c r="AC102" s="123">
        <f>+AB102+AC101</f>
        <v>285</v>
      </c>
      <c r="AD102" s="123">
        <f>+AC102+AD101</f>
        <v>285</v>
      </c>
      <c r="AE102" s="123">
        <f>+AD102+AE101</f>
        <v>285</v>
      </c>
      <c r="AF102" s="123">
        <f t="shared" ref="AF102" si="1609">+AE102+AF101</f>
        <v>285</v>
      </c>
      <c r="AG102" s="123">
        <f t="shared" ref="AG102" si="1610">+AF102+AG101</f>
        <v>285</v>
      </c>
      <c r="AH102" s="123">
        <f t="shared" ref="AH102" si="1611">+AG102+AH101</f>
        <v>285</v>
      </c>
      <c r="AI102" s="123">
        <f t="shared" ref="AI102" si="1612">+AH102+AI101</f>
        <v>285</v>
      </c>
      <c r="AJ102" s="123">
        <f t="shared" ref="AJ102" si="1613">+AI102+AJ101</f>
        <v>285</v>
      </c>
      <c r="AK102" s="123">
        <f t="shared" ref="AK102" si="1614">+AJ102+AK101</f>
        <v>285</v>
      </c>
      <c r="AL102" s="123">
        <f t="shared" ref="AL102" si="1615">+AK102+AL101</f>
        <v>285</v>
      </c>
      <c r="AM102" s="123">
        <f t="shared" ref="AM102" si="1616">+AL102+AM101</f>
        <v>285</v>
      </c>
      <c r="AN102" s="123">
        <f t="shared" ref="AN102" si="1617">+AM102+AN101</f>
        <v>285</v>
      </c>
      <c r="AO102" s="123">
        <f t="shared" ref="AO102" si="1618">+AN102+AO101</f>
        <v>285</v>
      </c>
      <c r="AP102" s="123">
        <f t="shared" ref="AP102" si="1619">+AG102+AP101</f>
        <v>285</v>
      </c>
      <c r="AQ102" s="123">
        <f t="shared" ref="AQ102" si="1620">+AP102+AQ101</f>
        <v>285</v>
      </c>
      <c r="AR102" s="123">
        <f t="shared" ref="AR102" si="1621">+AI102+AR101</f>
        <v>285</v>
      </c>
      <c r="AS102" s="123">
        <f t="shared" ref="AS102" si="1622">+AR102+AS101</f>
        <v>285</v>
      </c>
      <c r="AT102" s="123">
        <f t="shared" ref="AT102" si="1623">+AK102+AT101</f>
        <v>285</v>
      </c>
      <c r="AU102" s="123">
        <f t="shared" ref="AU102" si="1624">+AT102+AU101</f>
        <v>285</v>
      </c>
      <c r="AV102" s="123">
        <f t="shared" ref="AV102" si="1625">+AM102+AV101</f>
        <v>285</v>
      </c>
      <c r="AW102" s="123">
        <f t="shared" ref="AW102" si="1626">+AV102+AW101</f>
        <v>285</v>
      </c>
      <c r="AX102" s="123">
        <f t="shared" ref="AX102" si="1627">+AO102+AX101</f>
        <v>285</v>
      </c>
      <c r="AY102" s="123">
        <f t="shared" ref="AY102" si="1628">+AX102+AY101</f>
        <v>285</v>
      </c>
      <c r="AZ102" s="123">
        <v>285</v>
      </c>
      <c r="BA102" s="123">
        <f t="shared" ref="BA102:BG102" si="1629">+AZ102+BA101</f>
        <v>285</v>
      </c>
      <c r="BB102" s="123">
        <f t="shared" si="1629"/>
        <v>285</v>
      </c>
      <c r="BC102" s="123">
        <f t="shared" si="1629"/>
        <v>285</v>
      </c>
      <c r="BD102" s="123">
        <f t="shared" si="1629"/>
        <v>285</v>
      </c>
      <c r="BE102" s="123">
        <f t="shared" si="1629"/>
        <v>285</v>
      </c>
      <c r="BF102" s="123">
        <f t="shared" si="1629"/>
        <v>285</v>
      </c>
      <c r="BG102" s="123">
        <f t="shared" si="1629"/>
        <v>285</v>
      </c>
      <c r="BH102" s="121"/>
      <c r="BI102" s="118"/>
      <c r="BK102" s="118"/>
    </row>
    <row r="103" spans="1:63" ht="35.25" customHeight="1" x14ac:dyDescent="0.2">
      <c r="A103" s="128">
        <f>+A101+1</f>
        <v>46</v>
      </c>
      <c r="B103" s="149" t="s">
        <v>101</v>
      </c>
      <c r="C103" s="17" t="s">
        <v>101</v>
      </c>
      <c r="D103" s="17"/>
      <c r="E103" s="124">
        <v>0</v>
      </c>
      <c r="F103" s="124">
        <v>0</v>
      </c>
      <c r="G103" s="124">
        <v>0</v>
      </c>
      <c r="H103" s="124">
        <v>0</v>
      </c>
      <c r="I103" s="124">
        <v>0</v>
      </c>
      <c r="J103" s="124">
        <v>0</v>
      </c>
      <c r="K103" s="124">
        <v>0</v>
      </c>
      <c r="L103" s="124">
        <v>0</v>
      </c>
      <c r="M103" s="124">
        <v>0</v>
      </c>
      <c r="N103" s="124">
        <v>0</v>
      </c>
      <c r="O103" s="124">
        <v>0</v>
      </c>
      <c r="P103" s="124">
        <v>0</v>
      </c>
      <c r="Q103" s="124">
        <v>0</v>
      </c>
      <c r="R103" s="124">
        <v>0</v>
      </c>
      <c r="S103" s="124">
        <v>0</v>
      </c>
      <c r="T103" s="124">
        <v>0</v>
      </c>
      <c r="U103" s="124">
        <v>0</v>
      </c>
      <c r="V103" s="124">
        <v>0</v>
      </c>
      <c r="W103" s="124">
        <v>0</v>
      </c>
      <c r="X103" s="124">
        <v>0</v>
      </c>
      <c r="Y103" s="124">
        <v>0</v>
      </c>
      <c r="Z103" s="124">
        <v>0</v>
      </c>
      <c r="AA103" s="124">
        <v>0</v>
      </c>
      <c r="AB103" s="124">
        <v>0</v>
      </c>
      <c r="AC103" s="124">
        <v>0</v>
      </c>
      <c r="AD103" s="124">
        <v>0</v>
      </c>
      <c r="AE103" s="124">
        <v>0</v>
      </c>
      <c r="AF103" s="124">
        <v>0</v>
      </c>
      <c r="AG103" s="124">
        <v>0</v>
      </c>
      <c r="AH103" s="124">
        <v>0</v>
      </c>
      <c r="AI103" s="124">
        <v>0</v>
      </c>
      <c r="AJ103" s="124">
        <v>0</v>
      </c>
      <c r="AK103" s="124">
        <v>0</v>
      </c>
      <c r="AL103" s="124">
        <v>0</v>
      </c>
      <c r="AM103" s="124">
        <v>0</v>
      </c>
      <c r="AN103" s="124">
        <v>0</v>
      </c>
      <c r="AO103" s="124">
        <v>0</v>
      </c>
      <c r="AP103" s="124">
        <v>0</v>
      </c>
      <c r="AQ103" s="124">
        <v>0</v>
      </c>
      <c r="AR103" s="124">
        <v>0</v>
      </c>
      <c r="AS103" s="124">
        <v>0</v>
      </c>
      <c r="AT103" s="124">
        <v>0</v>
      </c>
      <c r="AU103" s="124">
        <v>0</v>
      </c>
      <c r="AV103" s="124">
        <v>0</v>
      </c>
      <c r="AW103" s="124">
        <v>0</v>
      </c>
      <c r="AX103" s="124">
        <v>0</v>
      </c>
      <c r="AY103" s="124">
        <v>0</v>
      </c>
      <c r="AZ103" s="124">
        <v>0</v>
      </c>
      <c r="BA103" s="124">
        <f>+SUM(M103:T103)</f>
        <v>0</v>
      </c>
      <c r="BB103" s="124">
        <f>SUM(U103:Z103)</f>
        <v>0</v>
      </c>
      <c r="BC103" s="124">
        <f>SUM(AA103:AI103)</f>
        <v>0</v>
      </c>
      <c r="BD103" s="124">
        <f>SUM(AJ103:AO103)</f>
        <v>0</v>
      </c>
      <c r="BE103" s="124">
        <f>SUM(AP103:AY103)</f>
        <v>0</v>
      </c>
      <c r="BF103" s="124">
        <v>0</v>
      </c>
      <c r="BG103" s="124">
        <v>0</v>
      </c>
      <c r="BH103" s="148" t="s">
        <v>138</v>
      </c>
    </row>
    <row r="104" spans="1:63" ht="35.25" customHeight="1" x14ac:dyDescent="0.2">
      <c r="A104" s="16"/>
      <c r="B104" s="120"/>
      <c r="C104" s="120" t="s">
        <v>48</v>
      </c>
      <c r="D104" s="133">
        <f>E104</f>
        <v>355</v>
      </c>
      <c r="E104" s="123">
        <v>355</v>
      </c>
      <c r="F104" s="123">
        <f>+E104+F103</f>
        <v>355</v>
      </c>
      <c r="G104" s="123">
        <f>+F104+G103</f>
        <v>355</v>
      </c>
      <c r="H104" s="123">
        <f>+G104+H103</f>
        <v>355</v>
      </c>
      <c r="I104" s="123">
        <f>+H104+I103</f>
        <v>355</v>
      </c>
      <c r="J104" s="123">
        <f>+I104+J103</f>
        <v>355</v>
      </c>
      <c r="K104" s="123">
        <f t="shared" ref="K104" si="1630">+J104+K103</f>
        <v>355</v>
      </c>
      <c r="L104" s="123">
        <f t="shared" ref="L104" si="1631">+K104+L103</f>
        <v>355</v>
      </c>
      <c r="M104" s="123">
        <f t="shared" ref="M104" si="1632">+L104+M103</f>
        <v>355</v>
      </c>
      <c r="N104" s="123">
        <f t="shared" ref="N104" si="1633">+M104+N103</f>
        <v>355</v>
      </c>
      <c r="O104" s="123">
        <f t="shared" ref="O104" si="1634">+N104+O103</f>
        <v>355</v>
      </c>
      <c r="P104" s="123">
        <f t="shared" ref="P104" si="1635">+O104+P103</f>
        <v>355</v>
      </c>
      <c r="Q104" s="123">
        <f t="shared" ref="Q104" si="1636">+P104+Q103</f>
        <v>355</v>
      </c>
      <c r="R104" s="123">
        <f t="shared" ref="R104" si="1637">+Q104+R103</f>
        <v>355</v>
      </c>
      <c r="S104" s="123">
        <f>+R104+S103</f>
        <v>355</v>
      </c>
      <c r="T104" s="123">
        <f>+S104+T103</f>
        <v>355</v>
      </c>
      <c r="U104" s="123">
        <f t="shared" ref="U104" si="1638">+T104+U103</f>
        <v>355</v>
      </c>
      <c r="V104" s="123">
        <f t="shared" ref="V104" si="1639">+U104+V103</f>
        <v>355</v>
      </c>
      <c r="W104" s="123">
        <f t="shared" ref="W104" si="1640">+V104+W103</f>
        <v>355</v>
      </c>
      <c r="X104" s="123">
        <f t="shared" ref="X104" si="1641">+W104+X103</f>
        <v>355</v>
      </c>
      <c r="Y104" s="123">
        <f t="shared" ref="Y104" si="1642">+X104+Y103</f>
        <v>355</v>
      </c>
      <c r="Z104" s="123">
        <f t="shared" ref="Z104" si="1643">+Y104+Z103</f>
        <v>355</v>
      </c>
      <c r="AA104" s="123">
        <f t="shared" ref="AA104" si="1644">+Z104+AA103</f>
        <v>355</v>
      </c>
      <c r="AB104" s="123">
        <f>+AA104+AB103</f>
        <v>355</v>
      </c>
      <c r="AC104" s="123">
        <f>+AB104+AC103</f>
        <v>355</v>
      </c>
      <c r="AD104" s="123">
        <f>+AC104+AD103</f>
        <v>355</v>
      </c>
      <c r="AE104" s="123">
        <f>+AD104+AE103</f>
        <v>355</v>
      </c>
      <c r="AF104" s="123">
        <f t="shared" ref="AF104" si="1645">+AE104+AF103</f>
        <v>355</v>
      </c>
      <c r="AG104" s="123">
        <f t="shared" ref="AG104" si="1646">+AF104+AG103</f>
        <v>355</v>
      </c>
      <c r="AH104" s="123">
        <f t="shared" ref="AH104" si="1647">+AG104+AH103</f>
        <v>355</v>
      </c>
      <c r="AI104" s="123">
        <f t="shared" ref="AI104" si="1648">+AH104+AI103</f>
        <v>355</v>
      </c>
      <c r="AJ104" s="123">
        <f t="shared" ref="AJ104" si="1649">+AI104+AJ103</f>
        <v>355</v>
      </c>
      <c r="AK104" s="123">
        <f t="shared" ref="AK104" si="1650">+AJ104+AK103</f>
        <v>355</v>
      </c>
      <c r="AL104" s="123">
        <f t="shared" ref="AL104" si="1651">+AK104+AL103</f>
        <v>355</v>
      </c>
      <c r="AM104" s="123">
        <f t="shared" ref="AM104" si="1652">+AL104+AM103</f>
        <v>355</v>
      </c>
      <c r="AN104" s="123">
        <f t="shared" ref="AN104" si="1653">+AM104+AN103</f>
        <v>355</v>
      </c>
      <c r="AO104" s="123">
        <f t="shared" ref="AO104" si="1654">+AN104+AO103</f>
        <v>355</v>
      </c>
      <c r="AP104" s="123">
        <f t="shared" ref="AP104" si="1655">+AG104+AP103</f>
        <v>355</v>
      </c>
      <c r="AQ104" s="123">
        <f t="shared" ref="AQ104" si="1656">+AP104+AQ103</f>
        <v>355</v>
      </c>
      <c r="AR104" s="123">
        <f t="shared" ref="AR104" si="1657">+AI104+AR103</f>
        <v>355</v>
      </c>
      <c r="AS104" s="123">
        <f t="shared" ref="AS104" si="1658">+AR104+AS103</f>
        <v>355</v>
      </c>
      <c r="AT104" s="123">
        <f t="shared" ref="AT104" si="1659">+AK104+AT103</f>
        <v>355</v>
      </c>
      <c r="AU104" s="123">
        <f t="shared" ref="AU104" si="1660">+AT104+AU103</f>
        <v>355</v>
      </c>
      <c r="AV104" s="123">
        <f t="shared" ref="AV104" si="1661">+AM104+AV103</f>
        <v>355</v>
      </c>
      <c r="AW104" s="123">
        <f t="shared" ref="AW104" si="1662">+AV104+AW103</f>
        <v>355</v>
      </c>
      <c r="AX104" s="123">
        <f t="shared" ref="AX104" si="1663">+AO104+AX103</f>
        <v>355</v>
      </c>
      <c r="AY104" s="123">
        <f t="shared" ref="AY104" si="1664">+AX104+AY103</f>
        <v>355</v>
      </c>
      <c r="AZ104" s="123">
        <v>355</v>
      </c>
      <c r="BA104" s="123">
        <f t="shared" ref="BA104:BG104" si="1665">+AZ104+BA103</f>
        <v>355</v>
      </c>
      <c r="BB104" s="123">
        <f t="shared" si="1665"/>
        <v>355</v>
      </c>
      <c r="BC104" s="123">
        <f t="shared" si="1665"/>
        <v>355</v>
      </c>
      <c r="BD104" s="123">
        <f t="shared" si="1665"/>
        <v>355</v>
      </c>
      <c r="BE104" s="123">
        <f t="shared" si="1665"/>
        <v>355</v>
      </c>
      <c r="BF104" s="123">
        <f t="shared" si="1665"/>
        <v>355</v>
      </c>
      <c r="BG104" s="123">
        <f t="shared" si="1665"/>
        <v>355</v>
      </c>
      <c r="BH104" s="121"/>
      <c r="BI104" s="118"/>
      <c r="BK104" s="118"/>
    </row>
    <row r="105" spans="1:63" ht="35.25" customHeight="1" x14ac:dyDescent="0.2">
      <c r="A105" s="128">
        <f>+A103+1</f>
        <v>47</v>
      </c>
      <c r="B105" s="146" t="s">
        <v>102</v>
      </c>
      <c r="C105" s="17" t="s">
        <v>102</v>
      </c>
      <c r="D105" s="17"/>
      <c r="E105" s="124">
        <v>0</v>
      </c>
      <c r="F105" s="124">
        <v>0</v>
      </c>
      <c r="G105" s="124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124">
        <v>0</v>
      </c>
      <c r="N105" s="124">
        <v>0</v>
      </c>
      <c r="O105" s="124">
        <v>0</v>
      </c>
      <c r="P105" s="124">
        <v>0</v>
      </c>
      <c r="Q105" s="124">
        <v>0</v>
      </c>
      <c r="R105" s="124">
        <v>0</v>
      </c>
      <c r="S105" s="124">
        <v>0</v>
      </c>
      <c r="T105" s="124">
        <v>0</v>
      </c>
      <c r="U105" s="124">
        <v>0</v>
      </c>
      <c r="V105" s="124">
        <v>0</v>
      </c>
      <c r="W105" s="124">
        <v>0</v>
      </c>
      <c r="X105" s="124">
        <v>0</v>
      </c>
      <c r="Y105" s="124">
        <v>50</v>
      </c>
      <c r="Z105" s="124">
        <v>0</v>
      </c>
      <c r="AA105" s="124">
        <v>0</v>
      </c>
      <c r="AB105" s="124">
        <v>0</v>
      </c>
      <c r="AC105" s="124">
        <v>0</v>
      </c>
      <c r="AD105" s="124">
        <v>0</v>
      </c>
      <c r="AE105" s="124">
        <v>0</v>
      </c>
      <c r="AF105" s="124">
        <v>0</v>
      </c>
      <c r="AG105" s="124">
        <v>0</v>
      </c>
      <c r="AH105" s="124">
        <v>0</v>
      </c>
      <c r="AI105" s="124">
        <v>0</v>
      </c>
      <c r="AJ105" s="124">
        <v>0</v>
      </c>
      <c r="AK105" s="124">
        <v>0</v>
      </c>
      <c r="AL105" s="124">
        <v>0</v>
      </c>
      <c r="AM105" s="124">
        <v>0</v>
      </c>
      <c r="AN105" s="124">
        <v>0</v>
      </c>
      <c r="AO105" s="124">
        <v>0</v>
      </c>
      <c r="AP105" s="124">
        <v>0</v>
      </c>
      <c r="AQ105" s="124">
        <v>0</v>
      </c>
      <c r="AR105" s="124">
        <v>0</v>
      </c>
      <c r="AS105" s="124">
        <v>0</v>
      </c>
      <c r="AT105" s="124">
        <v>0</v>
      </c>
      <c r="AU105" s="124">
        <v>0</v>
      </c>
      <c r="AV105" s="124">
        <v>0</v>
      </c>
      <c r="AW105" s="124">
        <v>0</v>
      </c>
      <c r="AX105" s="124">
        <v>0</v>
      </c>
      <c r="AY105" s="124">
        <v>0</v>
      </c>
      <c r="AZ105" s="124">
        <v>0</v>
      </c>
      <c r="BA105" s="124">
        <f>+SUM(M105:T105)</f>
        <v>0</v>
      </c>
      <c r="BB105" s="124">
        <f>SUM(U105:Z105)</f>
        <v>50</v>
      </c>
      <c r="BC105" s="124">
        <f>SUM(AA105:AI105)</f>
        <v>0</v>
      </c>
      <c r="BD105" s="124">
        <f>SUM(AJ105:AO105)</f>
        <v>0</v>
      </c>
      <c r="BE105" s="124">
        <f>SUM(AP105:AY105)</f>
        <v>0</v>
      </c>
      <c r="BF105" s="124">
        <v>50</v>
      </c>
      <c r="BG105" s="124">
        <v>0</v>
      </c>
      <c r="BH105" s="148" t="s">
        <v>138</v>
      </c>
    </row>
    <row r="106" spans="1:63" ht="35.25" customHeight="1" x14ac:dyDescent="0.2">
      <c r="A106" s="16"/>
      <c r="B106" s="120"/>
      <c r="C106" s="120" t="s">
        <v>48</v>
      </c>
      <c r="D106" s="133">
        <f>E106</f>
        <v>805</v>
      </c>
      <c r="E106" s="123">
        <v>805</v>
      </c>
      <c r="F106" s="123">
        <f>+E106+F105</f>
        <v>805</v>
      </c>
      <c r="G106" s="123">
        <f>+F106+G105</f>
        <v>805</v>
      </c>
      <c r="H106" s="123">
        <f>+G106+H105</f>
        <v>805</v>
      </c>
      <c r="I106" s="123">
        <f>+H106+I105</f>
        <v>805</v>
      </c>
      <c r="J106" s="123">
        <f>+I106+J105</f>
        <v>805</v>
      </c>
      <c r="K106" s="123">
        <f t="shared" ref="K106" si="1666">+J106+K105</f>
        <v>805</v>
      </c>
      <c r="L106" s="123">
        <f t="shared" ref="L106" si="1667">+K106+L105</f>
        <v>805</v>
      </c>
      <c r="M106" s="123">
        <f t="shared" ref="M106" si="1668">+L106+M105</f>
        <v>805</v>
      </c>
      <c r="N106" s="123">
        <f t="shared" ref="N106" si="1669">+M106+N105</f>
        <v>805</v>
      </c>
      <c r="O106" s="123">
        <f t="shared" ref="O106" si="1670">+N106+O105</f>
        <v>805</v>
      </c>
      <c r="P106" s="123">
        <f t="shared" ref="P106" si="1671">+O106+P105</f>
        <v>805</v>
      </c>
      <c r="Q106" s="123">
        <f t="shared" ref="Q106" si="1672">+P106+Q105</f>
        <v>805</v>
      </c>
      <c r="R106" s="123">
        <f t="shared" ref="R106" si="1673">+Q106+R105</f>
        <v>805</v>
      </c>
      <c r="S106" s="123">
        <f>+R106+S105</f>
        <v>805</v>
      </c>
      <c r="T106" s="123">
        <f>+S106+T105</f>
        <v>805</v>
      </c>
      <c r="U106" s="123">
        <f t="shared" ref="U106" si="1674">+T106+U105</f>
        <v>805</v>
      </c>
      <c r="V106" s="123">
        <f t="shared" ref="V106" si="1675">+U106+V105</f>
        <v>805</v>
      </c>
      <c r="W106" s="123">
        <f t="shared" ref="W106" si="1676">+V106+W105</f>
        <v>805</v>
      </c>
      <c r="X106" s="123">
        <f t="shared" ref="X106" si="1677">+W106+X105</f>
        <v>805</v>
      </c>
      <c r="Y106" s="123">
        <f t="shared" ref="Y106" si="1678">+X106+Y105</f>
        <v>855</v>
      </c>
      <c r="Z106" s="123">
        <f t="shared" ref="Z106" si="1679">+Y106+Z105</f>
        <v>855</v>
      </c>
      <c r="AA106" s="123">
        <f t="shared" ref="AA106" si="1680">+Z106+AA105</f>
        <v>855</v>
      </c>
      <c r="AB106" s="123">
        <f>+AA106+AB105</f>
        <v>855</v>
      </c>
      <c r="AC106" s="123">
        <f>+AB106+AC105</f>
        <v>855</v>
      </c>
      <c r="AD106" s="123">
        <f>+AC106+AD105</f>
        <v>855</v>
      </c>
      <c r="AE106" s="123">
        <f>+AD106+AE105</f>
        <v>855</v>
      </c>
      <c r="AF106" s="123">
        <f t="shared" ref="AF106" si="1681">+AE106+AF105</f>
        <v>855</v>
      </c>
      <c r="AG106" s="123">
        <f t="shared" ref="AG106" si="1682">+AF106+AG105</f>
        <v>855</v>
      </c>
      <c r="AH106" s="123">
        <f t="shared" ref="AH106" si="1683">+AG106+AH105</f>
        <v>855</v>
      </c>
      <c r="AI106" s="123">
        <f t="shared" ref="AI106" si="1684">+AH106+AI105</f>
        <v>855</v>
      </c>
      <c r="AJ106" s="123">
        <f t="shared" ref="AJ106" si="1685">+AI106+AJ105</f>
        <v>855</v>
      </c>
      <c r="AK106" s="123">
        <f t="shared" ref="AK106" si="1686">+AJ106+AK105</f>
        <v>855</v>
      </c>
      <c r="AL106" s="123">
        <f t="shared" ref="AL106" si="1687">+AK106+AL105</f>
        <v>855</v>
      </c>
      <c r="AM106" s="123">
        <f t="shared" ref="AM106" si="1688">+AL106+AM105</f>
        <v>855</v>
      </c>
      <c r="AN106" s="123">
        <f t="shared" ref="AN106" si="1689">+AM106+AN105</f>
        <v>855</v>
      </c>
      <c r="AO106" s="123">
        <f t="shared" ref="AO106" si="1690">+AN106+AO105</f>
        <v>855</v>
      </c>
      <c r="AP106" s="123">
        <f t="shared" ref="AP106" si="1691">+AG106+AP105</f>
        <v>855</v>
      </c>
      <c r="AQ106" s="123">
        <f t="shared" ref="AQ106" si="1692">+AP106+AQ105</f>
        <v>855</v>
      </c>
      <c r="AR106" s="123">
        <f t="shared" ref="AR106" si="1693">+AI106+AR105</f>
        <v>855</v>
      </c>
      <c r="AS106" s="123">
        <f t="shared" ref="AS106" si="1694">+AR106+AS105</f>
        <v>855</v>
      </c>
      <c r="AT106" s="123">
        <f t="shared" ref="AT106" si="1695">+AK106+AT105</f>
        <v>855</v>
      </c>
      <c r="AU106" s="123">
        <f t="shared" ref="AU106" si="1696">+AT106+AU105</f>
        <v>855</v>
      </c>
      <c r="AV106" s="123">
        <f t="shared" ref="AV106" si="1697">+AM106+AV105</f>
        <v>855</v>
      </c>
      <c r="AW106" s="123">
        <f t="shared" ref="AW106" si="1698">+AV106+AW105</f>
        <v>855</v>
      </c>
      <c r="AX106" s="123">
        <f t="shared" ref="AX106" si="1699">+AO106+AX105</f>
        <v>855</v>
      </c>
      <c r="AY106" s="123">
        <f t="shared" ref="AY106" si="1700">+AX106+AY105</f>
        <v>855</v>
      </c>
      <c r="AZ106" s="123">
        <v>955</v>
      </c>
      <c r="BA106" s="123">
        <f t="shared" ref="BA106:BG106" si="1701">+AZ106+BA105</f>
        <v>955</v>
      </c>
      <c r="BB106" s="123">
        <f t="shared" si="1701"/>
        <v>1005</v>
      </c>
      <c r="BC106" s="123">
        <f t="shared" si="1701"/>
        <v>1005</v>
      </c>
      <c r="BD106" s="123">
        <f t="shared" si="1701"/>
        <v>1005</v>
      </c>
      <c r="BE106" s="123">
        <f t="shared" si="1701"/>
        <v>1005</v>
      </c>
      <c r="BF106" s="123">
        <f t="shared" si="1701"/>
        <v>1055</v>
      </c>
      <c r="BG106" s="123">
        <f t="shared" si="1701"/>
        <v>1055</v>
      </c>
      <c r="BH106" s="121"/>
      <c r="BI106" s="118"/>
      <c r="BK106" s="118"/>
    </row>
    <row r="107" spans="1:63" ht="35.25" customHeight="1" x14ac:dyDescent="0.2">
      <c r="A107" s="128">
        <f>+A105+1</f>
        <v>48</v>
      </c>
      <c r="B107" s="150" t="s">
        <v>103</v>
      </c>
      <c r="C107" s="17" t="s">
        <v>103</v>
      </c>
      <c r="D107" s="17"/>
      <c r="E107" s="124">
        <v>0</v>
      </c>
      <c r="F107" s="124">
        <v>0</v>
      </c>
      <c r="G107" s="124">
        <v>0</v>
      </c>
      <c r="H107" s="124">
        <v>0</v>
      </c>
      <c r="I107" s="124">
        <v>0</v>
      </c>
      <c r="J107" s="124">
        <v>0</v>
      </c>
      <c r="K107" s="124">
        <v>0</v>
      </c>
      <c r="L107" s="124">
        <v>0</v>
      </c>
      <c r="M107" s="124">
        <v>0</v>
      </c>
      <c r="N107" s="124">
        <v>0</v>
      </c>
      <c r="O107" s="124">
        <v>0</v>
      </c>
      <c r="P107" s="124">
        <v>0</v>
      </c>
      <c r="Q107" s="124">
        <v>0</v>
      </c>
      <c r="R107" s="124">
        <v>0</v>
      </c>
      <c r="S107" s="124">
        <v>0</v>
      </c>
      <c r="T107" s="124">
        <v>0</v>
      </c>
      <c r="U107" s="124">
        <v>0</v>
      </c>
      <c r="V107" s="124">
        <v>0</v>
      </c>
      <c r="W107" s="124">
        <v>0</v>
      </c>
      <c r="X107" s="124">
        <v>0</v>
      </c>
      <c r="Y107" s="124">
        <v>0</v>
      </c>
      <c r="Z107" s="124">
        <v>0</v>
      </c>
      <c r="AA107" s="124">
        <v>0</v>
      </c>
      <c r="AB107" s="124">
        <v>0</v>
      </c>
      <c r="AC107" s="124">
        <v>0</v>
      </c>
      <c r="AD107" s="124">
        <v>0</v>
      </c>
      <c r="AE107" s="124">
        <v>0</v>
      </c>
      <c r="AF107" s="124">
        <v>0</v>
      </c>
      <c r="AG107" s="124">
        <v>0</v>
      </c>
      <c r="AH107" s="124">
        <v>0</v>
      </c>
      <c r="AI107" s="124">
        <v>0</v>
      </c>
      <c r="AJ107" s="124">
        <v>50</v>
      </c>
      <c r="AK107" s="124">
        <v>0</v>
      </c>
      <c r="AL107" s="124">
        <v>0</v>
      </c>
      <c r="AM107" s="124">
        <v>0</v>
      </c>
      <c r="AN107" s="124">
        <v>0</v>
      </c>
      <c r="AO107" s="124">
        <v>0</v>
      </c>
      <c r="AP107" s="124">
        <v>0</v>
      </c>
      <c r="AQ107" s="124">
        <v>0</v>
      </c>
      <c r="AR107" s="124">
        <v>0</v>
      </c>
      <c r="AS107" s="124">
        <v>0</v>
      </c>
      <c r="AT107" s="124">
        <v>0</v>
      </c>
      <c r="AU107" s="124">
        <v>0</v>
      </c>
      <c r="AV107" s="124">
        <v>0</v>
      </c>
      <c r="AW107" s="124">
        <v>0</v>
      </c>
      <c r="AX107" s="124">
        <v>0</v>
      </c>
      <c r="AY107" s="124">
        <v>0</v>
      </c>
      <c r="AZ107" s="124">
        <v>0</v>
      </c>
      <c r="BA107" s="124">
        <f>+SUM(M107:T107)</f>
        <v>0</v>
      </c>
      <c r="BB107" s="124">
        <f>SUM(U107:Z107)</f>
        <v>0</v>
      </c>
      <c r="BC107" s="124">
        <f>SUM(AA107:AI107)</f>
        <v>0</v>
      </c>
      <c r="BD107" s="124">
        <f>SUM(AJ107:AO107)</f>
        <v>50</v>
      </c>
      <c r="BE107" s="124">
        <f>SUM(AP107:AY107)</f>
        <v>0</v>
      </c>
      <c r="BF107" s="124">
        <v>0</v>
      </c>
      <c r="BG107" s="124">
        <v>0</v>
      </c>
      <c r="BH107" s="148" t="s">
        <v>138</v>
      </c>
    </row>
    <row r="108" spans="1:63" ht="35.25" customHeight="1" x14ac:dyDescent="0.2">
      <c r="A108" s="16"/>
      <c r="B108" s="120"/>
      <c r="C108" s="120" t="s">
        <v>48</v>
      </c>
      <c r="D108" s="133">
        <f>E108</f>
        <v>805</v>
      </c>
      <c r="E108" s="123">
        <v>805</v>
      </c>
      <c r="F108" s="123">
        <f>+E108+F107</f>
        <v>805</v>
      </c>
      <c r="G108" s="123">
        <f>+F108+G107</f>
        <v>805</v>
      </c>
      <c r="H108" s="123">
        <f>+G108+H107</f>
        <v>805</v>
      </c>
      <c r="I108" s="123">
        <f>+H108+I107</f>
        <v>805</v>
      </c>
      <c r="J108" s="123">
        <f>+I108+J107</f>
        <v>805</v>
      </c>
      <c r="K108" s="123">
        <f t="shared" ref="K108" si="1702">+J108+K107</f>
        <v>805</v>
      </c>
      <c r="L108" s="123">
        <f t="shared" ref="L108" si="1703">+K108+L107</f>
        <v>805</v>
      </c>
      <c r="M108" s="123">
        <f t="shared" ref="M108" si="1704">+L108+M107</f>
        <v>805</v>
      </c>
      <c r="N108" s="123">
        <f t="shared" ref="N108" si="1705">+M108+N107</f>
        <v>805</v>
      </c>
      <c r="O108" s="123">
        <f t="shared" ref="O108" si="1706">+N108+O107</f>
        <v>805</v>
      </c>
      <c r="P108" s="123">
        <f t="shared" ref="P108" si="1707">+O108+P107</f>
        <v>805</v>
      </c>
      <c r="Q108" s="123">
        <f t="shared" ref="Q108" si="1708">+P108+Q107</f>
        <v>805</v>
      </c>
      <c r="R108" s="123">
        <f t="shared" ref="R108" si="1709">+Q108+R107</f>
        <v>805</v>
      </c>
      <c r="S108" s="123">
        <f>+R108+S107</f>
        <v>805</v>
      </c>
      <c r="T108" s="123">
        <f>+S108+T107</f>
        <v>805</v>
      </c>
      <c r="U108" s="123">
        <f t="shared" ref="U108" si="1710">+T108+U107</f>
        <v>805</v>
      </c>
      <c r="V108" s="123">
        <f t="shared" ref="V108" si="1711">+U108+V107</f>
        <v>805</v>
      </c>
      <c r="W108" s="123">
        <f t="shared" ref="W108" si="1712">+V108+W107</f>
        <v>805</v>
      </c>
      <c r="X108" s="123">
        <f t="shared" ref="X108" si="1713">+W108+X107</f>
        <v>805</v>
      </c>
      <c r="Y108" s="123">
        <f t="shared" ref="Y108" si="1714">+X108+Y107</f>
        <v>805</v>
      </c>
      <c r="Z108" s="123">
        <f t="shared" ref="Z108" si="1715">+Y108+Z107</f>
        <v>805</v>
      </c>
      <c r="AA108" s="123">
        <f t="shared" ref="AA108" si="1716">+Z108+AA107</f>
        <v>805</v>
      </c>
      <c r="AB108" s="123">
        <f>+AA108+AB107</f>
        <v>805</v>
      </c>
      <c r="AC108" s="123">
        <f>+AB108+AC107</f>
        <v>805</v>
      </c>
      <c r="AD108" s="123">
        <f>+AC108+AD107</f>
        <v>805</v>
      </c>
      <c r="AE108" s="123">
        <f>+AD108+AE107</f>
        <v>805</v>
      </c>
      <c r="AF108" s="123">
        <f t="shared" ref="AF108" si="1717">+AE108+AF107</f>
        <v>805</v>
      </c>
      <c r="AG108" s="123">
        <f t="shared" ref="AG108" si="1718">+AF108+AG107</f>
        <v>805</v>
      </c>
      <c r="AH108" s="123">
        <f t="shared" ref="AH108" si="1719">+AG108+AH107</f>
        <v>805</v>
      </c>
      <c r="AI108" s="123">
        <f t="shared" ref="AI108" si="1720">+AH108+AI107</f>
        <v>805</v>
      </c>
      <c r="AJ108" s="123">
        <f t="shared" ref="AJ108" si="1721">+AI108+AJ107</f>
        <v>855</v>
      </c>
      <c r="AK108" s="123">
        <f t="shared" ref="AK108" si="1722">+AJ108+AK107</f>
        <v>855</v>
      </c>
      <c r="AL108" s="123">
        <f t="shared" ref="AL108" si="1723">+AK108+AL107</f>
        <v>855</v>
      </c>
      <c r="AM108" s="123">
        <f t="shared" ref="AM108" si="1724">+AL108+AM107</f>
        <v>855</v>
      </c>
      <c r="AN108" s="123">
        <f t="shared" ref="AN108" si="1725">+AM108+AN107</f>
        <v>855</v>
      </c>
      <c r="AO108" s="123">
        <f t="shared" ref="AO108" si="1726">+AN108+AO107</f>
        <v>855</v>
      </c>
      <c r="AP108" s="123">
        <f t="shared" ref="AP108" si="1727">+AG108+AP107</f>
        <v>805</v>
      </c>
      <c r="AQ108" s="123">
        <f t="shared" ref="AQ108" si="1728">+AP108+AQ107</f>
        <v>805</v>
      </c>
      <c r="AR108" s="123">
        <f t="shared" ref="AR108" si="1729">+AI108+AR107</f>
        <v>805</v>
      </c>
      <c r="AS108" s="123">
        <f t="shared" ref="AS108" si="1730">+AR108+AS107</f>
        <v>805</v>
      </c>
      <c r="AT108" s="123">
        <f t="shared" ref="AT108" si="1731">+AK108+AT107</f>
        <v>855</v>
      </c>
      <c r="AU108" s="123">
        <f t="shared" ref="AU108" si="1732">+AT108+AU107</f>
        <v>855</v>
      </c>
      <c r="AV108" s="123">
        <f t="shared" ref="AV108" si="1733">+AM108+AV107</f>
        <v>855</v>
      </c>
      <c r="AW108" s="123">
        <f t="shared" ref="AW108" si="1734">+AV108+AW107</f>
        <v>855</v>
      </c>
      <c r="AX108" s="123">
        <f t="shared" ref="AX108" si="1735">+AO108+AX107</f>
        <v>855</v>
      </c>
      <c r="AY108" s="123">
        <f t="shared" ref="AY108" si="1736">+AX108+AY107</f>
        <v>855</v>
      </c>
      <c r="AZ108" s="123">
        <v>955</v>
      </c>
      <c r="BA108" s="123">
        <f t="shared" ref="BA108:BG108" si="1737">+AZ108+BA107</f>
        <v>955</v>
      </c>
      <c r="BB108" s="123">
        <f t="shared" si="1737"/>
        <v>955</v>
      </c>
      <c r="BC108" s="123">
        <f t="shared" si="1737"/>
        <v>955</v>
      </c>
      <c r="BD108" s="123">
        <f t="shared" si="1737"/>
        <v>1005</v>
      </c>
      <c r="BE108" s="123">
        <f t="shared" si="1737"/>
        <v>1005</v>
      </c>
      <c r="BF108" s="123">
        <f t="shared" si="1737"/>
        <v>1005</v>
      </c>
      <c r="BG108" s="123">
        <f t="shared" si="1737"/>
        <v>1005</v>
      </c>
      <c r="BH108" s="121"/>
      <c r="BI108" s="118"/>
      <c r="BK108" s="118"/>
    </row>
    <row r="109" spans="1:63" ht="35.25" customHeight="1" x14ac:dyDescent="0.2">
      <c r="A109" s="128">
        <f>+A107+1</f>
        <v>49</v>
      </c>
      <c r="B109" s="147" t="s">
        <v>104</v>
      </c>
      <c r="C109" s="17" t="s">
        <v>104</v>
      </c>
      <c r="D109" s="17"/>
      <c r="E109" s="124">
        <v>0</v>
      </c>
      <c r="F109" s="124">
        <v>0</v>
      </c>
      <c r="G109" s="124">
        <v>0</v>
      </c>
      <c r="H109" s="124">
        <v>0</v>
      </c>
      <c r="I109" s="124">
        <v>0</v>
      </c>
      <c r="J109" s="124">
        <v>0</v>
      </c>
      <c r="K109" s="124">
        <v>0</v>
      </c>
      <c r="L109" s="124">
        <v>0</v>
      </c>
      <c r="M109" s="124">
        <v>0</v>
      </c>
      <c r="N109" s="124">
        <v>0</v>
      </c>
      <c r="O109" s="124">
        <v>40</v>
      </c>
      <c r="P109" s="124">
        <v>0</v>
      </c>
      <c r="Q109" s="124">
        <v>0</v>
      </c>
      <c r="R109" s="124">
        <v>0</v>
      </c>
      <c r="S109" s="124">
        <v>0</v>
      </c>
      <c r="T109" s="124">
        <v>0</v>
      </c>
      <c r="U109" s="185">
        <v>0</v>
      </c>
      <c r="V109" s="124">
        <v>0</v>
      </c>
      <c r="W109" s="124">
        <v>0</v>
      </c>
      <c r="X109" s="124">
        <v>0</v>
      </c>
      <c r="Y109" s="124">
        <v>0</v>
      </c>
      <c r="Z109" s="124">
        <v>0</v>
      </c>
      <c r="AA109" s="124">
        <v>0</v>
      </c>
      <c r="AB109" s="124">
        <v>0</v>
      </c>
      <c r="AC109" s="124">
        <v>0</v>
      </c>
      <c r="AD109" s="124">
        <v>0</v>
      </c>
      <c r="AE109" s="124">
        <v>0</v>
      </c>
      <c r="AF109" s="124">
        <v>0</v>
      </c>
      <c r="AG109" s="124">
        <v>0</v>
      </c>
      <c r="AH109" s="124">
        <v>0</v>
      </c>
      <c r="AI109" s="124">
        <v>0</v>
      </c>
      <c r="AJ109" s="124">
        <v>0</v>
      </c>
      <c r="AK109" s="124">
        <v>0</v>
      </c>
      <c r="AL109" s="124">
        <v>0</v>
      </c>
      <c r="AM109" s="124">
        <v>0</v>
      </c>
      <c r="AN109" s="124">
        <v>0</v>
      </c>
      <c r="AO109" s="124">
        <v>0</v>
      </c>
      <c r="AP109" s="124">
        <v>0</v>
      </c>
      <c r="AQ109" s="124">
        <v>0</v>
      </c>
      <c r="AR109" s="124">
        <v>0</v>
      </c>
      <c r="AS109" s="124">
        <v>0</v>
      </c>
      <c r="AT109" s="124">
        <v>0</v>
      </c>
      <c r="AU109" s="124">
        <v>0</v>
      </c>
      <c r="AV109" s="124">
        <v>0</v>
      </c>
      <c r="AW109" s="124">
        <v>0</v>
      </c>
      <c r="AX109" s="124">
        <v>0</v>
      </c>
      <c r="AY109" s="124">
        <v>0</v>
      </c>
      <c r="AZ109" s="124">
        <v>0</v>
      </c>
      <c r="BA109" s="124">
        <f>+SUM(M109:T109)</f>
        <v>40</v>
      </c>
      <c r="BB109" s="124">
        <f>SUM(U109:Z109)</f>
        <v>0</v>
      </c>
      <c r="BC109" s="124">
        <f>SUM(AA109:AI109)</f>
        <v>0</v>
      </c>
      <c r="BD109" s="124">
        <f>SUM(AJ109:AO109)</f>
        <v>0</v>
      </c>
      <c r="BE109" s="124">
        <f>SUM(AP109:AY109)</f>
        <v>0</v>
      </c>
      <c r="BF109" s="124">
        <v>0</v>
      </c>
      <c r="BG109" s="124">
        <v>0</v>
      </c>
      <c r="BH109" s="148" t="s">
        <v>138</v>
      </c>
    </row>
    <row r="110" spans="1:63" ht="35.25" customHeight="1" x14ac:dyDescent="0.2">
      <c r="A110" s="16"/>
      <c r="B110" s="120"/>
      <c r="C110" s="120" t="s">
        <v>48</v>
      </c>
      <c r="D110" s="133">
        <f>E110</f>
        <v>205</v>
      </c>
      <c r="E110" s="123">
        <v>205</v>
      </c>
      <c r="F110" s="123">
        <f>+E110+F109</f>
        <v>205</v>
      </c>
      <c r="G110" s="123">
        <f>+F110+G109</f>
        <v>205</v>
      </c>
      <c r="H110" s="123">
        <f>+G110+H109</f>
        <v>205</v>
      </c>
      <c r="I110" s="123">
        <f>+H110+I109</f>
        <v>205</v>
      </c>
      <c r="J110" s="123">
        <f>+I110+J109</f>
        <v>205</v>
      </c>
      <c r="K110" s="123">
        <f t="shared" ref="K110" si="1738">+J110+K109</f>
        <v>205</v>
      </c>
      <c r="L110" s="123">
        <f t="shared" ref="L110" si="1739">+K110+L109</f>
        <v>205</v>
      </c>
      <c r="M110" s="123">
        <f t="shared" ref="M110" si="1740">+L110+M109</f>
        <v>205</v>
      </c>
      <c r="N110" s="123">
        <f t="shared" ref="N110" si="1741">+M110+N109</f>
        <v>205</v>
      </c>
      <c r="O110" s="123">
        <f t="shared" ref="O110" si="1742">+N110+O109</f>
        <v>245</v>
      </c>
      <c r="P110" s="123">
        <f t="shared" ref="P110" si="1743">+O110+P109</f>
        <v>245</v>
      </c>
      <c r="Q110" s="123">
        <f t="shared" ref="Q110" si="1744">+P110+Q109</f>
        <v>245</v>
      </c>
      <c r="R110" s="123">
        <f t="shared" ref="R110" si="1745">+Q110+R109</f>
        <v>245</v>
      </c>
      <c r="S110" s="123">
        <f>+R110+S109</f>
        <v>245</v>
      </c>
      <c r="T110" s="123">
        <f>+S110+T109</f>
        <v>245</v>
      </c>
      <c r="U110" s="123">
        <f t="shared" ref="U110" si="1746">+T110+U109</f>
        <v>245</v>
      </c>
      <c r="V110" s="123">
        <f t="shared" ref="V110" si="1747">+U110+V109</f>
        <v>245</v>
      </c>
      <c r="W110" s="123">
        <f t="shared" ref="W110" si="1748">+V110+W109</f>
        <v>245</v>
      </c>
      <c r="X110" s="123">
        <f t="shared" ref="X110" si="1749">+W110+X109</f>
        <v>245</v>
      </c>
      <c r="Y110" s="123">
        <f t="shared" ref="Y110" si="1750">+X110+Y109</f>
        <v>245</v>
      </c>
      <c r="Z110" s="123">
        <f t="shared" ref="Z110" si="1751">+Y110+Z109</f>
        <v>245</v>
      </c>
      <c r="AA110" s="123">
        <f t="shared" ref="AA110" si="1752">+Z110+AA109</f>
        <v>245</v>
      </c>
      <c r="AB110" s="123">
        <f>+AA110+AB109</f>
        <v>245</v>
      </c>
      <c r="AC110" s="123">
        <f>+AB110+AC109</f>
        <v>245</v>
      </c>
      <c r="AD110" s="123">
        <f>+AC110+AD109</f>
        <v>245</v>
      </c>
      <c r="AE110" s="123">
        <f>+AD110+AE109</f>
        <v>245</v>
      </c>
      <c r="AF110" s="123">
        <f t="shared" ref="AF110" si="1753">+AE110+AF109</f>
        <v>245</v>
      </c>
      <c r="AG110" s="123">
        <f t="shared" ref="AG110" si="1754">+AF110+AG109</f>
        <v>245</v>
      </c>
      <c r="AH110" s="123">
        <f t="shared" ref="AH110" si="1755">+AG110+AH109</f>
        <v>245</v>
      </c>
      <c r="AI110" s="123">
        <f t="shared" ref="AI110" si="1756">+AH110+AI109</f>
        <v>245</v>
      </c>
      <c r="AJ110" s="123">
        <f t="shared" ref="AJ110" si="1757">+AI110+AJ109</f>
        <v>245</v>
      </c>
      <c r="AK110" s="123">
        <f t="shared" ref="AK110" si="1758">+AJ110+AK109</f>
        <v>245</v>
      </c>
      <c r="AL110" s="123">
        <f t="shared" ref="AL110" si="1759">+AK110+AL109</f>
        <v>245</v>
      </c>
      <c r="AM110" s="123">
        <f t="shared" ref="AM110" si="1760">+AL110+AM109</f>
        <v>245</v>
      </c>
      <c r="AN110" s="123">
        <f t="shared" ref="AN110" si="1761">+AM110+AN109</f>
        <v>245</v>
      </c>
      <c r="AO110" s="123">
        <f t="shared" ref="AO110" si="1762">+AN110+AO109</f>
        <v>245</v>
      </c>
      <c r="AP110" s="123">
        <f t="shared" ref="AP110" si="1763">+AG110+AP109</f>
        <v>245</v>
      </c>
      <c r="AQ110" s="123">
        <f t="shared" ref="AQ110" si="1764">+AP110+AQ109</f>
        <v>245</v>
      </c>
      <c r="AR110" s="123">
        <f t="shared" ref="AR110" si="1765">+AI110+AR109</f>
        <v>245</v>
      </c>
      <c r="AS110" s="123">
        <f t="shared" ref="AS110" si="1766">+AR110+AS109</f>
        <v>245</v>
      </c>
      <c r="AT110" s="123">
        <f t="shared" ref="AT110" si="1767">+AK110+AT109</f>
        <v>245</v>
      </c>
      <c r="AU110" s="123">
        <f t="shared" ref="AU110" si="1768">+AT110+AU109</f>
        <v>245</v>
      </c>
      <c r="AV110" s="123">
        <f t="shared" ref="AV110" si="1769">+AM110+AV109</f>
        <v>245</v>
      </c>
      <c r="AW110" s="123">
        <f t="shared" ref="AW110" si="1770">+AV110+AW109</f>
        <v>245</v>
      </c>
      <c r="AX110" s="123">
        <f t="shared" ref="AX110" si="1771">+AO110+AX109</f>
        <v>245</v>
      </c>
      <c r="AY110" s="123">
        <f t="shared" ref="AY110" si="1772">+AX110+AY109</f>
        <v>245</v>
      </c>
      <c r="AZ110" s="123">
        <v>285</v>
      </c>
      <c r="BA110" s="123">
        <f t="shared" ref="BA110:BG110" si="1773">+AZ110+BA109</f>
        <v>325</v>
      </c>
      <c r="BB110" s="123">
        <f t="shared" si="1773"/>
        <v>325</v>
      </c>
      <c r="BC110" s="123">
        <f t="shared" si="1773"/>
        <v>325</v>
      </c>
      <c r="BD110" s="123">
        <f t="shared" si="1773"/>
        <v>325</v>
      </c>
      <c r="BE110" s="123">
        <f t="shared" si="1773"/>
        <v>325</v>
      </c>
      <c r="BF110" s="123">
        <f t="shared" si="1773"/>
        <v>325</v>
      </c>
      <c r="BG110" s="123">
        <f t="shared" si="1773"/>
        <v>325</v>
      </c>
      <c r="BH110" s="121"/>
      <c r="BI110" s="118"/>
      <c r="BK110" s="118"/>
    </row>
    <row r="111" spans="1:63" ht="35.25" customHeight="1" x14ac:dyDescent="0.2">
      <c r="A111" s="128">
        <f>+A109+1</f>
        <v>50</v>
      </c>
      <c r="B111" s="17" t="s">
        <v>105</v>
      </c>
      <c r="C111" s="17" t="s">
        <v>105</v>
      </c>
      <c r="D111" s="17"/>
      <c r="E111" s="124">
        <v>0</v>
      </c>
      <c r="F111" s="124">
        <v>0</v>
      </c>
      <c r="G111" s="124">
        <v>0</v>
      </c>
      <c r="H111" s="124">
        <v>0</v>
      </c>
      <c r="I111" s="124">
        <v>0</v>
      </c>
      <c r="J111" s="124">
        <v>0</v>
      </c>
      <c r="K111" s="124">
        <v>0</v>
      </c>
      <c r="L111" s="124">
        <v>0</v>
      </c>
      <c r="M111" s="124">
        <v>40</v>
      </c>
      <c r="N111" s="124">
        <v>0</v>
      </c>
      <c r="O111" s="124">
        <v>0</v>
      </c>
      <c r="P111" s="124">
        <v>0</v>
      </c>
      <c r="Q111" s="124">
        <v>0</v>
      </c>
      <c r="R111" s="124">
        <v>0</v>
      </c>
      <c r="S111" s="124">
        <v>0</v>
      </c>
      <c r="T111" s="124">
        <v>0</v>
      </c>
      <c r="U111" s="124">
        <v>0</v>
      </c>
      <c r="V111" s="124">
        <v>0</v>
      </c>
      <c r="W111" s="124">
        <v>0</v>
      </c>
      <c r="X111" s="124">
        <v>0</v>
      </c>
      <c r="Y111" s="124">
        <v>0</v>
      </c>
      <c r="Z111" s="124">
        <v>20</v>
      </c>
      <c r="AA111" s="124">
        <v>0</v>
      </c>
      <c r="AB111" s="124">
        <v>0</v>
      </c>
      <c r="AC111" s="124">
        <v>20</v>
      </c>
      <c r="AD111" s="124">
        <v>0</v>
      </c>
      <c r="AE111" s="124">
        <v>20</v>
      </c>
      <c r="AF111" s="124">
        <v>0</v>
      </c>
      <c r="AG111" s="124">
        <v>0</v>
      </c>
      <c r="AH111" s="124">
        <v>0</v>
      </c>
      <c r="AI111" s="124">
        <v>20</v>
      </c>
      <c r="AJ111" s="124">
        <v>0</v>
      </c>
      <c r="AK111" s="124">
        <v>0</v>
      </c>
      <c r="AL111" s="124">
        <v>0</v>
      </c>
      <c r="AM111" s="124">
        <v>0</v>
      </c>
      <c r="AN111" s="124">
        <v>0</v>
      </c>
      <c r="AO111" s="124">
        <v>0</v>
      </c>
      <c r="AP111" s="124">
        <v>20</v>
      </c>
      <c r="AQ111" s="124">
        <v>0</v>
      </c>
      <c r="AR111" s="124">
        <v>0</v>
      </c>
      <c r="AS111" s="124">
        <v>0</v>
      </c>
      <c r="AT111" s="124">
        <v>0</v>
      </c>
      <c r="AU111" s="124">
        <v>0</v>
      </c>
      <c r="AV111" s="124">
        <v>20</v>
      </c>
      <c r="AW111" s="124">
        <v>0</v>
      </c>
      <c r="AX111" s="124">
        <v>0</v>
      </c>
      <c r="AY111" s="124">
        <v>0</v>
      </c>
      <c r="AZ111" s="124">
        <v>0</v>
      </c>
      <c r="BA111" s="124">
        <f>+SUM(M111:T111)</f>
        <v>40</v>
      </c>
      <c r="BB111" s="124">
        <f>SUM(U111:Z111)</f>
        <v>20</v>
      </c>
      <c r="BC111" s="124">
        <f>SUM(AA111:AI111)</f>
        <v>60</v>
      </c>
      <c r="BD111" s="124">
        <f>SUM(AJ111:AO111)</f>
        <v>0</v>
      </c>
      <c r="BE111" s="124">
        <f>SUM(AP111:AY111)</f>
        <v>40</v>
      </c>
      <c r="BF111" s="124">
        <v>20</v>
      </c>
      <c r="BG111" s="124">
        <v>0</v>
      </c>
      <c r="BH111" s="148" t="s">
        <v>138</v>
      </c>
    </row>
    <row r="112" spans="1:63" ht="35.25" customHeight="1" x14ac:dyDescent="0.2">
      <c r="A112" s="16"/>
      <c r="B112" s="120"/>
      <c r="C112" s="120" t="s">
        <v>48</v>
      </c>
      <c r="D112" s="133">
        <f>E112</f>
        <v>705</v>
      </c>
      <c r="E112" s="123">
        <v>705</v>
      </c>
      <c r="F112" s="123">
        <f>+E112+F111</f>
        <v>705</v>
      </c>
      <c r="G112" s="123">
        <f>+F112+G111</f>
        <v>705</v>
      </c>
      <c r="H112" s="123">
        <f>+G112+H111</f>
        <v>705</v>
      </c>
      <c r="I112" s="123">
        <f>+H112+I111</f>
        <v>705</v>
      </c>
      <c r="J112" s="123">
        <f>+I112+J111</f>
        <v>705</v>
      </c>
      <c r="K112" s="123">
        <f t="shared" ref="K112" si="1774">+J112+K111</f>
        <v>705</v>
      </c>
      <c r="L112" s="123">
        <f t="shared" ref="L112" si="1775">+K112+L111</f>
        <v>705</v>
      </c>
      <c r="M112" s="123">
        <f t="shared" ref="M112" si="1776">+L112+M111</f>
        <v>745</v>
      </c>
      <c r="N112" s="123">
        <f t="shared" ref="N112" si="1777">+M112+N111</f>
        <v>745</v>
      </c>
      <c r="O112" s="123">
        <f t="shared" ref="O112" si="1778">+N112+O111</f>
        <v>745</v>
      </c>
      <c r="P112" s="123">
        <f t="shared" ref="P112" si="1779">+O112+P111</f>
        <v>745</v>
      </c>
      <c r="Q112" s="123">
        <f t="shared" ref="Q112" si="1780">+P112+Q111</f>
        <v>745</v>
      </c>
      <c r="R112" s="123">
        <f t="shared" ref="R112" si="1781">+Q112+R111</f>
        <v>745</v>
      </c>
      <c r="S112" s="123">
        <f>+R112+S111</f>
        <v>745</v>
      </c>
      <c r="T112" s="123">
        <f>+S112+T111</f>
        <v>745</v>
      </c>
      <c r="U112" s="123">
        <f t="shared" ref="U112" si="1782">+T112+U111</f>
        <v>745</v>
      </c>
      <c r="V112" s="123">
        <f t="shared" ref="V112" si="1783">+U112+V111</f>
        <v>745</v>
      </c>
      <c r="W112" s="123">
        <f t="shared" ref="W112" si="1784">+V112+W111</f>
        <v>745</v>
      </c>
      <c r="X112" s="123">
        <f t="shared" ref="X112" si="1785">+W112+X111</f>
        <v>745</v>
      </c>
      <c r="Y112" s="123">
        <f t="shared" ref="Y112" si="1786">+X112+Y111</f>
        <v>745</v>
      </c>
      <c r="Z112" s="123">
        <f t="shared" ref="Z112" si="1787">+Y112+Z111</f>
        <v>765</v>
      </c>
      <c r="AA112" s="123">
        <f t="shared" ref="AA112" si="1788">+Z112+AA111</f>
        <v>765</v>
      </c>
      <c r="AB112" s="123">
        <f>+AA112+AB111</f>
        <v>765</v>
      </c>
      <c r="AC112" s="123">
        <f>+AB112+AC111</f>
        <v>785</v>
      </c>
      <c r="AD112" s="123">
        <f>+AC112+AD111</f>
        <v>785</v>
      </c>
      <c r="AE112" s="123">
        <f>+AD112+AE111</f>
        <v>805</v>
      </c>
      <c r="AF112" s="123">
        <f t="shared" ref="AF112" si="1789">+AE112+AF111</f>
        <v>805</v>
      </c>
      <c r="AG112" s="123">
        <f t="shared" ref="AG112" si="1790">+AF112+AG111</f>
        <v>805</v>
      </c>
      <c r="AH112" s="123">
        <f t="shared" ref="AH112" si="1791">+AG112+AH111</f>
        <v>805</v>
      </c>
      <c r="AI112" s="123">
        <f t="shared" ref="AI112" si="1792">+AH112+AI111</f>
        <v>825</v>
      </c>
      <c r="AJ112" s="123">
        <f t="shared" ref="AJ112" si="1793">+AI112+AJ111</f>
        <v>825</v>
      </c>
      <c r="AK112" s="123">
        <f t="shared" ref="AK112" si="1794">+AJ112+AK111</f>
        <v>825</v>
      </c>
      <c r="AL112" s="123">
        <f t="shared" ref="AL112" si="1795">+AK112+AL111</f>
        <v>825</v>
      </c>
      <c r="AM112" s="123">
        <f t="shared" ref="AM112" si="1796">+AL112+AM111</f>
        <v>825</v>
      </c>
      <c r="AN112" s="123">
        <f t="shared" ref="AN112" si="1797">+AM112+AN111</f>
        <v>825</v>
      </c>
      <c r="AO112" s="123">
        <f t="shared" ref="AO112" si="1798">+AN112+AO111</f>
        <v>825</v>
      </c>
      <c r="AP112" s="123">
        <f t="shared" ref="AP112" si="1799">+AG112+AP111</f>
        <v>825</v>
      </c>
      <c r="AQ112" s="123">
        <f t="shared" ref="AQ112" si="1800">+AP112+AQ111</f>
        <v>825</v>
      </c>
      <c r="AR112" s="123">
        <f t="shared" ref="AR112" si="1801">+AI112+AR111</f>
        <v>825</v>
      </c>
      <c r="AS112" s="123">
        <f t="shared" ref="AS112" si="1802">+AR112+AS111</f>
        <v>825</v>
      </c>
      <c r="AT112" s="123">
        <f t="shared" ref="AT112" si="1803">+AK112+AT111</f>
        <v>825</v>
      </c>
      <c r="AU112" s="123">
        <f t="shared" ref="AU112" si="1804">+AT112+AU111</f>
        <v>825</v>
      </c>
      <c r="AV112" s="123">
        <f t="shared" ref="AV112" si="1805">+AM112+AV111</f>
        <v>845</v>
      </c>
      <c r="AW112" s="123">
        <f t="shared" ref="AW112" si="1806">+AV112+AW111</f>
        <v>845</v>
      </c>
      <c r="AX112" s="123">
        <f t="shared" ref="AX112" si="1807">+AO112+AX111</f>
        <v>825</v>
      </c>
      <c r="AY112" s="123">
        <f t="shared" ref="AY112" si="1808">+AX112+AY111</f>
        <v>825</v>
      </c>
      <c r="AZ112" s="123">
        <v>1005</v>
      </c>
      <c r="BA112" s="123">
        <f t="shared" ref="BA112:BG112" si="1809">+AZ112+BA111</f>
        <v>1045</v>
      </c>
      <c r="BB112" s="123">
        <f t="shared" si="1809"/>
        <v>1065</v>
      </c>
      <c r="BC112" s="123">
        <f t="shared" si="1809"/>
        <v>1125</v>
      </c>
      <c r="BD112" s="123">
        <f t="shared" si="1809"/>
        <v>1125</v>
      </c>
      <c r="BE112" s="123">
        <f t="shared" si="1809"/>
        <v>1165</v>
      </c>
      <c r="BF112" s="123">
        <f t="shared" si="1809"/>
        <v>1185</v>
      </c>
      <c r="BG112" s="123">
        <f t="shared" si="1809"/>
        <v>1185</v>
      </c>
      <c r="BH112" s="121"/>
      <c r="BI112" s="118"/>
      <c r="BK112" s="118"/>
    </row>
    <row r="113" spans="1:63" ht="35.25" customHeight="1" x14ac:dyDescent="0.2">
      <c r="A113" s="128">
        <f>+A111+1</f>
        <v>51</v>
      </c>
      <c r="B113" s="17" t="s">
        <v>110</v>
      </c>
      <c r="C113" s="17" t="s">
        <v>110</v>
      </c>
      <c r="D113" s="17"/>
      <c r="E113" s="124">
        <v>120</v>
      </c>
      <c r="F113" s="124">
        <v>120</v>
      </c>
      <c r="G113" s="124">
        <v>60</v>
      </c>
      <c r="H113" s="168">
        <f>180+240</f>
        <v>420</v>
      </c>
      <c r="I113" s="124">
        <v>480</v>
      </c>
      <c r="J113" s="124">
        <v>420</v>
      </c>
      <c r="K113" s="124">
        <v>300</v>
      </c>
      <c r="L113" s="124">
        <v>240</v>
      </c>
      <c r="M113" s="124">
        <v>240</v>
      </c>
      <c r="N113" s="124">
        <v>300</v>
      </c>
      <c r="O113" s="124">
        <v>720</v>
      </c>
      <c r="P113" s="124">
        <v>420</v>
      </c>
      <c r="Q113" s="124">
        <v>540</v>
      </c>
      <c r="R113" s="124">
        <v>360</v>
      </c>
      <c r="S113" s="124">
        <v>0</v>
      </c>
      <c r="T113" s="124">
        <v>360</v>
      </c>
      <c r="U113" s="124">
        <v>540</v>
      </c>
      <c r="V113" s="124">
        <v>480</v>
      </c>
      <c r="W113" s="124">
        <v>960</v>
      </c>
      <c r="X113" s="124">
        <v>600</v>
      </c>
      <c r="Y113" s="124">
        <v>720</v>
      </c>
      <c r="Z113" s="124">
        <v>600</v>
      </c>
      <c r="AA113" s="124">
        <v>0</v>
      </c>
      <c r="AB113" s="124">
        <v>0</v>
      </c>
      <c r="AC113" s="124">
        <v>0</v>
      </c>
      <c r="AD113" s="124">
        <v>180</v>
      </c>
      <c r="AE113" s="124">
        <v>360</v>
      </c>
      <c r="AF113" s="124">
        <v>480</v>
      </c>
      <c r="AG113" s="124">
        <v>300</v>
      </c>
      <c r="AH113" s="124">
        <v>540</v>
      </c>
      <c r="AI113" s="124">
        <v>360</v>
      </c>
      <c r="AJ113" s="124">
        <v>540</v>
      </c>
      <c r="AK113" s="124">
        <v>360</v>
      </c>
      <c r="AL113" s="124">
        <v>540</v>
      </c>
      <c r="AM113" s="124">
        <v>540</v>
      </c>
      <c r="AN113" s="124">
        <v>360</v>
      </c>
      <c r="AO113" s="124">
        <v>240</v>
      </c>
      <c r="AP113" s="124">
        <v>540</v>
      </c>
      <c r="AQ113" s="124">
        <v>240</v>
      </c>
      <c r="AR113" s="124">
        <v>360</v>
      </c>
      <c r="AS113" s="124">
        <v>180</v>
      </c>
      <c r="AT113" s="124">
        <v>240</v>
      </c>
      <c r="AU113" s="124">
        <v>240</v>
      </c>
      <c r="AV113" s="124">
        <v>360</v>
      </c>
      <c r="AW113" s="124">
        <v>120</v>
      </c>
      <c r="AX113" s="124">
        <v>120</v>
      </c>
      <c r="AY113" s="124">
        <v>240</v>
      </c>
      <c r="AZ113" s="124">
        <v>2160</v>
      </c>
      <c r="BA113" s="124">
        <f>+SUM(M113:T113)</f>
        <v>2940</v>
      </c>
      <c r="BB113" s="124">
        <f>SUM(U113:Z113)</f>
        <v>3900</v>
      </c>
      <c r="BC113" s="124">
        <f>SUM(AA113:AI113)</f>
        <v>2220</v>
      </c>
      <c r="BD113" s="124">
        <f>SUM(AJ113:AO113)</f>
        <v>2580</v>
      </c>
      <c r="BE113" s="124">
        <f>SUM(AP113:AY113)</f>
        <v>2640</v>
      </c>
      <c r="BF113" s="124">
        <v>1440</v>
      </c>
      <c r="BG113" s="124">
        <v>1260</v>
      </c>
      <c r="BH113" s="116" t="s">
        <v>112</v>
      </c>
    </row>
    <row r="114" spans="1:63" ht="35.25" customHeight="1" x14ac:dyDescent="0.2">
      <c r="A114" s="16"/>
      <c r="B114" s="120"/>
      <c r="C114" s="120" t="s">
        <v>48</v>
      </c>
      <c r="D114" s="133">
        <f>E114</f>
        <v>16680</v>
      </c>
      <c r="E114" s="123">
        <v>16680</v>
      </c>
      <c r="F114" s="123">
        <f>+E114+F113</f>
        <v>16800</v>
      </c>
      <c r="G114" s="123">
        <f>+F114+G113</f>
        <v>16860</v>
      </c>
      <c r="H114" s="123">
        <f>+G114+H113</f>
        <v>17280</v>
      </c>
      <c r="I114" s="123">
        <f>+H114+I113</f>
        <v>17760</v>
      </c>
      <c r="J114" s="123">
        <f>+I114+J113</f>
        <v>18180</v>
      </c>
      <c r="K114" s="123">
        <f t="shared" ref="K114" si="1810">+J114+K113</f>
        <v>18480</v>
      </c>
      <c r="L114" s="123">
        <f t="shared" ref="L114" si="1811">+K114+L113</f>
        <v>18720</v>
      </c>
      <c r="M114" s="123">
        <f t="shared" ref="M114" si="1812">+L114+M113</f>
        <v>18960</v>
      </c>
      <c r="N114" s="123">
        <f t="shared" ref="N114" si="1813">+M114+N113</f>
        <v>19260</v>
      </c>
      <c r="O114" s="123">
        <f t="shared" ref="O114" si="1814">+N114+O113</f>
        <v>19980</v>
      </c>
      <c r="P114" s="123">
        <f t="shared" ref="P114" si="1815">+O114+P113</f>
        <v>20400</v>
      </c>
      <c r="Q114" s="123">
        <f t="shared" ref="Q114" si="1816">+P114+Q113</f>
        <v>20940</v>
      </c>
      <c r="R114" s="123">
        <f t="shared" ref="R114" si="1817">+Q114+R113</f>
        <v>21300</v>
      </c>
      <c r="S114" s="123">
        <f>+R114+S113</f>
        <v>21300</v>
      </c>
      <c r="T114" s="123">
        <f>+S114+T113</f>
        <v>21660</v>
      </c>
      <c r="U114" s="123">
        <f t="shared" ref="U114" si="1818">+T114+U113</f>
        <v>22200</v>
      </c>
      <c r="V114" s="123">
        <f t="shared" ref="V114" si="1819">+U114+V113</f>
        <v>22680</v>
      </c>
      <c r="W114" s="123">
        <f t="shared" ref="W114" si="1820">+V114+W113</f>
        <v>23640</v>
      </c>
      <c r="X114" s="123">
        <f t="shared" ref="X114" si="1821">+W114+X113</f>
        <v>24240</v>
      </c>
      <c r="Y114" s="123">
        <f t="shared" ref="Y114" si="1822">+X114+Y113</f>
        <v>24960</v>
      </c>
      <c r="Z114" s="123">
        <f t="shared" ref="Z114" si="1823">+Y114+Z113</f>
        <v>25560</v>
      </c>
      <c r="AA114" s="123">
        <f t="shared" ref="AA114" si="1824">+Z114+AA113</f>
        <v>25560</v>
      </c>
      <c r="AB114" s="123">
        <f>+AA114+AB113</f>
        <v>25560</v>
      </c>
      <c r="AC114" s="123">
        <f>+AB114+AC113</f>
        <v>25560</v>
      </c>
      <c r="AD114" s="123">
        <f>+AC114+AD113</f>
        <v>25740</v>
      </c>
      <c r="AE114" s="123">
        <f>+AD114+AE113</f>
        <v>26100</v>
      </c>
      <c r="AF114" s="123">
        <f t="shared" ref="AF114" si="1825">+AE114+AF113</f>
        <v>26580</v>
      </c>
      <c r="AG114" s="123">
        <f t="shared" ref="AG114" si="1826">+AF114+AG113</f>
        <v>26880</v>
      </c>
      <c r="AH114" s="123">
        <f t="shared" ref="AH114" si="1827">+AG114+AH113</f>
        <v>27420</v>
      </c>
      <c r="AI114" s="123">
        <f t="shared" ref="AI114" si="1828">+AH114+AI113</f>
        <v>27780</v>
      </c>
      <c r="AJ114" s="123">
        <f t="shared" ref="AJ114" si="1829">+AI114+AJ113</f>
        <v>28320</v>
      </c>
      <c r="AK114" s="123">
        <f t="shared" ref="AK114" si="1830">+AJ114+AK113</f>
        <v>28680</v>
      </c>
      <c r="AL114" s="123">
        <f t="shared" ref="AL114" si="1831">+AK114+AL113</f>
        <v>29220</v>
      </c>
      <c r="AM114" s="123">
        <f t="shared" ref="AM114" si="1832">+AL114+AM113</f>
        <v>29760</v>
      </c>
      <c r="AN114" s="123">
        <f t="shared" ref="AN114" si="1833">+AM114+AN113</f>
        <v>30120</v>
      </c>
      <c r="AO114" s="123">
        <f t="shared" ref="AO114" si="1834">+AN114+AO113</f>
        <v>30360</v>
      </c>
      <c r="AP114" s="123">
        <f t="shared" ref="AP114" si="1835">+AG114+AP113</f>
        <v>27420</v>
      </c>
      <c r="AQ114" s="123">
        <f t="shared" ref="AQ114" si="1836">+AP114+AQ113</f>
        <v>27660</v>
      </c>
      <c r="AR114" s="123">
        <f t="shared" ref="AR114" si="1837">+AI114+AR113</f>
        <v>28140</v>
      </c>
      <c r="AS114" s="123">
        <f t="shared" ref="AS114" si="1838">+AR114+AS113</f>
        <v>28320</v>
      </c>
      <c r="AT114" s="123">
        <f t="shared" ref="AT114" si="1839">+AK114+AT113</f>
        <v>28920</v>
      </c>
      <c r="AU114" s="123">
        <f t="shared" ref="AU114" si="1840">+AT114+AU113</f>
        <v>29160</v>
      </c>
      <c r="AV114" s="123">
        <f t="shared" ref="AV114" si="1841">+AM114+AV113</f>
        <v>30120</v>
      </c>
      <c r="AW114" s="123">
        <f t="shared" ref="AW114" si="1842">+AV114+AW113</f>
        <v>30240</v>
      </c>
      <c r="AX114" s="123">
        <f t="shared" ref="AX114" si="1843">+AO114+AX113</f>
        <v>30480</v>
      </c>
      <c r="AY114" s="123">
        <f t="shared" ref="AY114" si="1844">+AX114+AY113</f>
        <v>30720</v>
      </c>
      <c r="AZ114" s="123">
        <v>36300</v>
      </c>
      <c r="BA114" s="123">
        <f t="shared" ref="BA114:BG114" si="1845">+AZ114+BA113</f>
        <v>39240</v>
      </c>
      <c r="BB114" s="123">
        <f t="shared" si="1845"/>
        <v>43140</v>
      </c>
      <c r="BC114" s="123">
        <f t="shared" si="1845"/>
        <v>45360</v>
      </c>
      <c r="BD114" s="123">
        <f t="shared" si="1845"/>
        <v>47940</v>
      </c>
      <c r="BE114" s="123">
        <f t="shared" si="1845"/>
        <v>50580</v>
      </c>
      <c r="BF114" s="123">
        <f t="shared" si="1845"/>
        <v>52020</v>
      </c>
      <c r="BG114" s="123">
        <f t="shared" si="1845"/>
        <v>53280</v>
      </c>
      <c r="BH114" s="121"/>
      <c r="BI114" s="118"/>
      <c r="BK114" s="118"/>
    </row>
    <row r="115" spans="1:63" ht="35.25" customHeight="1" x14ac:dyDescent="0.2">
      <c r="A115" s="128">
        <f>+A113+1</f>
        <v>52</v>
      </c>
      <c r="B115" s="17" t="s">
        <v>111</v>
      </c>
      <c r="C115" s="17" t="s">
        <v>111</v>
      </c>
      <c r="D115" s="17"/>
      <c r="E115" s="124">
        <v>120</v>
      </c>
      <c r="F115" s="124">
        <v>120</v>
      </c>
      <c r="G115" s="124">
        <v>60</v>
      </c>
      <c r="H115" s="168">
        <f>180+240</f>
        <v>420</v>
      </c>
      <c r="I115" s="124">
        <v>480</v>
      </c>
      <c r="J115" s="124">
        <v>420</v>
      </c>
      <c r="K115" s="124">
        <v>300</v>
      </c>
      <c r="L115" s="124">
        <v>240</v>
      </c>
      <c r="M115" s="124">
        <v>240</v>
      </c>
      <c r="N115" s="124">
        <v>300</v>
      </c>
      <c r="O115" s="124">
        <v>720</v>
      </c>
      <c r="P115" s="124">
        <v>420</v>
      </c>
      <c r="Q115" s="124">
        <v>540</v>
      </c>
      <c r="R115" s="124">
        <v>360</v>
      </c>
      <c r="S115" s="124">
        <v>0</v>
      </c>
      <c r="T115" s="124">
        <v>360</v>
      </c>
      <c r="U115" s="124">
        <v>540</v>
      </c>
      <c r="V115" s="124">
        <v>480</v>
      </c>
      <c r="W115" s="124">
        <v>1020</v>
      </c>
      <c r="X115" s="124">
        <v>600</v>
      </c>
      <c r="Y115" s="124">
        <v>720</v>
      </c>
      <c r="Z115" s="124">
        <v>600</v>
      </c>
      <c r="AA115" s="124">
        <v>0</v>
      </c>
      <c r="AB115" s="124">
        <v>0</v>
      </c>
      <c r="AC115" s="124">
        <v>0</v>
      </c>
      <c r="AD115" s="124">
        <v>120</v>
      </c>
      <c r="AE115" s="124">
        <v>360</v>
      </c>
      <c r="AF115" s="124">
        <v>480</v>
      </c>
      <c r="AG115" s="124">
        <v>300</v>
      </c>
      <c r="AH115" s="124">
        <v>540</v>
      </c>
      <c r="AI115" s="124">
        <v>360</v>
      </c>
      <c r="AJ115" s="124">
        <v>540</v>
      </c>
      <c r="AK115" s="124">
        <v>360</v>
      </c>
      <c r="AL115" s="124">
        <v>540</v>
      </c>
      <c r="AM115" s="124">
        <v>540</v>
      </c>
      <c r="AN115" s="124">
        <v>360</v>
      </c>
      <c r="AO115" s="124">
        <v>240</v>
      </c>
      <c r="AP115" s="124">
        <v>540</v>
      </c>
      <c r="AQ115" s="124">
        <v>240</v>
      </c>
      <c r="AR115" s="124">
        <v>360</v>
      </c>
      <c r="AS115" s="124">
        <v>180</v>
      </c>
      <c r="AT115" s="124">
        <v>240</v>
      </c>
      <c r="AU115" s="124">
        <v>240</v>
      </c>
      <c r="AV115" s="124">
        <v>360</v>
      </c>
      <c r="AW115" s="124">
        <v>120</v>
      </c>
      <c r="AX115" s="124">
        <v>120</v>
      </c>
      <c r="AY115" s="124">
        <v>240</v>
      </c>
      <c r="AZ115" s="124">
        <v>2160</v>
      </c>
      <c r="BA115" s="124">
        <f>+SUM(M115:T115)</f>
        <v>2940</v>
      </c>
      <c r="BB115" s="124">
        <f>SUM(U115:Z115)</f>
        <v>3960</v>
      </c>
      <c r="BC115" s="124">
        <f>SUM(AA115:AI115)</f>
        <v>2160</v>
      </c>
      <c r="BD115" s="124">
        <f>SUM(AJ115:AO115)</f>
        <v>2580</v>
      </c>
      <c r="BE115" s="124">
        <f>SUM(AP115:AY115)</f>
        <v>2640</v>
      </c>
      <c r="BF115" s="124">
        <v>1440</v>
      </c>
      <c r="BG115" s="124">
        <v>1260</v>
      </c>
      <c r="BH115" s="116" t="s">
        <v>112</v>
      </c>
    </row>
    <row r="116" spans="1:63" ht="35.25" customHeight="1" x14ac:dyDescent="0.2">
      <c r="A116" s="16"/>
      <c r="B116" s="120"/>
      <c r="C116" s="120" t="s">
        <v>48</v>
      </c>
      <c r="D116" s="133">
        <f>E116</f>
        <v>16680</v>
      </c>
      <c r="E116" s="123">
        <v>16680</v>
      </c>
      <c r="F116" s="123">
        <f>+E116+F115</f>
        <v>16800</v>
      </c>
      <c r="G116" s="123">
        <f>+F116+G115</f>
        <v>16860</v>
      </c>
      <c r="H116" s="123">
        <f>+G116+H115</f>
        <v>17280</v>
      </c>
      <c r="I116" s="123">
        <f>+H116+I115</f>
        <v>17760</v>
      </c>
      <c r="J116" s="123">
        <f>+I116+J115</f>
        <v>18180</v>
      </c>
      <c r="K116" s="123">
        <f t="shared" ref="K116" si="1846">+J116+K115</f>
        <v>18480</v>
      </c>
      <c r="L116" s="123">
        <f t="shared" ref="L116" si="1847">+K116+L115</f>
        <v>18720</v>
      </c>
      <c r="M116" s="123">
        <f t="shared" ref="M116" si="1848">+L116+M115</f>
        <v>18960</v>
      </c>
      <c r="N116" s="123">
        <f t="shared" ref="N116" si="1849">+M116+N115</f>
        <v>19260</v>
      </c>
      <c r="O116" s="123">
        <f t="shared" ref="O116" si="1850">+N116+O115</f>
        <v>19980</v>
      </c>
      <c r="P116" s="123">
        <f t="shared" ref="P116" si="1851">+O116+P115</f>
        <v>20400</v>
      </c>
      <c r="Q116" s="123">
        <f t="shared" ref="Q116" si="1852">+P116+Q115</f>
        <v>20940</v>
      </c>
      <c r="R116" s="123">
        <f t="shared" ref="R116" si="1853">+Q116+R115</f>
        <v>21300</v>
      </c>
      <c r="S116" s="123">
        <f>+R116+S115</f>
        <v>21300</v>
      </c>
      <c r="T116" s="123">
        <f>+S116+T115</f>
        <v>21660</v>
      </c>
      <c r="U116" s="123">
        <f t="shared" ref="U116" si="1854">+T116+U115</f>
        <v>22200</v>
      </c>
      <c r="V116" s="123">
        <f t="shared" ref="V116" si="1855">+U116+V115</f>
        <v>22680</v>
      </c>
      <c r="W116" s="123">
        <f t="shared" ref="W116" si="1856">+V116+W115</f>
        <v>23700</v>
      </c>
      <c r="X116" s="123">
        <f t="shared" ref="X116" si="1857">+W116+X115</f>
        <v>24300</v>
      </c>
      <c r="Y116" s="123">
        <f t="shared" ref="Y116" si="1858">+X116+Y115</f>
        <v>25020</v>
      </c>
      <c r="Z116" s="123">
        <f t="shared" ref="Z116" si="1859">+Y116+Z115</f>
        <v>25620</v>
      </c>
      <c r="AA116" s="123">
        <f t="shared" ref="AA116" si="1860">+Z116+AA115</f>
        <v>25620</v>
      </c>
      <c r="AB116" s="123">
        <f>+AA116+AB115</f>
        <v>25620</v>
      </c>
      <c r="AC116" s="123">
        <f>+AB116+AC115</f>
        <v>25620</v>
      </c>
      <c r="AD116" s="123">
        <f>+AC116+AD115</f>
        <v>25740</v>
      </c>
      <c r="AE116" s="123">
        <f>+AD116+AE115</f>
        <v>26100</v>
      </c>
      <c r="AF116" s="123">
        <f t="shared" ref="AF116" si="1861">+AE116+AF115</f>
        <v>26580</v>
      </c>
      <c r="AG116" s="123">
        <f t="shared" ref="AG116" si="1862">+AF116+AG115</f>
        <v>26880</v>
      </c>
      <c r="AH116" s="123">
        <f t="shared" ref="AH116" si="1863">+AG116+AH115</f>
        <v>27420</v>
      </c>
      <c r="AI116" s="123">
        <f t="shared" ref="AI116" si="1864">+AH116+AI115</f>
        <v>27780</v>
      </c>
      <c r="AJ116" s="123">
        <f t="shared" ref="AJ116" si="1865">+AI116+AJ115</f>
        <v>28320</v>
      </c>
      <c r="AK116" s="123">
        <f t="shared" ref="AK116" si="1866">+AJ116+AK115</f>
        <v>28680</v>
      </c>
      <c r="AL116" s="123">
        <f t="shared" ref="AL116" si="1867">+AK116+AL115</f>
        <v>29220</v>
      </c>
      <c r="AM116" s="123">
        <f t="shared" ref="AM116" si="1868">+AL116+AM115</f>
        <v>29760</v>
      </c>
      <c r="AN116" s="123">
        <f t="shared" ref="AN116" si="1869">+AM116+AN115</f>
        <v>30120</v>
      </c>
      <c r="AO116" s="123">
        <f t="shared" ref="AO116" si="1870">+AN116+AO115</f>
        <v>30360</v>
      </c>
      <c r="AP116" s="123">
        <f t="shared" ref="AP116" si="1871">+AG116+AP115</f>
        <v>27420</v>
      </c>
      <c r="AQ116" s="123">
        <f t="shared" ref="AQ116" si="1872">+AP116+AQ115</f>
        <v>27660</v>
      </c>
      <c r="AR116" s="123">
        <f t="shared" ref="AR116" si="1873">+AI116+AR115</f>
        <v>28140</v>
      </c>
      <c r="AS116" s="123">
        <f t="shared" ref="AS116" si="1874">+AR116+AS115</f>
        <v>28320</v>
      </c>
      <c r="AT116" s="123">
        <f t="shared" ref="AT116" si="1875">+AK116+AT115</f>
        <v>28920</v>
      </c>
      <c r="AU116" s="123">
        <f t="shared" ref="AU116" si="1876">+AT116+AU115</f>
        <v>29160</v>
      </c>
      <c r="AV116" s="123">
        <f t="shared" ref="AV116" si="1877">+AM116+AV115</f>
        <v>30120</v>
      </c>
      <c r="AW116" s="123">
        <f t="shared" ref="AW116" si="1878">+AV116+AW115</f>
        <v>30240</v>
      </c>
      <c r="AX116" s="123">
        <f t="shared" ref="AX116" si="1879">+AO116+AX115</f>
        <v>30480</v>
      </c>
      <c r="AY116" s="123">
        <f t="shared" ref="AY116" si="1880">+AX116+AY115</f>
        <v>30720</v>
      </c>
      <c r="AZ116" s="123">
        <v>36120</v>
      </c>
      <c r="BA116" s="123">
        <f t="shared" ref="BA116:BG116" si="1881">+AZ116+BA115</f>
        <v>39060</v>
      </c>
      <c r="BB116" s="123">
        <f t="shared" si="1881"/>
        <v>43020</v>
      </c>
      <c r="BC116" s="123">
        <f t="shared" si="1881"/>
        <v>45180</v>
      </c>
      <c r="BD116" s="123">
        <f t="shared" si="1881"/>
        <v>47760</v>
      </c>
      <c r="BE116" s="123">
        <f t="shared" si="1881"/>
        <v>50400</v>
      </c>
      <c r="BF116" s="123">
        <f t="shared" si="1881"/>
        <v>51840</v>
      </c>
      <c r="BG116" s="123">
        <f t="shared" si="1881"/>
        <v>53100</v>
      </c>
      <c r="BH116" s="121"/>
      <c r="BI116" s="118"/>
      <c r="BK116" s="118"/>
    </row>
    <row r="117" spans="1:63" ht="35.25" customHeight="1" x14ac:dyDescent="0.2">
      <c r="A117" s="128">
        <f>+A115+1</f>
        <v>53</v>
      </c>
      <c r="B117" s="17" t="s">
        <v>123</v>
      </c>
      <c r="C117" s="17" t="s">
        <v>123</v>
      </c>
      <c r="D117" s="17"/>
      <c r="E117" s="124">
        <v>0</v>
      </c>
      <c r="F117" s="124">
        <v>0</v>
      </c>
      <c r="G117" s="124">
        <v>0</v>
      </c>
      <c r="H117" s="124">
        <v>0</v>
      </c>
      <c r="I117" s="124">
        <v>0</v>
      </c>
      <c r="J117" s="124">
        <v>0</v>
      </c>
      <c r="K117" s="124">
        <v>0</v>
      </c>
      <c r="L117" s="124">
        <v>0</v>
      </c>
      <c r="M117" s="124">
        <v>0</v>
      </c>
      <c r="N117" s="124">
        <v>0</v>
      </c>
      <c r="O117" s="124">
        <v>0</v>
      </c>
      <c r="P117" s="124">
        <v>0</v>
      </c>
      <c r="Q117" s="124">
        <v>0</v>
      </c>
      <c r="R117" s="124">
        <v>0</v>
      </c>
      <c r="S117" s="124">
        <v>0</v>
      </c>
      <c r="T117" s="124">
        <v>0</v>
      </c>
      <c r="U117" s="124">
        <v>0</v>
      </c>
      <c r="V117" s="124">
        <v>0</v>
      </c>
      <c r="W117" s="124">
        <v>0</v>
      </c>
      <c r="X117" s="124">
        <v>0</v>
      </c>
      <c r="Y117" s="124">
        <v>0</v>
      </c>
      <c r="Z117" s="124">
        <v>0</v>
      </c>
      <c r="AA117" s="124">
        <v>0</v>
      </c>
      <c r="AB117" s="124">
        <v>0</v>
      </c>
      <c r="AC117" s="124">
        <v>0</v>
      </c>
      <c r="AD117" s="124">
        <v>40</v>
      </c>
      <c r="AE117" s="124">
        <v>0</v>
      </c>
      <c r="AF117" s="124">
        <v>0</v>
      </c>
      <c r="AG117" s="124">
        <v>0</v>
      </c>
      <c r="AH117" s="124">
        <v>0</v>
      </c>
      <c r="AI117" s="124">
        <v>0</v>
      </c>
      <c r="AJ117" s="124">
        <v>0</v>
      </c>
      <c r="AK117" s="124">
        <v>0</v>
      </c>
      <c r="AL117" s="124">
        <v>0</v>
      </c>
      <c r="AM117" s="124">
        <v>0</v>
      </c>
      <c r="AN117" s="124">
        <v>0</v>
      </c>
      <c r="AO117" s="124">
        <v>0</v>
      </c>
      <c r="AP117" s="124">
        <v>40</v>
      </c>
      <c r="AQ117" s="124">
        <v>0</v>
      </c>
      <c r="AR117" s="124">
        <v>0</v>
      </c>
      <c r="AS117" s="124">
        <v>0</v>
      </c>
      <c r="AT117" s="124">
        <v>0</v>
      </c>
      <c r="AU117" s="124">
        <v>0</v>
      </c>
      <c r="AV117" s="124">
        <v>0</v>
      </c>
      <c r="AW117" s="124">
        <v>0</v>
      </c>
      <c r="AX117" s="124">
        <v>0</v>
      </c>
      <c r="AY117" s="124">
        <v>0</v>
      </c>
      <c r="AZ117" s="124">
        <v>0</v>
      </c>
      <c r="BA117" s="124">
        <f>+SUM(M117:T117)</f>
        <v>0</v>
      </c>
      <c r="BB117" s="124">
        <f>SUM(U117:Z117)</f>
        <v>0</v>
      </c>
      <c r="BC117" s="124">
        <f>SUM(AA117:AI117)</f>
        <v>40</v>
      </c>
      <c r="BD117" s="124">
        <f>SUM(AJ117:AO117)</f>
        <v>0</v>
      </c>
      <c r="BE117" s="124">
        <f>SUM(AP117:AY117)</f>
        <v>40</v>
      </c>
      <c r="BF117" s="124">
        <v>0</v>
      </c>
      <c r="BG117" s="124">
        <v>0</v>
      </c>
      <c r="BH117" s="116" t="s">
        <v>162</v>
      </c>
    </row>
    <row r="118" spans="1:63" ht="35.25" customHeight="1" x14ac:dyDescent="0.2">
      <c r="A118" s="16"/>
      <c r="B118" s="120"/>
      <c r="C118" s="120" t="s">
        <v>48</v>
      </c>
      <c r="D118" s="133">
        <f>E118</f>
        <v>0</v>
      </c>
      <c r="E118" s="123">
        <v>0</v>
      </c>
      <c r="F118" s="123">
        <f>+E118+F117</f>
        <v>0</v>
      </c>
      <c r="G118" s="123">
        <f>+F118+G117</f>
        <v>0</v>
      </c>
      <c r="H118" s="123">
        <f>+G118+H117</f>
        <v>0</v>
      </c>
      <c r="I118" s="123">
        <f>+H118+I117</f>
        <v>0</v>
      </c>
      <c r="J118" s="123">
        <f>+I118+J117</f>
        <v>0</v>
      </c>
      <c r="K118" s="123">
        <f t="shared" ref="K118" si="1882">+J118+K117</f>
        <v>0</v>
      </c>
      <c r="L118" s="123">
        <f t="shared" ref="L118" si="1883">+K118+L117</f>
        <v>0</v>
      </c>
      <c r="M118" s="123">
        <f t="shared" ref="M118" si="1884">+L118+M117</f>
        <v>0</v>
      </c>
      <c r="N118" s="123">
        <f t="shared" ref="N118" si="1885">+M118+N117</f>
        <v>0</v>
      </c>
      <c r="O118" s="123">
        <f t="shared" ref="O118" si="1886">+N118+O117</f>
        <v>0</v>
      </c>
      <c r="P118" s="123">
        <f t="shared" ref="P118" si="1887">+O118+P117</f>
        <v>0</v>
      </c>
      <c r="Q118" s="123">
        <f t="shared" ref="Q118" si="1888">+P118+Q117</f>
        <v>0</v>
      </c>
      <c r="R118" s="123">
        <f t="shared" ref="R118" si="1889">+Q118+R117</f>
        <v>0</v>
      </c>
      <c r="S118" s="123">
        <f>+R118+S117</f>
        <v>0</v>
      </c>
      <c r="T118" s="123">
        <f>+S118+T117</f>
        <v>0</v>
      </c>
      <c r="U118" s="123">
        <f t="shared" ref="U118" si="1890">+T118+U117</f>
        <v>0</v>
      </c>
      <c r="V118" s="123">
        <f t="shared" ref="V118" si="1891">+U118+V117</f>
        <v>0</v>
      </c>
      <c r="W118" s="123">
        <f t="shared" ref="W118" si="1892">+V118+W117</f>
        <v>0</v>
      </c>
      <c r="X118" s="123">
        <f t="shared" ref="X118" si="1893">+W118+X117</f>
        <v>0</v>
      </c>
      <c r="Y118" s="123">
        <f t="shared" ref="Y118" si="1894">+X118+Y117</f>
        <v>0</v>
      </c>
      <c r="Z118" s="123">
        <f t="shared" ref="Z118" si="1895">+Y118+Z117</f>
        <v>0</v>
      </c>
      <c r="AA118" s="123">
        <f t="shared" ref="AA118" si="1896">+Z118+AA117</f>
        <v>0</v>
      </c>
      <c r="AB118" s="123">
        <f>+AA118+AB117</f>
        <v>0</v>
      </c>
      <c r="AC118" s="123">
        <f>+AB118+AC117</f>
        <v>0</v>
      </c>
      <c r="AD118" s="123">
        <f>+AC118+AD117</f>
        <v>40</v>
      </c>
      <c r="AE118" s="123">
        <f>+AD118+AE117</f>
        <v>40</v>
      </c>
      <c r="AF118" s="123">
        <f t="shared" ref="AF118" si="1897">+AE118+AF117</f>
        <v>40</v>
      </c>
      <c r="AG118" s="123">
        <f t="shared" ref="AG118" si="1898">+AF118+AG117</f>
        <v>40</v>
      </c>
      <c r="AH118" s="123">
        <f t="shared" ref="AH118" si="1899">+AG118+AH117</f>
        <v>40</v>
      </c>
      <c r="AI118" s="123">
        <f t="shared" ref="AI118" si="1900">+AH118+AI117</f>
        <v>40</v>
      </c>
      <c r="AJ118" s="123">
        <f t="shared" ref="AJ118" si="1901">+AI118+AJ117</f>
        <v>40</v>
      </c>
      <c r="AK118" s="123">
        <f t="shared" ref="AK118" si="1902">+AJ118+AK117</f>
        <v>40</v>
      </c>
      <c r="AL118" s="123">
        <f t="shared" ref="AL118" si="1903">+AK118+AL117</f>
        <v>40</v>
      </c>
      <c r="AM118" s="123">
        <f t="shared" ref="AM118" si="1904">+AL118+AM117</f>
        <v>40</v>
      </c>
      <c r="AN118" s="123">
        <f t="shared" ref="AN118" si="1905">+AM118+AN117</f>
        <v>40</v>
      </c>
      <c r="AO118" s="123">
        <f t="shared" ref="AO118" si="1906">+AN118+AO117</f>
        <v>40</v>
      </c>
      <c r="AP118" s="123">
        <f t="shared" ref="AP118" si="1907">+AG118+AP117</f>
        <v>80</v>
      </c>
      <c r="AQ118" s="123">
        <f t="shared" ref="AQ118" si="1908">+AP118+AQ117</f>
        <v>80</v>
      </c>
      <c r="AR118" s="123">
        <f t="shared" ref="AR118" si="1909">+AI118+AR117</f>
        <v>40</v>
      </c>
      <c r="AS118" s="123">
        <f t="shared" ref="AS118" si="1910">+AR118+AS117</f>
        <v>40</v>
      </c>
      <c r="AT118" s="123">
        <f t="shared" ref="AT118" si="1911">+AK118+AT117</f>
        <v>40</v>
      </c>
      <c r="AU118" s="123">
        <f t="shared" ref="AU118" si="1912">+AT118+AU117</f>
        <v>40</v>
      </c>
      <c r="AV118" s="123">
        <f t="shared" ref="AV118" si="1913">+AM118+AV117</f>
        <v>40</v>
      </c>
      <c r="AW118" s="123">
        <f t="shared" ref="AW118" si="1914">+AV118+AW117</f>
        <v>40</v>
      </c>
      <c r="AX118" s="123">
        <f t="shared" ref="AX118" si="1915">+AO118+AX117</f>
        <v>40</v>
      </c>
      <c r="AY118" s="123">
        <f t="shared" ref="AY118" si="1916">+AX118+AY117</f>
        <v>40</v>
      </c>
      <c r="AZ118" s="123">
        <v>80</v>
      </c>
      <c r="BA118" s="123">
        <f t="shared" ref="BA118:BG118" si="1917">+AZ118+BA117</f>
        <v>80</v>
      </c>
      <c r="BB118" s="123">
        <f t="shared" si="1917"/>
        <v>80</v>
      </c>
      <c r="BC118" s="123">
        <f t="shared" si="1917"/>
        <v>120</v>
      </c>
      <c r="BD118" s="123">
        <f t="shared" si="1917"/>
        <v>120</v>
      </c>
      <c r="BE118" s="123">
        <f t="shared" si="1917"/>
        <v>160</v>
      </c>
      <c r="BF118" s="123">
        <f t="shared" si="1917"/>
        <v>160</v>
      </c>
      <c r="BG118" s="123">
        <f t="shared" si="1917"/>
        <v>160</v>
      </c>
      <c r="BH118" s="121"/>
      <c r="BI118" s="118"/>
      <c r="BK118" s="118"/>
    </row>
    <row r="119" spans="1:63" ht="35.25" customHeight="1" x14ac:dyDescent="0.2">
      <c r="A119" s="128">
        <f>+A117+1</f>
        <v>54</v>
      </c>
      <c r="B119" s="17" t="s">
        <v>124</v>
      </c>
      <c r="C119" s="17" t="s">
        <v>124</v>
      </c>
      <c r="D119" s="17"/>
      <c r="E119" s="124">
        <v>120</v>
      </c>
      <c r="F119" s="124">
        <v>80</v>
      </c>
      <c r="G119" s="124">
        <v>0</v>
      </c>
      <c r="H119" s="124">
        <v>0</v>
      </c>
      <c r="I119" s="124">
        <v>0</v>
      </c>
      <c r="J119" s="124">
        <v>0</v>
      </c>
      <c r="K119" s="124">
        <v>80</v>
      </c>
      <c r="L119" s="124">
        <v>120</v>
      </c>
      <c r="M119" s="124">
        <v>120</v>
      </c>
      <c r="N119" s="124">
        <v>120</v>
      </c>
      <c r="O119" s="124">
        <v>80</v>
      </c>
      <c r="P119" s="124">
        <v>120</v>
      </c>
      <c r="Q119" s="124">
        <v>40</v>
      </c>
      <c r="R119" s="124">
        <v>80</v>
      </c>
      <c r="S119" s="124">
        <v>40</v>
      </c>
      <c r="T119" s="185">
        <f>80+40</f>
        <v>120</v>
      </c>
      <c r="U119" s="124">
        <f>80</f>
        <v>80</v>
      </c>
      <c r="V119" s="124">
        <v>40</v>
      </c>
      <c r="W119" s="124">
        <v>160</v>
      </c>
      <c r="X119" s="124">
        <v>80</v>
      </c>
      <c r="Y119" s="168">
        <f>80+40</f>
        <v>120</v>
      </c>
      <c r="Z119" s="124">
        <v>80</v>
      </c>
      <c r="AA119" s="124">
        <v>80</v>
      </c>
      <c r="AB119" s="124">
        <v>40</v>
      </c>
      <c r="AC119" s="124">
        <v>80</v>
      </c>
      <c r="AD119" s="124">
        <v>40</v>
      </c>
      <c r="AE119" s="124">
        <v>40</v>
      </c>
      <c r="AF119" s="124">
        <v>40</v>
      </c>
      <c r="AG119" s="124">
        <v>40</v>
      </c>
      <c r="AH119" s="124">
        <v>40</v>
      </c>
      <c r="AI119" s="124">
        <v>80</v>
      </c>
      <c r="AJ119" s="124">
        <v>40</v>
      </c>
      <c r="AK119" s="124">
        <v>40</v>
      </c>
      <c r="AL119" s="124">
        <v>80</v>
      </c>
      <c r="AM119" s="124">
        <v>40</v>
      </c>
      <c r="AN119" s="124">
        <v>40</v>
      </c>
      <c r="AO119" s="124">
        <v>40</v>
      </c>
      <c r="AP119" s="124">
        <v>80</v>
      </c>
      <c r="AQ119" s="124">
        <v>0</v>
      </c>
      <c r="AR119" s="124">
        <v>40</v>
      </c>
      <c r="AS119" s="124">
        <v>40</v>
      </c>
      <c r="AT119" s="124">
        <v>40</v>
      </c>
      <c r="AU119" s="124">
        <v>40</v>
      </c>
      <c r="AV119" s="124">
        <v>40</v>
      </c>
      <c r="AW119" s="124">
        <v>40</v>
      </c>
      <c r="AX119" s="124">
        <v>40</v>
      </c>
      <c r="AY119" s="124">
        <v>80</v>
      </c>
      <c r="AZ119" s="124">
        <v>400</v>
      </c>
      <c r="BA119" s="124">
        <f>+SUM(M119:T119)</f>
        <v>720</v>
      </c>
      <c r="BB119" s="124">
        <f>SUM(U119:Z119)</f>
        <v>560</v>
      </c>
      <c r="BC119" s="124">
        <f>SUM(AA119:AI119)</f>
        <v>480</v>
      </c>
      <c r="BD119" s="124">
        <f>SUM(AJ119:AO119)</f>
        <v>280</v>
      </c>
      <c r="BE119" s="124">
        <f>SUM(AP119:AY119)</f>
        <v>440</v>
      </c>
      <c r="BF119" s="124">
        <v>600</v>
      </c>
      <c r="BG119" s="124">
        <v>600</v>
      </c>
      <c r="BH119" s="116" t="s">
        <v>162</v>
      </c>
    </row>
    <row r="120" spans="1:63" ht="35.25" customHeight="1" x14ac:dyDescent="0.2">
      <c r="A120" s="16"/>
      <c r="B120" s="120"/>
      <c r="C120" s="120" t="s">
        <v>48</v>
      </c>
      <c r="D120" s="133">
        <f>E120</f>
        <v>760</v>
      </c>
      <c r="E120" s="123">
        <v>760</v>
      </c>
      <c r="F120" s="123">
        <f>+E120+F119</f>
        <v>840</v>
      </c>
      <c r="G120" s="123">
        <f>+F120+G119</f>
        <v>840</v>
      </c>
      <c r="H120" s="123">
        <f>+G120+H119</f>
        <v>840</v>
      </c>
      <c r="I120" s="123">
        <f>+H120+I119</f>
        <v>840</v>
      </c>
      <c r="J120" s="123">
        <f>+I120+J119</f>
        <v>840</v>
      </c>
      <c r="K120" s="123">
        <f t="shared" ref="K120" si="1918">+J120+K119</f>
        <v>920</v>
      </c>
      <c r="L120" s="123">
        <f t="shared" ref="L120" si="1919">+K120+L119</f>
        <v>1040</v>
      </c>
      <c r="M120" s="123">
        <f t="shared" ref="M120" si="1920">+L120+M119</f>
        <v>1160</v>
      </c>
      <c r="N120" s="123">
        <f t="shared" ref="N120" si="1921">+M120+N119</f>
        <v>1280</v>
      </c>
      <c r="O120" s="123">
        <f t="shared" ref="O120" si="1922">+N120+O119</f>
        <v>1360</v>
      </c>
      <c r="P120" s="123">
        <f t="shared" ref="P120" si="1923">+O120+P119</f>
        <v>1480</v>
      </c>
      <c r="Q120" s="123">
        <f t="shared" ref="Q120" si="1924">+P120+Q119</f>
        <v>1520</v>
      </c>
      <c r="R120" s="123">
        <f t="shared" ref="R120" si="1925">+Q120+R119</f>
        <v>1600</v>
      </c>
      <c r="S120" s="123">
        <f>+R120+S119</f>
        <v>1640</v>
      </c>
      <c r="T120" s="123">
        <f>+S120+T119</f>
        <v>1760</v>
      </c>
      <c r="U120" s="123">
        <f t="shared" ref="U120" si="1926">+T120+U119</f>
        <v>1840</v>
      </c>
      <c r="V120" s="123">
        <f t="shared" ref="V120" si="1927">+U120+V119</f>
        <v>1880</v>
      </c>
      <c r="W120" s="123">
        <f t="shared" ref="W120" si="1928">+V120+W119</f>
        <v>2040</v>
      </c>
      <c r="X120" s="123">
        <f t="shared" ref="X120" si="1929">+W120+X119</f>
        <v>2120</v>
      </c>
      <c r="Y120" s="123">
        <f t="shared" ref="Y120" si="1930">+X120+Y119</f>
        <v>2240</v>
      </c>
      <c r="Z120" s="123">
        <f t="shared" ref="Z120" si="1931">+Y120+Z119</f>
        <v>2320</v>
      </c>
      <c r="AA120" s="123">
        <f t="shared" ref="AA120" si="1932">+Z120+AA119</f>
        <v>2400</v>
      </c>
      <c r="AB120" s="123">
        <f>+AA120+AB119</f>
        <v>2440</v>
      </c>
      <c r="AC120" s="123">
        <f>+AB120+AC119</f>
        <v>2520</v>
      </c>
      <c r="AD120" s="123">
        <f>+AC120+AD119</f>
        <v>2560</v>
      </c>
      <c r="AE120" s="123">
        <f>+AD120+AE119</f>
        <v>2600</v>
      </c>
      <c r="AF120" s="123">
        <f t="shared" ref="AF120" si="1933">+AE120+AF119</f>
        <v>2640</v>
      </c>
      <c r="AG120" s="123">
        <f t="shared" ref="AG120" si="1934">+AF120+AG119</f>
        <v>2680</v>
      </c>
      <c r="AH120" s="123">
        <f t="shared" ref="AH120" si="1935">+AG120+AH119</f>
        <v>2720</v>
      </c>
      <c r="AI120" s="123">
        <f t="shared" ref="AI120" si="1936">+AH120+AI119</f>
        <v>2800</v>
      </c>
      <c r="AJ120" s="123">
        <f t="shared" ref="AJ120" si="1937">+AI120+AJ119</f>
        <v>2840</v>
      </c>
      <c r="AK120" s="123">
        <f t="shared" ref="AK120" si="1938">+AJ120+AK119</f>
        <v>2880</v>
      </c>
      <c r="AL120" s="123">
        <f t="shared" ref="AL120" si="1939">+AK120+AL119</f>
        <v>2960</v>
      </c>
      <c r="AM120" s="123">
        <f t="shared" ref="AM120" si="1940">+AL120+AM119</f>
        <v>3000</v>
      </c>
      <c r="AN120" s="123">
        <f t="shared" ref="AN120" si="1941">+AM120+AN119</f>
        <v>3040</v>
      </c>
      <c r="AO120" s="123">
        <f t="shared" ref="AO120" si="1942">+AN120+AO119</f>
        <v>3080</v>
      </c>
      <c r="AP120" s="123">
        <f t="shared" ref="AP120" si="1943">+AG120+AP119</f>
        <v>2760</v>
      </c>
      <c r="AQ120" s="123">
        <f t="shared" ref="AQ120" si="1944">+AP120+AQ119</f>
        <v>2760</v>
      </c>
      <c r="AR120" s="123">
        <f t="shared" ref="AR120" si="1945">+AI120+AR119</f>
        <v>2840</v>
      </c>
      <c r="AS120" s="123">
        <f t="shared" ref="AS120" si="1946">+AR120+AS119</f>
        <v>2880</v>
      </c>
      <c r="AT120" s="123">
        <f t="shared" ref="AT120" si="1947">+AK120+AT119</f>
        <v>2920</v>
      </c>
      <c r="AU120" s="123">
        <f t="shared" ref="AU120" si="1948">+AT120+AU119</f>
        <v>2960</v>
      </c>
      <c r="AV120" s="123">
        <f t="shared" ref="AV120" si="1949">+AM120+AV119</f>
        <v>3040</v>
      </c>
      <c r="AW120" s="123">
        <f t="shared" ref="AW120" si="1950">+AV120+AW119</f>
        <v>3080</v>
      </c>
      <c r="AX120" s="123">
        <f t="shared" ref="AX120" si="1951">+AO120+AX119</f>
        <v>3120</v>
      </c>
      <c r="AY120" s="123">
        <f t="shared" ref="AY120" si="1952">+AX120+AY119</f>
        <v>3200</v>
      </c>
      <c r="AZ120" s="123">
        <v>3040</v>
      </c>
      <c r="BA120" s="123">
        <f t="shared" ref="BA120:BG120" si="1953">+AZ120+BA119</f>
        <v>3760</v>
      </c>
      <c r="BB120" s="123">
        <f t="shared" si="1953"/>
        <v>4320</v>
      </c>
      <c r="BC120" s="123">
        <f t="shared" si="1953"/>
        <v>4800</v>
      </c>
      <c r="BD120" s="123">
        <f t="shared" si="1953"/>
        <v>5080</v>
      </c>
      <c r="BE120" s="123">
        <f t="shared" si="1953"/>
        <v>5520</v>
      </c>
      <c r="BF120" s="123">
        <f t="shared" si="1953"/>
        <v>6120</v>
      </c>
      <c r="BG120" s="123">
        <f t="shared" si="1953"/>
        <v>6720</v>
      </c>
      <c r="BH120" s="121"/>
      <c r="BI120" s="118"/>
      <c r="BK120" s="118"/>
    </row>
    <row r="121" spans="1:63" ht="35.25" customHeight="1" x14ac:dyDescent="0.2">
      <c r="A121" s="128">
        <f>+A119+1</f>
        <v>55</v>
      </c>
      <c r="B121" s="17" t="s">
        <v>125</v>
      </c>
      <c r="C121" s="17" t="s">
        <v>125</v>
      </c>
      <c r="D121" s="17"/>
      <c r="E121" s="124">
        <v>600</v>
      </c>
      <c r="F121" s="124">
        <v>720</v>
      </c>
      <c r="G121" s="124">
        <v>0</v>
      </c>
      <c r="H121" s="124">
        <v>0</v>
      </c>
      <c r="I121" s="124">
        <v>440</v>
      </c>
      <c r="J121" s="124">
        <v>600</v>
      </c>
      <c r="K121" s="124">
        <v>840</v>
      </c>
      <c r="L121" s="124">
        <v>840</v>
      </c>
      <c r="M121" s="124">
        <v>840</v>
      </c>
      <c r="N121" s="124">
        <v>920</v>
      </c>
      <c r="O121" s="124">
        <v>880</v>
      </c>
      <c r="P121" s="124">
        <v>840</v>
      </c>
      <c r="Q121" s="124">
        <v>720</v>
      </c>
      <c r="R121" s="124">
        <v>760</v>
      </c>
      <c r="S121" s="124">
        <v>840</v>
      </c>
      <c r="T121" s="185">
        <f>320+200</f>
        <v>520</v>
      </c>
      <c r="U121" s="124">
        <v>920</v>
      </c>
      <c r="V121" s="124">
        <v>760</v>
      </c>
      <c r="W121" s="124">
        <v>1440</v>
      </c>
      <c r="X121" s="124">
        <v>880</v>
      </c>
      <c r="Y121" s="124">
        <v>80</v>
      </c>
      <c r="Z121" s="124">
        <v>520</v>
      </c>
      <c r="AA121" s="124">
        <v>920</v>
      </c>
      <c r="AB121" s="124">
        <v>320</v>
      </c>
      <c r="AC121" s="124">
        <v>520</v>
      </c>
      <c r="AD121" s="124">
        <v>560</v>
      </c>
      <c r="AE121" s="124">
        <v>360</v>
      </c>
      <c r="AF121" s="124">
        <v>560</v>
      </c>
      <c r="AG121" s="124">
        <v>360</v>
      </c>
      <c r="AH121" s="124">
        <v>680</v>
      </c>
      <c r="AI121" s="124">
        <v>480</v>
      </c>
      <c r="AJ121" s="124">
        <v>680</v>
      </c>
      <c r="AK121" s="124">
        <v>480</v>
      </c>
      <c r="AL121" s="124">
        <v>680</v>
      </c>
      <c r="AM121" s="124">
        <v>720</v>
      </c>
      <c r="AN121" s="124">
        <v>440</v>
      </c>
      <c r="AO121" s="124">
        <v>440</v>
      </c>
      <c r="AP121" s="124">
        <v>880</v>
      </c>
      <c r="AQ121" s="124">
        <v>440</v>
      </c>
      <c r="AR121" s="124">
        <v>680</v>
      </c>
      <c r="AS121" s="124">
        <v>440</v>
      </c>
      <c r="AT121" s="124">
        <v>400</v>
      </c>
      <c r="AU121" s="124">
        <v>440</v>
      </c>
      <c r="AV121" s="124">
        <v>640</v>
      </c>
      <c r="AW121" s="124">
        <v>400</v>
      </c>
      <c r="AX121" s="124">
        <v>360</v>
      </c>
      <c r="AY121" s="124">
        <v>520</v>
      </c>
      <c r="AZ121" s="124">
        <v>4040</v>
      </c>
      <c r="BA121" s="124">
        <f>+SUM(M121:T121)</f>
        <v>6320</v>
      </c>
      <c r="BB121" s="124">
        <f>SUM(U121:Z121)</f>
        <v>4600</v>
      </c>
      <c r="BC121" s="124">
        <f>SUM(AA121:AI121)</f>
        <v>4760</v>
      </c>
      <c r="BD121" s="124">
        <f>SUM(AJ121:AO121)</f>
        <v>3440</v>
      </c>
      <c r="BE121" s="124">
        <f>SUM(AP121:AY121)</f>
        <v>5200</v>
      </c>
      <c r="BF121" s="124">
        <v>4360</v>
      </c>
      <c r="BG121" s="124">
        <v>4320</v>
      </c>
      <c r="BH121" s="116" t="s">
        <v>162</v>
      </c>
    </row>
    <row r="122" spans="1:63" ht="35.25" customHeight="1" x14ac:dyDescent="0.2">
      <c r="A122" s="16"/>
      <c r="B122" s="120"/>
      <c r="C122" s="120" t="s">
        <v>48</v>
      </c>
      <c r="D122" s="133">
        <f>E122</f>
        <v>3960</v>
      </c>
      <c r="E122" s="123">
        <v>3960</v>
      </c>
      <c r="F122" s="123">
        <f>+E122+F121</f>
        <v>4680</v>
      </c>
      <c r="G122" s="123">
        <f>+F122+G121</f>
        <v>4680</v>
      </c>
      <c r="H122" s="123">
        <f>+G122+H121</f>
        <v>4680</v>
      </c>
      <c r="I122" s="123">
        <f>+H122+I121</f>
        <v>5120</v>
      </c>
      <c r="J122" s="123">
        <f>+I122+J121</f>
        <v>5720</v>
      </c>
      <c r="K122" s="123">
        <f t="shared" ref="K122" si="1954">+J122+K121</f>
        <v>6560</v>
      </c>
      <c r="L122" s="123">
        <f t="shared" ref="L122" si="1955">+K122+L121</f>
        <v>7400</v>
      </c>
      <c r="M122" s="123">
        <f t="shared" ref="M122" si="1956">+L122+M121</f>
        <v>8240</v>
      </c>
      <c r="N122" s="123">
        <f t="shared" ref="N122" si="1957">+M122+N121</f>
        <v>9160</v>
      </c>
      <c r="O122" s="123">
        <f t="shared" ref="O122" si="1958">+N122+O121</f>
        <v>10040</v>
      </c>
      <c r="P122" s="123">
        <f t="shared" ref="P122" si="1959">+O122+P121</f>
        <v>10880</v>
      </c>
      <c r="Q122" s="123">
        <f t="shared" ref="Q122" si="1960">+P122+Q121</f>
        <v>11600</v>
      </c>
      <c r="R122" s="123">
        <f t="shared" ref="R122" si="1961">+Q122+R121</f>
        <v>12360</v>
      </c>
      <c r="S122" s="123">
        <f>+R122+S121</f>
        <v>13200</v>
      </c>
      <c r="T122" s="123">
        <f>+S122+T121</f>
        <v>13720</v>
      </c>
      <c r="U122" s="123">
        <f t="shared" ref="U122" si="1962">+T122+U121</f>
        <v>14640</v>
      </c>
      <c r="V122" s="123">
        <f t="shared" ref="V122" si="1963">+U122+V121</f>
        <v>15400</v>
      </c>
      <c r="W122" s="123">
        <f t="shared" ref="W122" si="1964">+V122+W121</f>
        <v>16840</v>
      </c>
      <c r="X122" s="123">
        <f t="shared" ref="X122" si="1965">+W122+X121</f>
        <v>17720</v>
      </c>
      <c r="Y122" s="123">
        <f t="shared" ref="Y122" si="1966">+X122+Y121</f>
        <v>17800</v>
      </c>
      <c r="Z122" s="123">
        <f t="shared" ref="Z122" si="1967">+Y122+Z121</f>
        <v>18320</v>
      </c>
      <c r="AA122" s="123">
        <f t="shared" ref="AA122" si="1968">+Z122+AA121</f>
        <v>19240</v>
      </c>
      <c r="AB122" s="123">
        <f>+AA122+AB121</f>
        <v>19560</v>
      </c>
      <c r="AC122" s="123">
        <f>+AB122+AC121</f>
        <v>20080</v>
      </c>
      <c r="AD122" s="123">
        <f>+AC122+AD121</f>
        <v>20640</v>
      </c>
      <c r="AE122" s="123">
        <f>+AD122+AE121</f>
        <v>21000</v>
      </c>
      <c r="AF122" s="123">
        <f t="shared" ref="AF122" si="1969">+AE122+AF121</f>
        <v>21560</v>
      </c>
      <c r="AG122" s="123">
        <f t="shared" ref="AG122" si="1970">+AF122+AG121</f>
        <v>21920</v>
      </c>
      <c r="AH122" s="123">
        <f t="shared" ref="AH122" si="1971">+AG122+AH121</f>
        <v>22600</v>
      </c>
      <c r="AI122" s="123">
        <f t="shared" ref="AI122" si="1972">+AH122+AI121</f>
        <v>23080</v>
      </c>
      <c r="AJ122" s="123">
        <f t="shared" ref="AJ122" si="1973">+AI122+AJ121</f>
        <v>23760</v>
      </c>
      <c r="AK122" s="123">
        <f t="shared" ref="AK122" si="1974">+AJ122+AK121</f>
        <v>24240</v>
      </c>
      <c r="AL122" s="123">
        <f t="shared" ref="AL122" si="1975">+AK122+AL121</f>
        <v>24920</v>
      </c>
      <c r="AM122" s="123">
        <f t="shared" ref="AM122" si="1976">+AL122+AM121</f>
        <v>25640</v>
      </c>
      <c r="AN122" s="123">
        <f t="shared" ref="AN122" si="1977">+AM122+AN121</f>
        <v>26080</v>
      </c>
      <c r="AO122" s="123">
        <f t="shared" ref="AO122" si="1978">+AN122+AO121</f>
        <v>26520</v>
      </c>
      <c r="AP122" s="123">
        <f t="shared" ref="AP122" si="1979">+AG122+AP121</f>
        <v>22800</v>
      </c>
      <c r="AQ122" s="123">
        <f t="shared" ref="AQ122" si="1980">+AP122+AQ121</f>
        <v>23240</v>
      </c>
      <c r="AR122" s="123">
        <f t="shared" ref="AR122" si="1981">+AI122+AR121</f>
        <v>23760</v>
      </c>
      <c r="AS122" s="123">
        <f t="shared" ref="AS122" si="1982">+AR122+AS121</f>
        <v>24200</v>
      </c>
      <c r="AT122" s="123">
        <f t="shared" ref="AT122" si="1983">+AK122+AT121</f>
        <v>24640</v>
      </c>
      <c r="AU122" s="123">
        <f t="shared" ref="AU122" si="1984">+AT122+AU121</f>
        <v>25080</v>
      </c>
      <c r="AV122" s="123">
        <f t="shared" ref="AV122" si="1985">+AM122+AV121</f>
        <v>26280</v>
      </c>
      <c r="AW122" s="123">
        <f t="shared" ref="AW122" si="1986">+AV122+AW121</f>
        <v>26680</v>
      </c>
      <c r="AX122" s="123">
        <f t="shared" ref="AX122" si="1987">+AO122+AX121</f>
        <v>26880</v>
      </c>
      <c r="AY122" s="123">
        <f t="shared" ref="AY122" si="1988">+AX122+AY121</f>
        <v>27400</v>
      </c>
      <c r="AZ122" s="123">
        <v>22720</v>
      </c>
      <c r="BA122" s="123">
        <f t="shared" ref="BA122:BG122" si="1989">+AZ122+BA121</f>
        <v>29040</v>
      </c>
      <c r="BB122" s="123">
        <f t="shared" si="1989"/>
        <v>33640</v>
      </c>
      <c r="BC122" s="123">
        <f t="shared" si="1989"/>
        <v>38400</v>
      </c>
      <c r="BD122" s="123">
        <f t="shared" si="1989"/>
        <v>41840</v>
      </c>
      <c r="BE122" s="123">
        <f t="shared" si="1989"/>
        <v>47040</v>
      </c>
      <c r="BF122" s="123">
        <f t="shared" si="1989"/>
        <v>51400</v>
      </c>
      <c r="BG122" s="123">
        <f t="shared" si="1989"/>
        <v>55720</v>
      </c>
      <c r="BH122" s="121"/>
      <c r="BI122" s="118"/>
      <c r="BK122" s="118"/>
    </row>
    <row r="123" spans="1:63" ht="35.25" customHeight="1" x14ac:dyDescent="0.2">
      <c r="A123" s="16">
        <f>+A121+1</f>
        <v>56</v>
      </c>
      <c r="B123" s="17" t="s">
        <v>127</v>
      </c>
      <c r="C123" s="17" t="s">
        <v>127</v>
      </c>
      <c r="D123" s="17"/>
      <c r="E123" s="124">
        <v>0</v>
      </c>
      <c r="F123" s="124">
        <v>0</v>
      </c>
      <c r="G123" s="124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124">
        <v>0</v>
      </c>
      <c r="N123" s="124">
        <v>0</v>
      </c>
      <c r="O123" s="124">
        <v>0</v>
      </c>
      <c r="P123" s="124">
        <v>0</v>
      </c>
      <c r="Q123" s="124">
        <v>0</v>
      </c>
      <c r="R123" s="124">
        <v>0</v>
      </c>
      <c r="S123" s="124">
        <v>0</v>
      </c>
      <c r="T123" s="124">
        <v>60</v>
      </c>
      <c r="U123" s="124">
        <v>0</v>
      </c>
      <c r="V123" s="124">
        <v>0</v>
      </c>
      <c r="W123" s="124">
        <v>0</v>
      </c>
      <c r="X123" s="124">
        <v>0</v>
      </c>
      <c r="Y123" s="124">
        <v>0</v>
      </c>
      <c r="Z123" s="124">
        <v>0</v>
      </c>
      <c r="AA123" s="124">
        <v>120</v>
      </c>
      <c r="AB123" s="124">
        <v>0</v>
      </c>
      <c r="AC123" s="124">
        <v>0</v>
      </c>
      <c r="AD123" s="124">
        <v>0</v>
      </c>
      <c r="AE123" s="124">
        <v>0</v>
      </c>
      <c r="AF123" s="124">
        <v>0</v>
      </c>
      <c r="AG123" s="124">
        <v>0</v>
      </c>
      <c r="AH123" s="124">
        <v>0</v>
      </c>
      <c r="AI123" s="124">
        <v>0</v>
      </c>
      <c r="AJ123" s="124">
        <v>60</v>
      </c>
      <c r="AK123" s="124">
        <v>0</v>
      </c>
      <c r="AL123" s="124">
        <v>0</v>
      </c>
      <c r="AM123" s="124">
        <v>0</v>
      </c>
      <c r="AN123" s="124">
        <v>0</v>
      </c>
      <c r="AO123" s="124">
        <v>0</v>
      </c>
      <c r="AP123" s="124">
        <v>0</v>
      </c>
      <c r="AQ123" s="124">
        <v>0</v>
      </c>
      <c r="AR123" s="124">
        <v>60</v>
      </c>
      <c r="AS123" s="124">
        <v>0</v>
      </c>
      <c r="AT123" s="124">
        <v>0</v>
      </c>
      <c r="AU123" s="124">
        <v>0</v>
      </c>
      <c r="AV123" s="124">
        <v>0</v>
      </c>
      <c r="AW123" s="124">
        <v>0</v>
      </c>
      <c r="AX123" s="124">
        <v>0</v>
      </c>
      <c r="AY123" s="124">
        <v>0</v>
      </c>
      <c r="AZ123" s="124">
        <v>0</v>
      </c>
      <c r="BA123" s="124">
        <f>+SUM(M123:T123)</f>
        <v>60</v>
      </c>
      <c r="BB123" s="124">
        <f>SUM(U123:Z123)</f>
        <v>0</v>
      </c>
      <c r="BC123" s="124">
        <f>SUM(AA123:AI123)</f>
        <v>120</v>
      </c>
      <c r="BD123" s="124">
        <f>SUM(AJ123:AO123)</f>
        <v>60</v>
      </c>
      <c r="BE123" s="124">
        <f>SUM(AP123:AY123)</f>
        <v>60</v>
      </c>
      <c r="BF123" s="124">
        <v>60</v>
      </c>
      <c r="BG123" s="124">
        <v>60</v>
      </c>
      <c r="BH123" s="116" t="s">
        <v>221</v>
      </c>
    </row>
    <row r="124" spans="1:63" ht="35.25" customHeight="1" x14ac:dyDescent="0.2">
      <c r="A124" s="16"/>
      <c r="B124" s="120"/>
      <c r="C124" s="120" t="s">
        <v>48</v>
      </c>
      <c r="D124" s="133">
        <f>E124</f>
        <v>40</v>
      </c>
      <c r="E124" s="123">
        <v>40</v>
      </c>
      <c r="F124" s="123">
        <f>+E124+F123</f>
        <v>40</v>
      </c>
      <c r="G124" s="123">
        <f>+F124+G123</f>
        <v>40</v>
      </c>
      <c r="H124" s="123">
        <f>+G124+H123</f>
        <v>40</v>
      </c>
      <c r="I124" s="123">
        <f>+H124+I123</f>
        <v>40</v>
      </c>
      <c r="J124" s="123">
        <f>+I124+J123</f>
        <v>40</v>
      </c>
      <c r="K124" s="123">
        <f t="shared" ref="K124" si="1990">+J124+K123</f>
        <v>40</v>
      </c>
      <c r="L124" s="123">
        <f t="shared" ref="L124" si="1991">+K124+L123</f>
        <v>40</v>
      </c>
      <c r="M124" s="123">
        <f t="shared" ref="M124" si="1992">+L124+M123</f>
        <v>40</v>
      </c>
      <c r="N124" s="123">
        <f t="shared" ref="N124" si="1993">+M124+N123</f>
        <v>40</v>
      </c>
      <c r="O124" s="123">
        <f t="shared" ref="O124" si="1994">+N124+O123</f>
        <v>40</v>
      </c>
      <c r="P124" s="123">
        <f t="shared" ref="P124" si="1995">+O124+P123</f>
        <v>40</v>
      </c>
      <c r="Q124" s="123">
        <f t="shared" ref="Q124" si="1996">+P124+Q123</f>
        <v>40</v>
      </c>
      <c r="R124" s="123">
        <f t="shared" ref="R124" si="1997">+Q124+R123</f>
        <v>40</v>
      </c>
      <c r="S124" s="123">
        <f>+R124+S123</f>
        <v>40</v>
      </c>
      <c r="T124" s="123">
        <f>+S124+T123</f>
        <v>100</v>
      </c>
      <c r="U124" s="123">
        <f t="shared" ref="U124" si="1998">+T124+U123</f>
        <v>100</v>
      </c>
      <c r="V124" s="123">
        <f t="shared" ref="V124" si="1999">+U124+V123</f>
        <v>100</v>
      </c>
      <c r="W124" s="123">
        <f t="shared" ref="W124" si="2000">+V124+W123</f>
        <v>100</v>
      </c>
      <c r="X124" s="123">
        <f t="shared" ref="X124" si="2001">+W124+X123</f>
        <v>100</v>
      </c>
      <c r="Y124" s="123">
        <f t="shared" ref="Y124" si="2002">+X124+Y123</f>
        <v>100</v>
      </c>
      <c r="Z124" s="123">
        <f t="shared" ref="Z124" si="2003">+Y124+Z123</f>
        <v>100</v>
      </c>
      <c r="AA124" s="123">
        <f t="shared" ref="AA124" si="2004">+Z124+AA123</f>
        <v>220</v>
      </c>
      <c r="AB124" s="123">
        <f>+AA124+AB123</f>
        <v>220</v>
      </c>
      <c r="AC124" s="123">
        <f>+AB124+AC123</f>
        <v>220</v>
      </c>
      <c r="AD124" s="123">
        <f>+AC124+AD123</f>
        <v>220</v>
      </c>
      <c r="AE124" s="123">
        <f>+AD124+AE123</f>
        <v>220</v>
      </c>
      <c r="AF124" s="123">
        <f t="shared" ref="AF124" si="2005">+AE124+AF123</f>
        <v>220</v>
      </c>
      <c r="AG124" s="123">
        <f t="shared" ref="AG124" si="2006">+AF124+AG123</f>
        <v>220</v>
      </c>
      <c r="AH124" s="123">
        <f t="shared" ref="AH124" si="2007">+AG124+AH123</f>
        <v>220</v>
      </c>
      <c r="AI124" s="123">
        <f t="shared" ref="AI124" si="2008">+AH124+AI123</f>
        <v>220</v>
      </c>
      <c r="AJ124" s="123">
        <f t="shared" ref="AJ124" si="2009">+AI124+AJ123</f>
        <v>280</v>
      </c>
      <c r="AK124" s="123">
        <f t="shared" ref="AK124" si="2010">+AJ124+AK123</f>
        <v>280</v>
      </c>
      <c r="AL124" s="123">
        <f t="shared" ref="AL124" si="2011">+AK124+AL123</f>
        <v>280</v>
      </c>
      <c r="AM124" s="123">
        <f t="shared" ref="AM124" si="2012">+AL124+AM123</f>
        <v>280</v>
      </c>
      <c r="AN124" s="123">
        <f t="shared" ref="AN124" si="2013">+AM124+AN123</f>
        <v>280</v>
      </c>
      <c r="AO124" s="123">
        <f t="shared" ref="AO124" si="2014">+AN124+AO123</f>
        <v>280</v>
      </c>
      <c r="AP124" s="123">
        <f t="shared" ref="AP124" si="2015">+AG124+AP123</f>
        <v>220</v>
      </c>
      <c r="AQ124" s="123">
        <f t="shared" ref="AQ124" si="2016">+AP124+AQ123</f>
        <v>220</v>
      </c>
      <c r="AR124" s="123">
        <f t="shared" ref="AR124" si="2017">+AI124+AR123</f>
        <v>280</v>
      </c>
      <c r="AS124" s="123">
        <f t="shared" ref="AS124" si="2018">+AR124+AS123</f>
        <v>280</v>
      </c>
      <c r="AT124" s="123">
        <f t="shared" ref="AT124" si="2019">+AK124+AT123</f>
        <v>280</v>
      </c>
      <c r="AU124" s="123">
        <f t="shared" ref="AU124" si="2020">+AT124+AU123</f>
        <v>280</v>
      </c>
      <c r="AV124" s="123">
        <f t="shared" ref="AV124" si="2021">+AM124+AV123</f>
        <v>280</v>
      </c>
      <c r="AW124" s="123">
        <f t="shared" ref="AW124" si="2022">+AV124+AW123</f>
        <v>280</v>
      </c>
      <c r="AX124" s="123">
        <f t="shared" ref="AX124" si="2023">+AO124+AX123</f>
        <v>280</v>
      </c>
      <c r="AY124" s="123">
        <f t="shared" ref="AY124" si="2024">+AX124+AY123</f>
        <v>280</v>
      </c>
      <c r="AZ124" s="123">
        <v>160</v>
      </c>
      <c r="BA124" s="123">
        <f t="shared" ref="BA124:BG124" si="2025">+AZ124+BA123</f>
        <v>220</v>
      </c>
      <c r="BB124" s="123">
        <f t="shared" si="2025"/>
        <v>220</v>
      </c>
      <c r="BC124" s="123">
        <f t="shared" si="2025"/>
        <v>340</v>
      </c>
      <c r="BD124" s="123">
        <f t="shared" si="2025"/>
        <v>400</v>
      </c>
      <c r="BE124" s="123">
        <f t="shared" si="2025"/>
        <v>460</v>
      </c>
      <c r="BF124" s="123">
        <f t="shared" si="2025"/>
        <v>520</v>
      </c>
      <c r="BG124" s="123">
        <f t="shared" si="2025"/>
        <v>580</v>
      </c>
      <c r="BH124" s="121"/>
      <c r="BI124" s="118"/>
      <c r="BK124" s="118"/>
    </row>
    <row r="125" spans="1:63" s="8" customFormat="1" ht="6.75" customHeight="1" thickBo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</row>
    <row r="126" spans="1:63" ht="35.25" customHeight="1" x14ac:dyDescent="0.2">
      <c r="A126" s="230" t="s">
        <v>6</v>
      </c>
      <c r="B126" s="231"/>
      <c r="C126" s="13"/>
      <c r="D126" s="13"/>
      <c r="E126" s="117" t="e">
        <f>SUM(E13,E15,E17,E19,E21,E23,E25,E27,E29,E31,E33,E35,E37,E39,E41,E43,E45,E47,E49,E51,E53,E55,E57,#REF!,#REF!,E59,E61,E63,E65,E67,E69,E71,E73,#REF!,E75,E77,E79,E81,E83,E85,E87,E89,E91,E93,E95,E97,E99,E101,E103,E105,E107,E109,E111,E113,E115,E117,E119,E121,E123)</f>
        <v>#REF!</v>
      </c>
      <c r="F126" s="117" t="e">
        <f>SUM(F13,F15,F17,F19,F21,F23,F25,F27,F29,F31,F33,F35,F37,F39,F41,F43,F45,F47,F49,F51,F53,F55,F57,#REF!,#REF!,F59,F61,F63,F65,F67,F69,F71,F73,#REF!,F75,F77,F79,F81,F83,F85,F87,F89,F91,F93,F95,F97,F99,F101,F103,F105,F107,F109,F111,F113,F115,F117,F119,F121,F123)</f>
        <v>#REF!</v>
      </c>
      <c r="G126" s="117" t="e">
        <f>SUM(G13,G15,G17,G19,G21,G23,G25,G27,G29,G31,G33,G35,G37,G39,G41,G43,G45,G47,G49,G51,G53,G55,G57,#REF!,#REF!,G59,G61,G63,G65,G67,G69,G71,G73,#REF!,G75,G77,G79,G81,G83,G85,G87,G89,G91,G93,G95,G97,G99,G101,G103,G105,G107,G109,G111,G113,G115,G117,G119,G121,G123)</f>
        <v>#REF!</v>
      </c>
      <c r="H126" s="117" t="e">
        <f>SUM(H13,H15,H17,H19,H21,H23,H25,H27,H29,H31,H33,H35,H37,H39,H41,H43,H45,H47,H49,H51,H53,H55,H57,#REF!,#REF!,H59,H61,H63,H65,H67,H69,H71,H73,#REF!,H75,H77,H79,H81,H83,H85,H87,H89,H91,H93,H95,H97,H99,H101,H103,H105,H107,H109,H111,H113,H115,H117,H119,H121,H123)</f>
        <v>#REF!</v>
      </c>
      <c r="I126" s="117" t="e">
        <f>SUM(I13,I15,I17,I19,I21,I23,I25,I27,I29,I31,I33,I35,I37,I39,I41,I43,I45,I47,I49,I51,I53,I55,I57,#REF!,#REF!,I59,I61,I63,I65,I67,I69,I71,I73,#REF!,I75,I77,I79,I81,I83,I85,I87,I89,I91,I93,I95,I97,I99,I101,I103,I105,I107,I109,I111,I113,I115,I117,I119,I121,I123)</f>
        <v>#REF!</v>
      </c>
      <c r="J126" s="117" t="e">
        <f>SUM(J13,J15,J17,J19,J21,J23,J25,J27,J29,J31,J33,J35,J37,J39,J41,J43,J45,J47,J49,J51,J53,J55,J57,#REF!,#REF!,J59,J61,J63,J65,J67,J69,J71,J73,#REF!,J75,J77,J79,J81,J83,J85,J87,J89,J91,J93,J95,J97,J99,J101,J103,J105,J107,J109,J111,J113,J115,J117,J119,J121,J123)</f>
        <v>#REF!</v>
      </c>
      <c r="K126" s="117" t="e">
        <f>SUM(K13,K15,K17,K19,K21,K23,K25,K27,K29,K31,K33,K35,K37,K39,K41,K43,K45,K47,K49,K51,K53,K55,K57,#REF!,#REF!,K59,K61,K63,K65,K67,K69,K71,K73,#REF!,K75,K77,K79,K81,K83,K85,K87,K89,K91,K93,K95,K97,K99,K101,K103,K105,K107,K109,K111,K113,K115,K117,K119,K121,K123)</f>
        <v>#REF!</v>
      </c>
      <c r="L126" s="117" t="e">
        <f>SUM(L13,L15,L17,L19,L21,L23,L25,L27,L29,L31,L33,L35,L37,L39,L41,L43,L45,L47,L49,L51,L53,L55,L57,#REF!,#REF!,L59,L61,L63,L65,L67,L69,L71,L73,#REF!,L75,L77,L79,L81,L83,L85,L87,L89,L91,L93,L95,L97,L99,L101,L103,L105,L107,L109,L111,L113,L115,L117,L119,L121,L123)</f>
        <v>#REF!</v>
      </c>
      <c r="M126" s="117" t="e">
        <f>SUM(M13,M15,M17,M19,M21,M23,M25,M27,M29,M31,M33,M35,M37,M39,M41,M43,M45,M47,M49,M51,M53,M55,M57,#REF!,#REF!,M59,M61,M63,M65,M67,M69,M71,M73,#REF!,M75,M77,M79,M81,M83,M85,M87,M89,M91,M93,M95,M97,M99,M101,M103,M105,M107,M109,M111,M113,M115,M117,M119,M121,M123)</f>
        <v>#REF!</v>
      </c>
      <c r="N126" s="117" t="e">
        <f>SUM(N13,N15,N17,N19,N21,N23,N25,N27,N29,N31,N33,N35,N37,N39,N41,N43,N45,N47,N49,N51,N53,N55,N57,#REF!,#REF!,N59,N61,N63,N65,N67,N69,N71,N73,#REF!,N75,N77,N79,N81,N83,N85,N87,N89,N91,N93,N95,N97,N99,N101,N103,N105,N107,N109,N111,N113,N115,N117,N119,N121,N123)</f>
        <v>#REF!</v>
      </c>
      <c r="O126" s="117" t="e">
        <f>SUM(O13,O15,O17,O19,O21,O23,O25,O27,O29,O31,O33,O35,O37,O39,O41,O43,O45,O47,O49,O51,O53,O55,O57,#REF!,#REF!,O59,O61,O63,O65,O67,O69,O71,O73,#REF!,O75,O77,O79,O81,O83,O85,O87,O89,O91,O93,O95,O97,O99,O101,O103,O105,O107,O109,O111,O113,O115,O117,O119,O121,O123)</f>
        <v>#REF!</v>
      </c>
      <c r="P126" s="117" t="e">
        <f>SUM(P13,P15,P17,P19,P21,P23,P25,P27,P29,P31,P33,P35,P37,P39,P41,P43,P45,P47,P49,P51,P53,P55,P57,#REF!,#REF!,P59,P61,P63,P65,P67,P69,P71,P73,#REF!,P75,P77,P79,P81,P83,P85,P87,P89,P91,P93,P95,P97,P99,P101,P103,P105,P107,P109,P111,P113,P115,P117,P119,P121,P123)</f>
        <v>#REF!</v>
      </c>
      <c r="Q126" s="117">
        <f>SUM(Q13,Q15,Q17,Q19,Q21,Q23,Q25,Q27,Q29,Q31,Q33,Q35,Q37,Q39,Q41,Q43,Q45,Q47,Q49,Q51,Q53,Q55,Q57,Q59,Q61,Q63,Q65,Q67,Q69,Q71,Q73,Q75,Q77,Q79,Q81,Q83,Q85,Q87,Q89,Q91,Q93,Q95,Q97,Q99,Q101,Q103,Q105,Q107,Q109,Q111,Q113,Q115,Q117,Q119,Q121,Q123)</f>
        <v>11630</v>
      </c>
      <c r="R126" s="117">
        <f t="shared" ref="R126:BF126" si="2026">SUM(R13,R15,R17,R19,R21,R23,R25,R27,R29,R31,R33,R35,R37,R39,R41,R43,R45,R47,R49,R51,R53,R55,R57,R59,R61,R63,R65,R67,R69,R71,R73,R75,R77,R79,R81,R83,R85,R87,R89,R91,R93,R95,R97,R99,R101,R103,R105,R107,R109,R111,R113,R115,R117,R119,R121,R123)</f>
        <v>11110</v>
      </c>
      <c r="S126" s="117">
        <f t="shared" si="2026"/>
        <v>11890</v>
      </c>
      <c r="T126" s="117">
        <f t="shared" si="2026"/>
        <v>13010</v>
      </c>
      <c r="U126" s="117">
        <f t="shared" si="2026"/>
        <v>10760</v>
      </c>
      <c r="V126" s="117">
        <f t="shared" si="2026"/>
        <v>9770</v>
      </c>
      <c r="W126" s="117">
        <f t="shared" si="2026"/>
        <v>12920</v>
      </c>
      <c r="X126" s="117">
        <f t="shared" si="2026"/>
        <v>13180</v>
      </c>
      <c r="Y126" s="117">
        <f t="shared" si="2026"/>
        <v>13690</v>
      </c>
      <c r="Z126" s="117">
        <f t="shared" si="2026"/>
        <v>10860</v>
      </c>
      <c r="AA126" s="117">
        <f t="shared" si="2026"/>
        <v>14510</v>
      </c>
      <c r="AB126" s="117">
        <f t="shared" si="2026"/>
        <v>7520</v>
      </c>
      <c r="AC126" s="117">
        <f t="shared" si="2026"/>
        <v>7240</v>
      </c>
      <c r="AD126" s="117">
        <f t="shared" si="2026"/>
        <v>9210</v>
      </c>
      <c r="AE126" s="117">
        <f t="shared" si="2026"/>
        <v>6940</v>
      </c>
      <c r="AF126" s="117">
        <f t="shared" si="2026"/>
        <v>10260</v>
      </c>
      <c r="AG126" s="117">
        <f t="shared" si="2026"/>
        <v>6760</v>
      </c>
      <c r="AH126" s="117">
        <f t="shared" si="2026"/>
        <v>11880</v>
      </c>
      <c r="AI126" s="117">
        <f t="shared" si="2026"/>
        <v>7950</v>
      </c>
      <c r="AJ126" s="117">
        <f t="shared" si="2026"/>
        <v>12010</v>
      </c>
      <c r="AK126" s="117">
        <f t="shared" si="2026"/>
        <v>7970</v>
      </c>
      <c r="AL126" s="117">
        <f t="shared" si="2026"/>
        <v>11750</v>
      </c>
      <c r="AM126" s="117">
        <f t="shared" si="2026"/>
        <v>11690</v>
      </c>
      <c r="AN126" s="117">
        <f t="shared" si="2026"/>
        <v>7820</v>
      </c>
      <c r="AO126" s="117">
        <f t="shared" si="2026"/>
        <v>8300</v>
      </c>
      <c r="AP126" s="117">
        <f t="shared" ref="AP126:AQ126" si="2027">SUM(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</f>
        <v>16880</v>
      </c>
      <c r="AQ126" s="117">
        <f t="shared" si="2027"/>
        <v>8120</v>
      </c>
      <c r="AR126" s="117">
        <f t="shared" si="2026"/>
        <v>12560</v>
      </c>
      <c r="AS126" s="117">
        <f t="shared" si="2026"/>
        <v>8110</v>
      </c>
      <c r="AT126" s="117">
        <f t="shared" ref="AT126:AU126" si="2028">SUM(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</f>
        <v>8050</v>
      </c>
      <c r="AU126" s="117">
        <f t="shared" si="2028"/>
        <v>8180</v>
      </c>
      <c r="AV126" s="117">
        <f t="shared" si="2026"/>
        <v>12040</v>
      </c>
      <c r="AW126" s="117">
        <f t="shared" si="2026"/>
        <v>7520</v>
      </c>
      <c r="AX126" s="117">
        <f t="shared" ref="AX126:AY126" si="2029">SUM(AX13,AX15,AX17,AX19,AX21,AX23,AX25,AX27,AX29,AX31,AX33,AX35,AX37,AX39,AX41,AX43,AX45,AX47,AX49,AX51,AX53,AX55,AX57,AX59,AX61,AX63,AX65,AX67,AX69,AX71,AX73,AX75,AX77,AX79,AX81,AX83,AX85,AX87,AX89,AX91,AX93,AX95,AX97,AX99,AX101,AX103,AX105,AX107,AX109,AX111,AX113,AX115,AX117,AX119,AX121,AX123)</f>
        <v>7310</v>
      </c>
      <c r="AY126" s="117">
        <f t="shared" si="2029"/>
        <v>11020</v>
      </c>
      <c r="AZ126" s="117">
        <f t="shared" si="2026"/>
        <v>74280</v>
      </c>
      <c r="BA126" s="117">
        <f t="shared" si="2026"/>
        <v>100320</v>
      </c>
      <c r="BB126" s="117">
        <f t="shared" si="2026"/>
        <v>71180</v>
      </c>
      <c r="BC126" s="117">
        <f t="shared" si="2026"/>
        <v>82270</v>
      </c>
      <c r="BD126" s="117">
        <f t="shared" si="2026"/>
        <v>59540</v>
      </c>
      <c r="BE126" s="117">
        <f t="shared" si="2026"/>
        <v>99790</v>
      </c>
      <c r="BF126" s="117">
        <f t="shared" si="2026"/>
        <v>84560</v>
      </c>
      <c r="BG126" s="117">
        <f t="shared" ref="BG126" si="2030">SUM(BG13,BG15,BG17,BG19,BG21,BG23,BG25,BG27,BG29,BG31,BG33,BG35,BG37,BG39,BG41,BG43,BG45,BG47,BG49,BG51,BG53,BG55,BG57,BG59,BG61,BG63,BG65,BG67,BG69,BG71,BG73,BG75,BG77,BG79,BG81,BG83,BG85,BG87,BG89,BG91,BG93,BG95,BG97,BG99,BG101,BG103,BG105,BG107,BG109,BG111,BG113,BG115,BG117,BG119,BG121,BG123)</f>
        <v>73720</v>
      </c>
      <c r="BH126" s="117"/>
    </row>
    <row r="127" spans="1:63" ht="23.25" customHeight="1" x14ac:dyDescent="0.2"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</row>
    <row r="128" spans="1:63" ht="23.25" customHeight="1" x14ac:dyDescent="0.2"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</row>
    <row r="129" spans="5:60" ht="23.25" customHeight="1" x14ac:dyDescent="0.2"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BH129" s="9"/>
    </row>
    <row r="132" spans="5:60" ht="16.5" x14ac:dyDescent="0.2"/>
  </sheetData>
  <autoFilter ref="A11:BK124"/>
  <mergeCells count="47">
    <mergeCell ref="BG4:BG9"/>
    <mergeCell ref="BG10:BG11"/>
    <mergeCell ref="BF4:BF9"/>
    <mergeCell ref="BF10:BF11"/>
    <mergeCell ref="BH1:BH11"/>
    <mergeCell ref="AB4:AC4"/>
    <mergeCell ref="AD4:AE4"/>
    <mergeCell ref="AZ4:AZ9"/>
    <mergeCell ref="AZ10:AZ11"/>
    <mergeCell ref="W4:X4"/>
    <mergeCell ref="Y4:Z4"/>
    <mergeCell ref="AF4:AG4"/>
    <mergeCell ref="AH4:AI4"/>
    <mergeCell ref="AN4:AO4"/>
    <mergeCell ref="AL4:AM4"/>
    <mergeCell ref="AJ4:AK4"/>
    <mergeCell ref="AV4:AW4"/>
    <mergeCell ref="AT4:AU4"/>
    <mergeCell ref="AR4:AS4"/>
    <mergeCell ref="AP4:AQ4"/>
    <mergeCell ref="BE4:BE9"/>
    <mergeCell ref="A126:B126"/>
    <mergeCell ref="A9:D9"/>
    <mergeCell ref="A6:D6"/>
    <mergeCell ref="A10:D10"/>
    <mergeCell ref="A5:D5"/>
    <mergeCell ref="BE10:BE11"/>
    <mergeCell ref="BC4:BC9"/>
    <mergeCell ref="BC10:BC11"/>
    <mergeCell ref="BB4:BB9"/>
    <mergeCell ref="BB10:BB11"/>
    <mergeCell ref="BA4:BA9"/>
    <mergeCell ref="BA10:BA11"/>
    <mergeCell ref="BD4:BD9"/>
    <mergeCell ref="BD10:BD11"/>
    <mergeCell ref="AX4:AY4"/>
    <mergeCell ref="A1:B1"/>
    <mergeCell ref="A3:U3"/>
    <mergeCell ref="K4:L4"/>
    <mergeCell ref="I4:J4"/>
    <mergeCell ref="G4:H4"/>
    <mergeCell ref="E4:F4"/>
    <mergeCell ref="O4:P4"/>
    <mergeCell ref="S4:T4"/>
    <mergeCell ref="M4:N4"/>
    <mergeCell ref="U4:V4"/>
    <mergeCell ref="Q4:R4"/>
  </mergeCells>
  <phoneticPr fontId="3" type="noConversion"/>
  <conditionalFormatting sqref="A125 A13:A40 A48:A62">
    <cfRule type="cellIs" dxfId="107" priority="193" stopIfTrue="1" operator="greaterThan">
      <formula>0</formula>
    </cfRule>
    <cfRule type="cellIs" dxfId="106" priority="194" stopIfTrue="1" operator="equal">
      <formula>0</formula>
    </cfRule>
  </conditionalFormatting>
  <conditionalFormatting sqref="A42 A44 A46 A64 A66:A74 A76 A78 A80 A82 A84">
    <cfRule type="cellIs" dxfId="105" priority="153" stopIfTrue="1" operator="greaterThan">
      <formula>0</formula>
    </cfRule>
    <cfRule type="cellIs" dxfId="104" priority="154" stopIfTrue="1" operator="equal">
      <formula>0</formula>
    </cfRule>
  </conditionalFormatting>
  <conditionalFormatting sqref="A41">
    <cfRule type="cellIs" dxfId="103" priority="151" stopIfTrue="1" operator="greaterThan">
      <formula>0</formula>
    </cfRule>
    <cfRule type="cellIs" dxfId="102" priority="152" stopIfTrue="1" operator="equal">
      <formula>0</formula>
    </cfRule>
  </conditionalFormatting>
  <conditionalFormatting sqref="A43">
    <cfRule type="cellIs" dxfId="101" priority="149" stopIfTrue="1" operator="greaterThan">
      <formula>0</formula>
    </cfRule>
    <cfRule type="cellIs" dxfId="100" priority="150" stopIfTrue="1" operator="equal">
      <formula>0</formula>
    </cfRule>
  </conditionalFormatting>
  <conditionalFormatting sqref="A63">
    <cfRule type="cellIs" dxfId="99" priority="131" stopIfTrue="1" operator="greaterThan">
      <formula>0</formula>
    </cfRule>
    <cfRule type="cellIs" dxfId="98" priority="132" stopIfTrue="1" operator="equal">
      <formula>0</formula>
    </cfRule>
  </conditionalFormatting>
  <conditionalFormatting sqref="A75">
    <cfRule type="cellIs" dxfId="97" priority="127" stopIfTrue="1" operator="greaterThan">
      <formula>0</formula>
    </cfRule>
    <cfRule type="cellIs" dxfId="96" priority="128" stopIfTrue="1" operator="equal">
      <formula>0</formula>
    </cfRule>
  </conditionalFormatting>
  <conditionalFormatting sqref="A65">
    <cfRule type="cellIs" dxfId="95" priority="129" stopIfTrue="1" operator="greaterThan">
      <formula>0</formula>
    </cfRule>
    <cfRule type="cellIs" dxfId="94" priority="130" stopIfTrue="1" operator="equal">
      <formula>0</formula>
    </cfRule>
  </conditionalFormatting>
  <conditionalFormatting sqref="A77">
    <cfRule type="cellIs" dxfId="93" priority="125" stopIfTrue="1" operator="greaterThan">
      <formula>0</formula>
    </cfRule>
    <cfRule type="cellIs" dxfId="92" priority="126" stopIfTrue="1" operator="equal">
      <formula>0</formula>
    </cfRule>
  </conditionalFormatting>
  <conditionalFormatting sqref="A81">
    <cfRule type="cellIs" dxfId="91" priority="113" stopIfTrue="1" operator="greaterThan">
      <formula>0</formula>
    </cfRule>
    <cfRule type="cellIs" dxfId="90" priority="114" stopIfTrue="1" operator="equal">
      <formula>0</formula>
    </cfRule>
  </conditionalFormatting>
  <conditionalFormatting sqref="A83">
    <cfRule type="cellIs" dxfId="89" priority="109" stopIfTrue="1" operator="greaterThan">
      <formula>0</formula>
    </cfRule>
    <cfRule type="cellIs" dxfId="88" priority="110" stopIfTrue="1" operator="equal">
      <formula>0</formula>
    </cfRule>
  </conditionalFormatting>
  <conditionalFormatting sqref="A86">
    <cfRule type="cellIs" dxfId="87" priority="107" stopIfTrue="1" operator="greaterThan">
      <formula>0</formula>
    </cfRule>
    <cfRule type="cellIs" dxfId="86" priority="108" stopIfTrue="1" operator="equal">
      <formula>0</formula>
    </cfRule>
  </conditionalFormatting>
  <conditionalFormatting sqref="A85">
    <cfRule type="cellIs" dxfId="85" priority="105" stopIfTrue="1" operator="greaterThan">
      <formula>0</formula>
    </cfRule>
    <cfRule type="cellIs" dxfId="84" priority="106" stopIfTrue="1" operator="equal">
      <formula>0</formula>
    </cfRule>
  </conditionalFormatting>
  <conditionalFormatting sqref="A88">
    <cfRule type="cellIs" dxfId="83" priority="103" stopIfTrue="1" operator="greaterThan">
      <formula>0</formula>
    </cfRule>
    <cfRule type="cellIs" dxfId="82" priority="104" stopIfTrue="1" operator="equal">
      <formula>0</formula>
    </cfRule>
  </conditionalFormatting>
  <conditionalFormatting sqref="A87">
    <cfRule type="cellIs" dxfId="81" priority="101" stopIfTrue="1" operator="greaterThan">
      <formula>0</formula>
    </cfRule>
    <cfRule type="cellIs" dxfId="80" priority="102" stopIfTrue="1" operator="equal">
      <formula>0</formula>
    </cfRule>
  </conditionalFormatting>
  <conditionalFormatting sqref="A90">
    <cfRule type="cellIs" dxfId="79" priority="99" stopIfTrue="1" operator="greaterThan">
      <formula>0</formula>
    </cfRule>
    <cfRule type="cellIs" dxfId="78" priority="100" stopIfTrue="1" operator="equal">
      <formula>0</formula>
    </cfRule>
  </conditionalFormatting>
  <conditionalFormatting sqref="A89">
    <cfRule type="cellIs" dxfId="77" priority="97" stopIfTrue="1" operator="greaterThan">
      <formula>0</formula>
    </cfRule>
    <cfRule type="cellIs" dxfId="76" priority="98" stopIfTrue="1" operator="equal">
      <formula>0</formula>
    </cfRule>
  </conditionalFormatting>
  <conditionalFormatting sqref="A92">
    <cfRule type="cellIs" dxfId="75" priority="95" stopIfTrue="1" operator="greaterThan">
      <formula>0</formula>
    </cfRule>
    <cfRule type="cellIs" dxfId="74" priority="96" stopIfTrue="1" operator="equal">
      <formula>0</formula>
    </cfRule>
  </conditionalFormatting>
  <conditionalFormatting sqref="A91">
    <cfRule type="cellIs" dxfId="73" priority="93" stopIfTrue="1" operator="greaterThan">
      <formula>0</formula>
    </cfRule>
    <cfRule type="cellIs" dxfId="72" priority="94" stopIfTrue="1" operator="equal">
      <formula>0</formula>
    </cfRule>
  </conditionalFormatting>
  <conditionalFormatting sqref="A94">
    <cfRule type="cellIs" dxfId="71" priority="91" stopIfTrue="1" operator="greaterThan">
      <formula>0</formula>
    </cfRule>
    <cfRule type="cellIs" dxfId="70" priority="92" stopIfTrue="1" operator="equal">
      <formula>0</formula>
    </cfRule>
  </conditionalFormatting>
  <conditionalFormatting sqref="A93">
    <cfRule type="cellIs" dxfId="69" priority="89" stopIfTrue="1" operator="greaterThan">
      <formula>0</formula>
    </cfRule>
    <cfRule type="cellIs" dxfId="68" priority="90" stopIfTrue="1" operator="equal">
      <formula>0</formula>
    </cfRule>
  </conditionalFormatting>
  <conditionalFormatting sqref="A96">
    <cfRule type="cellIs" dxfId="67" priority="87" stopIfTrue="1" operator="greaterThan">
      <formula>0</formula>
    </cfRule>
    <cfRule type="cellIs" dxfId="66" priority="88" stopIfTrue="1" operator="equal">
      <formula>0</formula>
    </cfRule>
  </conditionalFormatting>
  <conditionalFormatting sqref="A95">
    <cfRule type="cellIs" dxfId="65" priority="85" stopIfTrue="1" operator="greaterThan">
      <formula>0</formula>
    </cfRule>
    <cfRule type="cellIs" dxfId="64" priority="86" stopIfTrue="1" operator="equal">
      <formula>0</formula>
    </cfRule>
  </conditionalFormatting>
  <conditionalFormatting sqref="A98">
    <cfRule type="cellIs" dxfId="63" priority="83" stopIfTrue="1" operator="greaterThan">
      <formula>0</formula>
    </cfRule>
    <cfRule type="cellIs" dxfId="62" priority="84" stopIfTrue="1" operator="equal">
      <formula>0</formula>
    </cfRule>
  </conditionalFormatting>
  <conditionalFormatting sqref="A97">
    <cfRule type="cellIs" dxfId="61" priority="81" stopIfTrue="1" operator="greaterThan">
      <formula>0</formula>
    </cfRule>
    <cfRule type="cellIs" dxfId="60" priority="82" stopIfTrue="1" operator="equal">
      <formula>0</formula>
    </cfRule>
  </conditionalFormatting>
  <conditionalFormatting sqref="A100">
    <cfRule type="cellIs" dxfId="59" priority="79" stopIfTrue="1" operator="greaterThan">
      <formula>0</formula>
    </cfRule>
    <cfRule type="cellIs" dxfId="58" priority="80" stopIfTrue="1" operator="equal">
      <formula>0</formula>
    </cfRule>
  </conditionalFormatting>
  <conditionalFormatting sqref="A99">
    <cfRule type="cellIs" dxfId="57" priority="77" stopIfTrue="1" operator="greaterThan">
      <formula>0</formula>
    </cfRule>
    <cfRule type="cellIs" dxfId="56" priority="78" stopIfTrue="1" operator="equal">
      <formula>0</formula>
    </cfRule>
  </conditionalFormatting>
  <conditionalFormatting sqref="A102">
    <cfRule type="cellIs" dxfId="55" priority="59" stopIfTrue="1" operator="greaterThan">
      <formula>0</formula>
    </cfRule>
    <cfRule type="cellIs" dxfId="54" priority="60" stopIfTrue="1" operator="equal">
      <formula>0</formula>
    </cfRule>
  </conditionalFormatting>
  <conditionalFormatting sqref="A101">
    <cfRule type="cellIs" dxfId="53" priority="57" stopIfTrue="1" operator="greaterThan">
      <formula>0</formula>
    </cfRule>
    <cfRule type="cellIs" dxfId="52" priority="58" stopIfTrue="1" operator="equal">
      <formula>0</formula>
    </cfRule>
  </conditionalFormatting>
  <conditionalFormatting sqref="A104">
    <cfRule type="cellIs" dxfId="51" priority="55" stopIfTrue="1" operator="greaterThan">
      <formula>0</formula>
    </cfRule>
    <cfRule type="cellIs" dxfId="50" priority="56" stopIfTrue="1" operator="equal">
      <formula>0</formula>
    </cfRule>
  </conditionalFormatting>
  <conditionalFormatting sqref="A103">
    <cfRule type="cellIs" dxfId="49" priority="53" stopIfTrue="1" operator="greaterThan">
      <formula>0</formula>
    </cfRule>
    <cfRule type="cellIs" dxfId="48" priority="54" stopIfTrue="1" operator="equal">
      <formula>0</formula>
    </cfRule>
  </conditionalFormatting>
  <conditionalFormatting sqref="A106">
    <cfRule type="cellIs" dxfId="47" priority="51" stopIfTrue="1" operator="greaterThan">
      <formula>0</formula>
    </cfRule>
    <cfRule type="cellIs" dxfId="46" priority="52" stopIfTrue="1" operator="equal">
      <formula>0</formula>
    </cfRule>
  </conditionalFormatting>
  <conditionalFormatting sqref="A105">
    <cfRule type="cellIs" dxfId="45" priority="49" stopIfTrue="1" operator="greaterThan">
      <formula>0</formula>
    </cfRule>
    <cfRule type="cellIs" dxfId="44" priority="50" stopIfTrue="1" operator="equal">
      <formula>0</formula>
    </cfRule>
  </conditionalFormatting>
  <conditionalFormatting sqref="A108">
    <cfRule type="cellIs" dxfId="43" priority="47" stopIfTrue="1" operator="greaterThan">
      <formula>0</formula>
    </cfRule>
    <cfRule type="cellIs" dxfId="42" priority="48" stopIfTrue="1" operator="equal">
      <formula>0</formula>
    </cfRule>
  </conditionalFormatting>
  <conditionalFormatting sqref="A107">
    <cfRule type="cellIs" dxfId="41" priority="45" stopIfTrue="1" operator="greaterThan">
      <formula>0</formula>
    </cfRule>
    <cfRule type="cellIs" dxfId="40" priority="46" stopIfTrue="1" operator="equal">
      <formula>0</formula>
    </cfRule>
  </conditionalFormatting>
  <conditionalFormatting sqref="A110">
    <cfRule type="cellIs" dxfId="39" priority="43" stopIfTrue="1" operator="greaterThan">
      <formula>0</formula>
    </cfRule>
    <cfRule type="cellIs" dxfId="38" priority="44" stopIfTrue="1" operator="equal">
      <formula>0</formula>
    </cfRule>
  </conditionalFormatting>
  <conditionalFormatting sqref="A109">
    <cfRule type="cellIs" dxfId="37" priority="41" stopIfTrue="1" operator="greaterThan">
      <formula>0</formula>
    </cfRule>
    <cfRule type="cellIs" dxfId="36" priority="42" stopIfTrue="1" operator="equal">
      <formula>0</formula>
    </cfRule>
  </conditionalFormatting>
  <conditionalFormatting sqref="A112">
    <cfRule type="cellIs" dxfId="35" priority="39" stopIfTrue="1" operator="greaterThan">
      <formula>0</formula>
    </cfRule>
    <cfRule type="cellIs" dxfId="34" priority="40" stopIfTrue="1" operator="equal">
      <formula>0</formula>
    </cfRule>
  </conditionalFormatting>
  <conditionalFormatting sqref="A111">
    <cfRule type="cellIs" dxfId="33" priority="37" stopIfTrue="1" operator="greaterThan">
      <formula>0</formula>
    </cfRule>
    <cfRule type="cellIs" dxfId="32" priority="38" stopIfTrue="1" operator="equal">
      <formula>0</formula>
    </cfRule>
  </conditionalFormatting>
  <conditionalFormatting sqref="A114">
    <cfRule type="cellIs" dxfId="31" priority="35" stopIfTrue="1" operator="greaterThan">
      <formula>0</formula>
    </cfRule>
    <cfRule type="cellIs" dxfId="30" priority="36" stopIfTrue="1" operator="equal">
      <formula>0</formula>
    </cfRule>
  </conditionalFormatting>
  <conditionalFormatting sqref="A113">
    <cfRule type="cellIs" dxfId="29" priority="33" stopIfTrue="1" operator="greaterThan">
      <formula>0</formula>
    </cfRule>
    <cfRule type="cellIs" dxfId="28" priority="34" stopIfTrue="1" operator="equal">
      <formula>0</formula>
    </cfRule>
  </conditionalFormatting>
  <conditionalFormatting sqref="A116">
    <cfRule type="cellIs" dxfId="27" priority="31" stopIfTrue="1" operator="greaterThan">
      <formula>0</formula>
    </cfRule>
    <cfRule type="cellIs" dxfId="26" priority="32" stopIfTrue="1" operator="equal">
      <formula>0</formula>
    </cfRule>
  </conditionalFormatting>
  <conditionalFormatting sqref="A115">
    <cfRule type="cellIs" dxfId="25" priority="29" stopIfTrue="1" operator="greaterThan">
      <formula>0</formula>
    </cfRule>
    <cfRule type="cellIs" dxfId="24" priority="30" stopIfTrue="1" operator="equal">
      <formula>0</formula>
    </cfRule>
  </conditionalFormatting>
  <conditionalFormatting sqref="A118">
    <cfRule type="cellIs" dxfId="23" priority="27" stopIfTrue="1" operator="greaterThan">
      <formula>0</formula>
    </cfRule>
    <cfRule type="cellIs" dxfId="22" priority="28" stopIfTrue="1" operator="equal">
      <formula>0</formula>
    </cfRule>
  </conditionalFormatting>
  <conditionalFormatting sqref="A117">
    <cfRule type="cellIs" dxfId="21" priority="25" stopIfTrue="1" operator="greaterThan">
      <formula>0</formula>
    </cfRule>
    <cfRule type="cellIs" dxfId="20" priority="26" stopIfTrue="1" operator="equal">
      <formula>0</formula>
    </cfRule>
  </conditionalFormatting>
  <conditionalFormatting sqref="A120">
    <cfRule type="cellIs" dxfId="19" priority="23" stopIfTrue="1" operator="greaterThan">
      <formula>0</formula>
    </cfRule>
    <cfRule type="cellIs" dxfId="18" priority="24" stopIfTrue="1" operator="equal">
      <formula>0</formula>
    </cfRule>
  </conditionalFormatting>
  <conditionalFormatting sqref="A119">
    <cfRule type="cellIs" dxfId="17" priority="21" stopIfTrue="1" operator="greaterThan">
      <formula>0</formula>
    </cfRule>
    <cfRule type="cellIs" dxfId="16" priority="22" stopIfTrue="1" operator="equal">
      <formula>0</formula>
    </cfRule>
  </conditionalFormatting>
  <conditionalFormatting sqref="A122">
    <cfRule type="cellIs" dxfId="15" priority="19" stopIfTrue="1" operator="greaterThan">
      <formula>0</formula>
    </cfRule>
    <cfRule type="cellIs" dxfId="14" priority="20" stopIfTrue="1" operator="equal">
      <formula>0</formula>
    </cfRule>
  </conditionalFormatting>
  <conditionalFormatting sqref="A121">
    <cfRule type="cellIs" dxfId="13" priority="17" stopIfTrue="1" operator="greaterThan">
      <formula>0</formula>
    </cfRule>
    <cfRule type="cellIs" dxfId="12" priority="18" stopIfTrue="1" operator="equal">
      <formula>0</formula>
    </cfRule>
  </conditionalFormatting>
  <conditionalFormatting sqref="A47">
    <cfRule type="cellIs" dxfId="11" priority="7" stopIfTrue="1" operator="greaterThan">
      <formula>0</formula>
    </cfRule>
    <cfRule type="cellIs" dxfId="10" priority="8" stopIfTrue="1" operator="equal">
      <formula>0</formula>
    </cfRule>
  </conditionalFormatting>
  <conditionalFormatting sqref="A45">
    <cfRule type="cellIs" dxfId="9" priority="5" stopIfTrue="1" operator="greaterThan">
      <formula>0</formula>
    </cfRule>
    <cfRule type="cellIs" dxfId="8" priority="6" stopIfTrue="1" operator="equal">
      <formula>0</formula>
    </cfRule>
  </conditionalFormatting>
  <conditionalFormatting sqref="A124">
    <cfRule type="cellIs" dxfId="7" priority="11" stopIfTrue="1" operator="greaterThan">
      <formula>0</formula>
    </cfRule>
    <cfRule type="cellIs" dxfId="6" priority="12" stopIfTrue="1" operator="equal">
      <formula>0</formula>
    </cfRule>
  </conditionalFormatting>
  <conditionalFormatting sqref="A79">
    <cfRule type="cellIs" dxfId="5" priority="3" stopIfTrue="1" operator="greaterThan">
      <formula>0</formula>
    </cfRule>
    <cfRule type="cellIs" dxfId="4" priority="4" stopIfTrue="1" operator="equal">
      <formula>0</formula>
    </cfRule>
  </conditionalFormatting>
  <conditionalFormatting sqref="A123">
    <cfRule type="cellIs" dxfId="3" priority="1" stopIfTrue="1" operator="greaterThan">
      <formula>0</formula>
    </cfRule>
    <cfRule type="cellIs" dxfId="2" priority="2" stopIfTrue="1" operator="equal">
      <formula>0</formula>
    </cfRule>
  </conditionalFormatting>
  <printOptions horizontalCentered="1"/>
  <pageMargins left="0.25" right="0.25" top="0.5" bottom="0" header="0.5" footer="0.5"/>
  <pageSetup paperSize="9" scale="50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9"/>
  <sheetViews>
    <sheetView workbookViewId="0">
      <selection activeCell="C4" sqref="C4:E9"/>
    </sheetView>
  </sheetViews>
  <sheetFormatPr defaultRowHeight="12.75" x14ac:dyDescent="0.2"/>
  <cols>
    <col min="3" max="3" width="27.140625" bestFit="1" customWidth="1"/>
    <col min="4" max="5" width="12.28515625" bestFit="1" customWidth="1"/>
  </cols>
  <sheetData>
    <row r="4" spans="3:5" x14ac:dyDescent="0.2">
      <c r="C4" s="242" t="s">
        <v>4</v>
      </c>
      <c r="D4" s="156" t="s">
        <v>141</v>
      </c>
      <c r="E4" s="156" t="s">
        <v>142</v>
      </c>
    </row>
    <row r="5" spans="3:5" x14ac:dyDescent="0.2">
      <c r="C5" s="242"/>
      <c r="D5" s="136">
        <v>45972</v>
      </c>
      <c r="E5" s="136">
        <v>45973</v>
      </c>
    </row>
    <row r="6" spans="3:5" x14ac:dyDescent="0.2">
      <c r="C6" s="242"/>
      <c r="D6" s="243" t="s">
        <v>153</v>
      </c>
      <c r="E6" s="244"/>
    </row>
    <row r="7" spans="3:5" x14ac:dyDescent="0.2">
      <c r="C7" s="242"/>
      <c r="D7" s="157" t="s">
        <v>5</v>
      </c>
      <c r="E7" s="157" t="s">
        <v>5</v>
      </c>
    </row>
    <row r="8" spans="3:5" ht="16.5" x14ac:dyDescent="0.2">
      <c r="C8" s="158" t="s">
        <v>114</v>
      </c>
      <c r="D8" s="159">
        <v>200</v>
      </c>
      <c r="E8" s="159">
        <v>120</v>
      </c>
    </row>
    <row r="9" spans="3:5" ht="16.5" x14ac:dyDescent="0.2">
      <c r="C9" s="158" t="s">
        <v>86</v>
      </c>
      <c r="D9" s="160">
        <v>1360</v>
      </c>
      <c r="E9" s="161">
        <v>0</v>
      </c>
    </row>
  </sheetData>
  <mergeCells count="2">
    <mergeCell ref="C4:C7"/>
    <mergeCell ref="D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xSplit="2" ySplit="5" topLeftCell="C48" activePane="bottomRight" state="frozen"/>
      <selection pane="topRight" activeCell="C1" sqref="C1"/>
      <selection pane="bottomLeft" activeCell="A6" sqref="A6"/>
      <selection pane="bottomRight" activeCell="G59" sqref="G59"/>
    </sheetView>
  </sheetViews>
  <sheetFormatPr defaultRowHeight="12.75" x14ac:dyDescent="0.2"/>
  <cols>
    <col min="1" max="1" width="7" customWidth="1"/>
    <col min="2" max="2" width="24.7109375" bestFit="1" customWidth="1"/>
    <col min="3" max="3" width="5.42578125" bestFit="1" customWidth="1"/>
    <col min="4" max="5" width="12.28515625" bestFit="1" customWidth="1"/>
  </cols>
  <sheetData>
    <row r="1" spans="1:6" ht="16.5" x14ac:dyDescent="0.2">
      <c r="A1" s="247" t="s">
        <v>3</v>
      </c>
      <c r="B1" s="247" t="s">
        <v>4</v>
      </c>
      <c r="C1" s="245" t="s">
        <v>129</v>
      </c>
      <c r="D1" s="166" t="s">
        <v>166</v>
      </c>
      <c r="E1" s="166" t="s">
        <v>167</v>
      </c>
    </row>
    <row r="2" spans="1:6" x14ac:dyDescent="0.2">
      <c r="A2" s="248"/>
      <c r="B2" s="248"/>
      <c r="C2" s="246"/>
      <c r="D2" s="136"/>
      <c r="E2" s="136"/>
    </row>
    <row r="3" spans="1:6" x14ac:dyDescent="0.2">
      <c r="A3" s="134">
        <v>1</v>
      </c>
      <c r="B3" s="134" t="s">
        <v>53</v>
      </c>
      <c r="C3" s="135">
        <v>40</v>
      </c>
      <c r="D3" s="137">
        <f>+VLOOKUP($B3,'List Order'!$B$13:$X$124,22,0)/$C3</f>
        <v>0</v>
      </c>
      <c r="E3" s="137">
        <f>+VLOOKUP($B3,'List Order'!$B$13:$X$124,23,0)/$C3</f>
        <v>0</v>
      </c>
    </row>
    <row r="4" spans="1:6" x14ac:dyDescent="0.2">
      <c r="A4" s="134">
        <v>2</v>
      </c>
      <c r="B4" s="134" t="s">
        <v>54</v>
      </c>
      <c r="C4" s="135">
        <v>50</v>
      </c>
      <c r="D4" s="137">
        <f>+VLOOKUP($B4,'List Order'!$B$13:$X$124,22,0)/$C4</f>
        <v>0</v>
      </c>
      <c r="E4" s="137">
        <f>+VLOOKUP($B4,'List Order'!$B$13:$X$124,23,0)/$C4</f>
        <v>0</v>
      </c>
    </row>
    <row r="5" spans="1:6" x14ac:dyDescent="0.2">
      <c r="A5" s="134">
        <v>3</v>
      </c>
      <c r="B5" s="134" t="s">
        <v>55</v>
      </c>
      <c r="C5" s="135">
        <v>50</v>
      </c>
      <c r="D5" s="137">
        <f>+VLOOKUP($B5,'List Order'!$B$13:$X$124,22,0)/$C5</f>
        <v>0</v>
      </c>
      <c r="E5" s="137">
        <f>+VLOOKUP($B5,'List Order'!$B$13:$X$124,23,0)/$C5</f>
        <v>0</v>
      </c>
    </row>
    <row r="6" spans="1:6" x14ac:dyDescent="0.2">
      <c r="A6" s="134">
        <v>4</v>
      </c>
      <c r="B6" s="134" t="s">
        <v>56</v>
      </c>
      <c r="C6" s="135">
        <v>50</v>
      </c>
      <c r="D6" s="137">
        <f>+VLOOKUP($B6,'List Order'!$B$13:$X$124,22,0)/$C6</f>
        <v>0</v>
      </c>
      <c r="E6" s="137">
        <f>+VLOOKUP($B6,'List Order'!$B$13:$X$124,23,0)/$C6</f>
        <v>0</v>
      </c>
    </row>
    <row r="7" spans="1:6" x14ac:dyDescent="0.2">
      <c r="A7" s="134">
        <v>5</v>
      </c>
      <c r="B7" s="134" t="s">
        <v>57</v>
      </c>
      <c r="C7" s="135">
        <v>80</v>
      </c>
      <c r="D7" s="137">
        <f>+VLOOKUP($B7,'List Order'!$B$13:$X$124,22,0)/$C7</f>
        <v>2</v>
      </c>
      <c r="E7" s="137">
        <f>+VLOOKUP($B7,'List Order'!$B$13:$X$124,23,0)/$C7</f>
        <v>4</v>
      </c>
    </row>
    <row r="8" spans="1:6" x14ac:dyDescent="0.2">
      <c r="A8" s="134">
        <v>6</v>
      </c>
      <c r="B8" s="134" t="s">
        <v>128</v>
      </c>
      <c r="C8" s="135">
        <v>30</v>
      </c>
      <c r="D8" s="137">
        <f>+VLOOKUP($B8,'List Order'!$B$13:$X$124,22,0)/$C8</f>
        <v>0</v>
      </c>
      <c r="E8" s="137">
        <f>+VLOOKUP($B8,'List Order'!$B$13:$X$124,23,0)/$C8</f>
        <v>0</v>
      </c>
    </row>
    <row r="9" spans="1:6" x14ac:dyDescent="0.2">
      <c r="A9" s="134">
        <v>7</v>
      </c>
      <c r="B9" s="134" t="s">
        <v>58</v>
      </c>
      <c r="C9" s="135">
        <v>30</v>
      </c>
      <c r="D9" s="137">
        <f>+VLOOKUP($B9,'List Order'!$B$13:$X$124,22,0)/$C9</f>
        <v>0</v>
      </c>
      <c r="E9" s="137">
        <f>+VLOOKUP($B9,'List Order'!$B$13:$X$124,23,0)/$C9</f>
        <v>0</v>
      </c>
    </row>
    <row r="10" spans="1:6" x14ac:dyDescent="0.2">
      <c r="A10" s="134">
        <v>8</v>
      </c>
      <c r="B10" s="134" t="s">
        <v>59</v>
      </c>
      <c r="C10" s="135">
        <v>20</v>
      </c>
      <c r="D10" s="137">
        <f>+VLOOKUP($B10,'List Order'!$B$13:$X$124,22,0)/$C10</f>
        <v>22</v>
      </c>
      <c r="E10" s="137">
        <f>+VLOOKUP($B10,'List Order'!$B$13:$X$124,23,0)/$C10</f>
        <v>20</v>
      </c>
      <c r="F10" s="140"/>
    </row>
    <row r="11" spans="1:6" x14ac:dyDescent="0.2">
      <c r="A11" s="134">
        <v>9</v>
      </c>
      <c r="B11" s="134" t="s">
        <v>60</v>
      </c>
      <c r="C11" s="135">
        <v>30</v>
      </c>
      <c r="D11" s="137">
        <f>+VLOOKUP($B11,'List Order'!$B$13:$X$124,22,0)/$C11</f>
        <v>13</v>
      </c>
      <c r="E11" s="137">
        <f>+VLOOKUP($B11,'List Order'!$B$13:$X$124,23,0)/$C11</f>
        <v>16</v>
      </c>
      <c r="F11" s="140"/>
    </row>
    <row r="12" spans="1:6" x14ac:dyDescent="0.2">
      <c r="A12" s="134">
        <v>10</v>
      </c>
      <c r="B12" s="134" t="s">
        <v>61</v>
      </c>
      <c r="C12" s="135">
        <v>30</v>
      </c>
      <c r="D12" s="137">
        <f>+VLOOKUP($B12,'List Order'!$B$13:$X$124,22,0)/$C12</f>
        <v>13</v>
      </c>
      <c r="E12" s="137">
        <f>+VLOOKUP($B12,'List Order'!$B$13:$X$124,23,0)/$C12</f>
        <v>16</v>
      </c>
      <c r="F12" s="140"/>
    </row>
    <row r="13" spans="1:6" x14ac:dyDescent="0.2">
      <c r="A13" s="134">
        <v>11</v>
      </c>
      <c r="B13" s="134" t="s">
        <v>64</v>
      </c>
      <c r="C13" s="135">
        <v>20</v>
      </c>
      <c r="D13" s="137">
        <f>+VLOOKUP($B13,'List Order'!$B$13:$X$124,22,0)/$C13</f>
        <v>0</v>
      </c>
      <c r="E13" s="137">
        <f>+VLOOKUP($B13,'List Order'!$B$13:$X$124,23,0)/$C13</f>
        <v>0</v>
      </c>
    </row>
    <row r="14" spans="1:6" x14ac:dyDescent="0.2">
      <c r="A14" s="134">
        <v>12</v>
      </c>
      <c r="B14" s="134" t="s">
        <v>113</v>
      </c>
      <c r="C14" s="135">
        <v>30</v>
      </c>
      <c r="D14" s="137">
        <f>+VLOOKUP($B14,'List Order'!$B$13:$X$124,22,0)/$C14</f>
        <v>18</v>
      </c>
      <c r="E14" s="137">
        <f>+VLOOKUP($B14,'List Order'!$B$13:$X$124,23,0)/$C14</f>
        <v>18</v>
      </c>
      <c r="F14" s="140"/>
    </row>
    <row r="15" spans="1:6" x14ac:dyDescent="0.2">
      <c r="A15" s="134">
        <v>13</v>
      </c>
      <c r="B15" s="134" t="s">
        <v>114</v>
      </c>
      <c r="C15" s="135">
        <v>20</v>
      </c>
      <c r="D15" s="137">
        <f>+VLOOKUP($B15,'List Order'!$B$13:$X$124,22,0)/$C15</f>
        <v>8</v>
      </c>
      <c r="E15" s="137">
        <f>+VLOOKUP($B15,'List Order'!$B$13:$X$124,23,0)/$C15</f>
        <v>23</v>
      </c>
    </row>
    <row r="16" spans="1:6" x14ac:dyDescent="0.2">
      <c r="A16" s="134">
        <v>14</v>
      </c>
      <c r="B16" s="134" t="s">
        <v>115</v>
      </c>
      <c r="C16" s="135">
        <v>30</v>
      </c>
      <c r="D16" s="137">
        <f>+VLOOKUP($B16,'List Order'!$B$13:$X$124,22,0)/$C16</f>
        <v>0</v>
      </c>
      <c r="E16" s="137">
        <f>+VLOOKUP($B16,'List Order'!$B$13:$X$124,23,0)/$C16</f>
        <v>0</v>
      </c>
      <c r="F16" s="140"/>
    </row>
    <row r="17" spans="1:6" x14ac:dyDescent="0.2">
      <c r="A17" s="134">
        <v>15</v>
      </c>
      <c r="B17" s="134" t="s">
        <v>65</v>
      </c>
      <c r="C17" s="135">
        <v>60</v>
      </c>
      <c r="D17" s="137">
        <f>+VLOOKUP($B17,'List Order'!$B$13:$X$124,22,0)/$C17</f>
        <v>11</v>
      </c>
      <c r="E17" s="137">
        <f>+VLOOKUP($B17,'List Order'!$B$13:$X$124,23,0)/$C17</f>
        <v>14</v>
      </c>
    </row>
    <row r="18" spans="1:6" x14ac:dyDescent="0.2">
      <c r="A18" s="134">
        <v>16</v>
      </c>
      <c r="B18" s="134" t="s">
        <v>66</v>
      </c>
      <c r="C18" s="135">
        <v>60</v>
      </c>
      <c r="D18" s="137">
        <f>+VLOOKUP($B18,'List Order'!$B$13:$X$124,22,0)/$C18</f>
        <v>24</v>
      </c>
      <c r="E18" s="137">
        <f>+VLOOKUP($B18,'List Order'!$B$13:$X$124,23,0)/$C18</f>
        <v>24</v>
      </c>
    </row>
    <row r="19" spans="1:6" x14ac:dyDescent="0.2">
      <c r="A19" s="134">
        <v>17</v>
      </c>
      <c r="B19" s="134" t="s">
        <v>106</v>
      </c>
      <c r="C19" s="135">
        <v>20</v>
      </c>
      <c r="D19" s="137">
        <f>+VLOOKUP($B19,'List Order'!$B$13:$X$124,22,0)/$C19</f>
        <v>3</v>
      </c>
      <c r="E19" s="137">
        <f>+VLOOKUP($B19,'List Order'!$B$13:$X$124,23,0)/$C19</f>
        <v>39</v>
      </c>
      <c r="F19" s="140"/>
    </row>
    <row r="20" spans="1:6" x14ac:dyDescent="0.2">
      <c r="A20" s="134">
        <v>18</v>
      </c>
      <c r="B20" s="134" t="s">
        <v>107</v>
      </c>
      <c r="C20" s="135">
        <v>20</v>
      </c>
      <c r="D20" s="137">
        <f>+VLOOKUP($B20,'List Order'!$B$13:$X$124,22,0)/$C20</f>
        <v>27</v>
      </c>
      <c r="E20" s="137">
        <f>+VLOOKUP($B20,'List Order'!$B$13:$X$124,23,0)/$C20</f>
        <v>25</v>
      </c>
      <c r="F20" s="140"/>
    </row>
    <row r="21" spans="1:6" x14ac:dyDescent="0.2">
      <c r="A21" s="134">
        <v>19</v>
      </c>
      <c r="B21" s="134" t="s">
        <v>67</v>
      </c>
      <c r="C21" s="135">
        <v>20</v>
      </c>
      <c r="D21" s="137">
        <f>+VLOOKUP($B21,'List Order'!$B$13:$X$124,22,0)/$C21</f>
        <v>14</v>
      </c>
      <c r="E21" s="137">
        <f>+VLOOKUP($B21,'List Order'!$B$13:$X$124,23,0)/$C21</f>
        <v>9</v>
      </c>
    </row>
    <row r="22" spans="1:6" x14ac:dyDescent="0.2">
      <c r="A22" s="134">
        <v>20</v>
      </c>
      <c r="B22" s="134" t="s">
        <v>68</v>
      </c>
      <c r="C22" s="135">
        <v>60</v>
      </c>
      <c r="D22" s="137">
        <f>+VLOOKUP($B22,'List Order'!$B$13:$X$124,22,0)/$C22</f>
        <v>2</v>
      </c>
      <c r="E22" s="137">
        <f>+VLOOKUP($B22,'List Order'!$B$13:$X$124,23,0)/$C22</f>
        <v>2</v>
      </c>
    </row>
    <row r="23" spans="1:6" x14ac:dyDescent="0.2">
      <c r="A23" s="134">
        <v>21</v>
      </c>
      <c r="B23" s="134" t="s">
        <v>69</v>
      </c>
      <c r="C23" s="135">
        <v>40</v>
      </c>
      <c r="D23" s="137">
        <f>+VLOOKUP($B23,'List Order'!$B$13:$X$124,22,0)/$C23</f>
        <v>0</v>
      </c>
      <c r="E23" s="137">
        <f>+VLOOKUP($B23,'List Order'!$B$13:$X$124,23,0)/$C23</f>
        <v>0</v>
      </c>
    </row>
    <row r="24" spans="1:6" x14ac:dyDescent="0.2">
      <c r="A24" s="134">
        <v>22</v>
      </c>
      <c r="B24" s="134" t="s">
        <v>70</v>
      </c>
      <c r="C24" s="135">
        <v>40</v>
      </c>
      <c r="D24" s="137">
        <f>+VLOOKUP($B24,'List Order'!$B$13:$X$124,22,0)/$C24</f>
        <v>5</v>
      </c>
      <c r="E24" s="137">
        <f>+VLOOKUP($B24,'List Order'!$B$13:$X$124,23,0)/$C24</f>
        <v>4</v>
      </c>
    </row>
    <row r="25" spans="1:6" x14ac:dyDescent="0.2">
      <c r="A25" s="134">
        <v>23</v>
      </c>
      <c r="B25" s="134" t="s">
        <v>71</v>
      </c>
      <c r="C25" s="135">
        <v>80</v>
      </c>
      <c r="D25" s="137">
        <f>+VLOOKUP($B25,'List Order'!$B$13:$X$124,22,0)/$C25</f>
        <v>20</v>
      </c>
      <c r="E25" s="137">
        <f>+VLOOKUP($B25,'List Order'!$B$13:$X$124,23,0)/$C25</f>
        <v>12</v>
      </c>
    </row>
    <row r="26" spans="1:6" x14ac:dyDescent="0.2">
      <c r="A26" s="134">
        <v>24</v>
      </c>
      <c r="B26" s="134" t="s">
        <v>72</v>
      </c>
      <c r="C26" s="135">
        <v>20</v>
      </c>
      <c r="D26" s="137">
        <f>+VLOOKUP($B26,'List Order'!$B$13:$X$124,22,0)/$C26</f>
        <v>0</v>
      </c>
      <c r="E26" s="137">
        <f>+VLOOKUP($B26,'List Order'!$B$13:$X$124,23,0)/$C26</f>
        <v>0</v>
      </c>
    </row>
    <row r="27" spans="1:6" x14ac:dyDescent="0.2">
      <c r="A27" s="134">
        <v>25</v>
      </c>
      <c r="B27" s="134" t="s">
        <v>73</v>
      </c>
      <c r="C27" s="135">
        <v>40</v>
      </c>
      <c r="D27" s="137">
        <f>+VLOOKUP($B27,'List Order'!$B$13:$X$124,22,0)/$C27</f>
        <v>0</v>
      </c>
      <c r="E27" s="137">
        <f>+VLOOKUP($B27,'List Order'!$B$13:$X$124,23,0)/$C27</f>
        <v>0</v>
      </c>
    </row>
    <row r="28" spans="1:6" x14ac:dyDescent="0.2">
      <c r="A28" s="134">
        <v>26</v>
      </c>
      <c r="B28" s="134" t="s">
        <v>87</v>
      </c>
      <c r="C28" s="135">
        <v>20</v>
      </c>
      <c r="D28" s="137">
        <f>+VLOOKUP($B28,'List Order'!$B$13:$X$124,22,0)/$C28</f>
        <v>0</v>
      </c>
      <c r="E28" s="137">
        <f>+VLOOKUP($B28,'List Order'!$B$13:$X$124,23,0)/$C28</f>
        <v>0</v>
      </c>
    </row>
    <row r="29" spans="1:6" x14ac:dyDescent="0.2">
      <c r="A29" s="134">
        <v>27</v>
      </c>
      <c r="B29" s="134" t="s">
        <v>108</v>
      </c>
      <c r="C29" s="135">
        <v>40</v>
      </c>
      <c r="D29" s="137">
        <f>+VLOOKUP($B29,'List Order'!$B$13:$X$124,22,0)/$C29</f>
        <v>2</v>
      </c>
      <c r="E29" s="137">
        <f>+VLOOKUP($B29,'List Order'!$B$13:$X$124,23,0)/$C29</f>
        <v>5</v>
      </c>
    </row>
    <row r="30" spans="1:6" x14ac:dyDescent="0.2">
      <c r="A30" s="134">
        <v>28</v>
      </c>
      <c r="B30" s="134" t="s">
        <v>109</v>
      </c>
      <c r="C30" s="135">
        <v>40</v>
      </c>
      <c r="D30" s="137">
        <f>+VLOOKUP($B30,'List Order'!$B$13:$X$124,22,0)/$C30</f>
        <v>0</v>
      </c>
      <c r="E30" s="137">
        <f>+VLOOKUP($B30,'List Order'!$B$13:$X$124,23,0)/$C30</f>
        <v>1</v>
      </c>
    </row>
    <row r="31" spans="1:6" x14ac:dyDescent="0.2">
      <c r="A31" s="134">
        <v>29</v>
      </c>
      <c r="B31" s="134" t="s">
        <v>51</v>
      </c>
      <c r="C31" s="135">
        <v>40</v>
      </c>
      <c r="D31" s="137">
        <f>+VLOOKUP($B31,'List Order'!$B$13:$X$124,22,0)/$C31</f>
        <v>0</v>
      </c>
      <c r="E31" s="137">
        <f>+VLOOKUP($B31,'List Order'!$B$13:$X$124,23,0)/$C31</f>
        <v>0</v>
      </c>
    </row>
    <row r="32" spans="1:6" x14ac:dyDescent="0.2">
      <c r="A32" s="134">
        <v>30</v>
      </c>
      <c r="B32" s="134" t="s">
        <v>52</v>
      </c>
      <c r="C32" s="135">
        <v>60</v>
      </c>
      <c r="D32" s="137">
        <f>+VLOOKUP($B32,'List Order'!$B$13:$X$124,22,0)/$C32</f>
        <v>0</v>
      </c>
      <c r="E32" s="137">
        <f>+VLOOKUP($B32,'List Order'!$B$13:$X$124,23,0)/$C32</f>
        <v>0</v>
      </c>
    </row>
    <row r="33" spans="1:5" x14ac:dyDescent="0.2">
      <c r="A33" s="134">
        <v>31</v>
      </c>
      <c r="B33" s="134" t="s">
        <v>74</v>
      </c>
      <c r="C33" s="135">
        <v>20</v>
      </c>
      <c r="D33" s="137">
        <f>+VLOOKUP($B33,'List Order'!$B$13:$X$124,22,0)/$C33</f>
        <v>0</v>
      </c>
      <c r="E33" s="137">
        <f>+VLOOKUP($B33,'List Order'!$B$13:$X$124,23,0)/$C33</f>
        <v>0</v>
      </c>
    </row>
    <row r="34" spans="1:5" x14ac:dyDescent="0.2">
      <c r="A34" s="134">
        <v>32</v>
      </c>
      <c r="B34" s="134" t="s">
        <v>75</v>
      </c>
      <c r="C34" s="135">
        <v>20</v>
      </c>
      <c r="D34" s="137">
        <f>+VLOOKUP($B34,'List Order'!$B$13:$X$124,22,0)/$C34</f>
        <v>0</v>
      </c>
      <c r="E34" s="137">
        <f>+VLOOKUP($B34,'List Order'!$B$13:$X$124,23,0)/$C34</f>
        <v>0</v>
      </c>
    </row>
    <row r="35" spans="1:5" x14ac:dyDescent="0.2">
      <c r="A35" s="134">
        <v>33</v>
      </c>
      <c r="B35" s="134" t="s">
        <v>76</v>
      </c>
      <c r="C35" s="135">
        <v>20</v>
      </c>
      <c r="D35" s="137" t="e">
        <f>+VLOOKUP($B35,'List Order'!$B$13:$X$124,22,0)/$C35</f>
        <v>#N/A</v>
      </c>
      <c r="E35" s="137" t="e">
        <f>+VLOOKUP($B35,'List Order'!$B$13:$X$124,23,0)/$C35</f>
        <v>#N/A</v>
      </c>
    </row>
    <row r="36" spans="1:5" x14ac:dyDescent="0.2">
      <c r="A36" s="134">
        <v>34</v>
      </c>
      <c r="B36" s="134" t="s">
        <v>85</v>
      </c>
      <c r="C36" s="135">
        <v>40</v>
      </c>
      <c r="D36" s="137">
        <f>+VLOOKUP($B36,'List Order'!$B$13:$X$124,22,0)/$C36</f>
        <v>9</v>
      </c>
      <c r="E36" s="137">
        <f>+VLOOKUP($B36,'List Order'!$B$13:$X$124,23,0)/$C36</f>
        <v>15</v>
      </c>
    </row>
    <row r="37" spans="1:5" x14ac:dyDescent="0.2">
      <c r="A37" s="134">
        <v>35</v>
      </c>
      <c r="B37" s="134" t="s">
        <v>46</v>
      </c>
      <c r="C37" s="135">
        <v>60</v>
      </c>
      <c r="D37" s="137">
        <f>+VLOOKUP($B37,'List Order'!$B$13:$X$124,22,0)/$C37</f>
        <v>0</v>
      </c>
      <c r="E37" s="137">
        <f>+VLOOKUP($B37,'List Order'!$B$13:$X$124,23,0)/$C37</f>
        <v>0</v>
      </c>
    </row>
    <row r="38" spans="1:5" x14ac:dyDescent="0.2">
      <c r="A38" s="134">
        <v>36</v>
      </c>
      <c r="B38" s="134" t="s">
        <v>86</v>
      </c>
      <c r="C38" s="135">
        <v>40</v>
      </c>
      <c r="D38" s="137" t="e">
        <f>+VLOOKUP($B38,'List Order'!$B$13:$X$124,22,0)/$C38</f>
        <v>#N/A</v>
      </c>
      <c r="E38" s="137" t="e">
        <f>+VLOOKUP($B38,'List Order'!$B$13:$X$124,23,0)/$C38</f>
        <v>#N/A</v>
      </c>
    </row>
    <row r="39" spans="1:5" x14ac:dyDescent="0.2">
      <c r="A39" s="134">
        <v>37</v>
      </c>
      <c r="B39" s="134" t="s">
        <v>89</v>
      </c>
      <c r="C39" s="135">
        <v>20</v>
      </c>
      <c r="D39" s="137" t="e">
        <f>+VLOOKUP($B39,'List Order'!$B$13:$X$124,22,0)/$C39</f>
        <v>#N/A</v>
      </c>
      <c r="E39" s="137" t="e">
        <f>+VLOOKUP($B39,'List Order'!$B$13:$X$124,23,0)/$C39</f>
        <v>#N/A</v>
      </c>
    </row>
    <row r="40" spans="1:5" x14ac:dyDescent="0.2">
      <c r="A40" s="134">
        <v>38</v>
      </c>
      <c r="B40" s="134" t="s">
        <v>90</v>
      </c>
      <c r="C40" s="135">
        <v>20</v>
      </c>
      <c r="D40" s="137" t="e">
        <f>+VLOOKUP($B40,'List Order'!$B$13:$X$124,22,0)/$C40</f>
        <v>#N/A</v>
      </c>
      <c r="E40" s="137" t="e">
        <f>+VLOOKUP($B40,'List Order'!$B$13:$X$124,23,0)/$C40</f>
        <v>#N/A</v>
      </c>
    </row>
    <row r="41" spans="1:5" x14ac:dyDescent="0.2">
      <c r="A41" s="134">
        <v>39</v>
      </c>
      <c r="B41" s="134" t="s">
        <v>91</v>
      </c>
      <c r="C41" s="135">
        <v>20</v>
      </c>
      <c r="D41" s="137">
        <f>+VLOOKUP($B41,'List Order'!$B$13:$X$124,22,0)/$C41</f>
        <v>10</v>
      </c>
      <c r="E41" s="137">
        <f>+VLOOKUP($B41,'List Order'!$B$13:$X$124,23,0)/$C41</f>
        <v>12</v>
      </c>
    </row>
    <row r="42" spans="1:5" x14ac:dyDescent="0.2">
      <c r="A42" s="134">
        <v>40</v>
      </c>
      <c r="B42" s="134" t="s">
        <v>92</v>
      </c>
      <c r="C42" s="135">
        <v>40</v>
      </c>
      <c r="D42" s="137">
        <f>+VLOOKUP($B42,'List Order'!$B$13:$X$124,22,0)/$C42</f>
        <v>18</v>
      </c>
      <c r="E42" s="137">
        <f>+VLOOKUP($B42,'List Order'!$B$13:$X$124,23,0)/$C42</f>
        <v>19</v>
      </c>
    </row>
    <row r="43" spans="1:5" x14ac:dyDescent="0.2">
      <c r="A43" s="134">
        <v>41</v>
      </c>
      <c r="B43" s="134" t="s">
        <v>93</v>
      </c>
      <c r="C43" s="135">
        <v>40</v>
      </c>
      <c r="D43" s="137">
        <f>+VLOOKUP($B43,'List Order'!$B$13:$X$124,22,0)/$C43</f>
        <v>8</v>
      </c>
      <c r="E43" s="137">
        <f>+VLOOKUP($B43,'List Order'!$B$13:$X$124,23,0)/$C43</f>
        <v>9</v>
      </c>
    </row>
    <row r="44" spans="1:5" x14ac:dyDescent="0.2">
      <c r="A44" s="134">
        <v>42</v>
      </c>
      <c r="B44" s="134" t="s">
        <v>94</v>
      </c>
      <c r="C44" s="135">
        <v>20</v>
      </c>
      <c r="D44" s="137">
        <f>+VLOOKUP($B44,'List Order'!$B$13:$X$124,22,0)/$C44</f>
        <v>2</v>
      </c>
      <c r="E44" s="137">
        <f>+VLOOKUP($B44,'List Order'!$B$13:$X$124,23,0)/$C44</f>
        <v>6</v>
      </c>
    </row>
    <row r="45" spans="1:5" x14ac:dyDescent="0.2">
      <c r="A45" s="134">
        <v>43</v>
      </c>
      <c r="B45" s="134" t="s">
        <v>95</v>
      </c>
      <c r="C45" s="135">
        <v>20</v>
      </c>
      <c r="D45" s="137" t="e">
        <f>+VLOOKUP($B45,'List Order'!$B$13:$X$124,22,0)/$C45</f>
        <v>#N/A</v>
      </c>
      <c r="E45" s="137" t="e">
        <f>+VLOOKUP($B45,'List Order'!$B$13:$X$124,23,0)/$C45</f>
        <v>#N/A</v>
      </c>
    </row>
    <row r="46" spans="1:5" x14ac:dyDescent="0.2">
      <c r="A46" s="134">
        <v>44</v>
      </c>
      <c r="B46" s="134" t="s">
        <v>96</v>
      </c>
      <c r="C46" s="135">
        <v>20</v>
      </c>
      <c r="D46" s="137" t="e">
        <f>+VLOOKUP($B46,'List Order'!$B$13:$X$124,22,0)/$C46</f>
        <v>#N/A</v>
      </c>
      <c r="E46" s="137" t="e">
        <f>+VLOOKUP($B46,'List Order'!$B$13:$X$124,23,0)/$C46</f>
        <v>#N/A</v>
      </c>
    </row>
    <row r="47" spans="1:5" x14ac:dyDescent="0.2">
      <c r="A47" s="134">
        <v>45</v>
      </c>
      <c r="B47" s="134" t="s">
        <v>100</v>
      </c>
      <c r="C47" s="135">
        <v>40</v>
      </c>
      <c r="D47" s="137">
        <f>+VLOOKUP($B47,'List Order'!$B$13:$X$124,22,0)/$C47</f>
        <v>0</v>
      </c>
      <c r="E47" s="137">
        <f>+VLOOKUP($B47,'List Order'!$B$13:$X$124,23,0)/$C47</f>
        <v>0</v>
      </c>
    </row>
    <row r="48" spans="1:5" x14ac:dyDescent="0.2">
      <c r="A48" s="134">
        <v>46</v>
      </c>
      <c r="B48" s="134" t="s">
        <v>101</v>
      </c>
      <c r="C48" s="135">
        <v>50</v>
      </c>
      <c r="D48" s="137">
        <f>+VLOOKUP($B48,'List Order'!$B$13:$X$124,22,0)/$C48</f>
        <v>0</v>
      </c>
      <c r="E48" s="137">
        <f>+VLOOKUP($B48,'List Order'!$B$13:$X$124,23,0)/$C48</f>
        <v>0</v>
      </c>
    </row>
    <row r="49" spans="1:5" x14ac:dyDescent="0.2">
      <c r="A49" s="134">
        <v>47</v>
      </c>
      <c r="B49" s="134" t="s">
        <v>102</v>
      </c>
      <c r="C49" s="135">
        <v>50</v>
      </c>
      <c r="D49" s="137">
        <f>+VLOOKUP($B49,'List Order'!$B$13:$X$124,22,0)/$C49</f>
        <v>0</v>
      </c>
      <c r="E49" s="137">
        <f>+VLOOKUP($B49,'List Order'!$B$13:$X$124,23,0)/$C49</f>
        <v>0</v>
      </c>
    </row>
    <row r="50" spans="1:5" x14ac:dyDescent="0.2">
      <c r="A50" s="134">
        <v>48</v>
      </c>
      <c r="B50" s="134" t="s">
        <v>103</v>
      </c>
      <c r="C50" s="135">
        <v>50</v>
      </c>
      <c r="D50" s="137">
        <f>+VLOOKUP($B50,'List Order'!$B$13:$X$124,22,0)/$C50</f>
        <v>0</v>
      </c>
      <c r="E50" s="137">
        <f>+VLOOKUP($B50,'List Order'!$B$13:$X$124,23,0)/$C50</f>
        <v>0</v>
      </c>
    </row>
    <row r="51" spans="1:5" x14ac:dyDescent="0.2">
      <c r="A51" s="134">
        <v>49</v>
      </c>
      <c r="B51" s="134" t="s">
        <v>104</v>
      </c>
      <c r="C51" s="135">
        <v>20</v>
      </c>
      <c r="D51" s="137">
        <f>+VLOOKUP($B51,'List Order'!$B$13:$X$124,22,0)/$C51</f>
        <v>0</v>
      </c>
      <c r="E51" s="137">
        <f>+VLOOKUP($B51,'List Order'!$B$13:$X$124,23,0)/$C51</f>
        <v>0</v>
      </c>
    </row>
    <row r="52" spans="1:5" x14ac:dyDescent="0.2">
      <c r="A52" s="134">
        <v>50</v>
      </c>
      <c r="B52" s="134" t="s">
        <v>105</v>
      </c>
      <c r="C52" s="135">
        <v>20</v>
      </c>
      <c r="D52" s="137">
        <f>+VLOOKUP($B52,'List Order'!$B$13:$X$124,22,0)/$C52</f>
        <v>0</v>
      </c>
      <c r="E52" s="137">
        <f>+VLOOKUP($B52,'List Order'!$B$13:$X$124,23,0)/$C52</f>
        <v>0</v>
      </c>
    </row>
    <row r="53" spans="1:5" x14ac:dyDescent="0.2">
      <c r="A53" s="134">
        <v>51</v>
      </c>
      <c r="B53" s="134" t="s">
        <v>110</v>
      </c>
      <c r="C53" s="135">
        <v>60</v>
      </c>
      <c r="D53" s="137">
        <f>+VLOOKUP($B53,'List Order'!$B$13:$X$124,22,0)/$C53</f>
        <v>16</v>
      </c>
      <c r="E53" s="137">
        <f>+VLOOKUP($B53,'List Order'!$B$13:$X$124,23,0)/$C53</f>
        <v>10</v>
      </c>
    </row>
    <row r="54" spans="1:5" x14ac:dyDescent="0.2">
      <c r="A54" s="134">
        <v>52</v>
      </c>
      <c r="B54" s="134" t="s">
        <v>111</v>
      </c>
      <c r="C54" s="135">
        <v>60</v>
      </c>
      <c r="D54" s="137">
        <f>+VLOOKUP($B54,'List Order'!$B$13:$X$124,22,0)/$C54</f>
        <v>17</v>
      </c>
      <c r="E54" s="137">
        <f>+VLOOKUP($B54,'List Order'!$B$13:$X$124,23,0)/$C54</f>
        <v>10</v>
      </c>
    </row>
    <row r="55" spans="1:5" x14ac:dyDescent="0.2">
      <c r="A55" s="134">
        <v>53</v>
      </c>
      <c r="B55" s="134" t="s">
        <v>123</v>
      </c>
      <c r="C55" s="135">
        <v>40</v>
      </c>
      <c r="D55" s="137">
        <f>+VLOOKUP($B55,'List Order'!$B$13:$X$124,22,0)/$C55</f>
        <v>0</v>
      </c>
      <c r="E55" s="137">
        <f>+VLOOKUP($B55,'List Order'!$B$13:$X$124,23,0)/$C55</f>
        <v>0</v>
      </c>
    </row>
    <row r="56" spans="1:5" x14ac:dyDescent="0.2">
      <c r="A56" s="134">
        <v>54</v>
      </c>
      <c r="B56" s="134" t="s">
        <v>124</v>
      </c>
      <c r="C56" s="135">
        <v>40</v>
      </c>
      <c r="D56" s="137">
        <f>+VLOOKUP($B56,'List Order'!$B$13:$X$124,22,0)/$C56</f>
        <v>4</v>
      </c>
      <c r="E56" s="137">
        <f>+VLOOKUP($B56,'List Order'!$B$13:$X$124,23,0)/$C56</f>
        <v>2</v>
      </c>
    </row>
    <row r="57" spans="1:5" x14ac:dyDescent="0.2">
      <c r="A57" s="134">
        <v>55</v>
      </c>
      <c r="B57" s="134" t="s">
        <v>125</v>
      </c>
      <c r="C57" s="135">
        <v>40</v>
      </c>
      <c r="D57" s="137">
        <f>+VLOOKUP($B57,'List Order'!$B$13:$X$124,22,0)/$C57</f>
        <v>36</v>
      </c>
      <c r="E57" s="137">
        <f>+VLOOKUP($B57,'List Order'!$B$13:$X$124,23,0)/$C57</f>
        <v>22</v>
      </c>
    </row>
    <row r="58" spans="1:5" x14ac:dyDescent="0.2">
      <c r="A58" s="134">
        <v>56</v>
      </c>
      <c r="B58" s="134" t="s">
        <v>127</v>
      </c>
      <c r="C58" s="135">
        <v>60</v>
      </c>
      <c r="D58" s="137">
        <f>+VLOOKUP($B58,'List Order'!$B$13:$X$124,22,0)/$C58</f>
        <v>0</v>
      </c>
      <c r="E58" s="137">
        <f>+VLOOKUP($B58,'List Order'!$B$13:$X$124,23,0)/$C58</f>
        <v>0</v>
      </c>
    </row>
    <row r="59" spans="1:5" x14ac:dyDescent="0.2">
      <c r="A59" s="139"/>
      <c r="B59" s="249" t="s">
        <v>130</v>
      </c>
      <c r="C59" s="249"/>
      <c r="D59" s="138" t="e">
        <f>+SUM(D3:D58)</f>
        <v>#N/A</v>
      </c>
      <c r="E59" s="138" t="e">
        <f>+SUM(E3:E58)</f>
        <v>#N/A</v>
      </c>
    </row>
    <row r="60" spans="1:5" x14ac:dyDescent="0.2">
      <c r="A60" s="139"/>
      <c r="B60" s="249" t="s">
        <v>131</v>
      </c>
      <c r="C60" s="249"/>
      <c r="D60" s="138" t="e">
        <f t="shared" ref="D60:E60" si="0">+D59/20</f>
        <v>#N/A</v>
      </c>
      <c r="E60" s="138" t="e">
        <f t="shared" si="0"/>
        <v>#N/A</v>
      </c>
    </row>
    <row r="61" spans="1:5" x14ac:dyDescent="0.2">
      <c r="E61" s="140"/>
    </row>
  </sheetData>
  <autoFilter ref="A2:E60"/>
  <mergeCells count="5">
    <mergeCell ref="C1:C2"/>
    <mergeCell ref="B1:B2"/>
    <mergeCell ref="A1:A2"/>
    <mergeCell ref="B59:C59"/>
    <mergeCell ref="B60:C60"/>
  </mergeCells>
  <conditionalFormatting sqref="A3:A58">
    <cfRule type="cellIs" dxfId="1" priority="89" stopIfTrue="1" operator="greaterThan">
      <formula>0</formula>
    </cfRule>
    <cfRule type="cellIs" dxfId="0" priority="90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29"/>
  <sheetViews>
    <sheetView topLeftCell="A7" workbookViewId="0">
      <selection activeCell="F14" sqref="F14"/>
    </sheetView>
  </sheetViews>
  <sheetFormatPr defaultRowHeight="12.75" x14ac:dyDescent="0.2"/>
  <cols>
    <col min="3" max="3" width="20.7109375" bestFit="1" customWidth="1"/>
  </cols>
  <sheetData>
    <row r="4" spans="3:6" ht="13.5" thickBot="1" x14ac:dyDescent="0.25">
      <c r="C4" s="141" t="s">
        <v>4</v>
      </c>
      <c r="D4" s="142" t="s">
        <v>5</v>
      </c>
    </row>
    <row r="5" spans="3:6" x14ac:dyDescent="0.2">
      <c r="C5" s="143" t="s">
        <v>59</v>
      </c>
      <c r="D5" s="144">
        <v>120</v>
      </c>
    </row>
    <row r="6" spans="3:6" x14ac:dyDescent="0.2">
      <c r="C6" s="143" t="s">
        <v>67</v>
      </c>
      <c r="D6" s="144">
        <v>100</v>
      </c>
    </row>
    <row r="7" spans="3:6" x14ac:dyDescent="0.2">
      <c r="C7" s="143" t="s">
        <v>70</v>
      </c>
      <c r="D7" s="144">
        <v>80</v>
      </c>
    </row>
    <row r="8" spans="3:6" x14ac:dyDescent="0.2">
      <c r="C8" s="143" t="s">
        <v>74</v>
      </c>
      <c r="D8" s="144">
        <v>20</v>
      </c>
    </row>
    <row r="12" spans="3:6" x14ac:dyDescent="0.2">
      <c r="C12" t="s">
        <v>53</v>
      </c>
      <c r="D12" t="s">
        <v>132</v>
      </c>
      <c r="F12" s="152" t="s">
        <v>62</v>
      </c>
    </row>
    <row r="13" spans="3:6" x14ac:dyDescent="0.2">
      <c r="C13" t="s">
        <v>54</v>
      </c>
      <c r="D13" t="s">
        <v>132</v>
      </c>
      <c r="F13" s="152" t="s">
        <v>63</v>
      </c>
    </row>
    <row r="14" spans="3:6" x14ac:dyDescent="0.2">
      <c r="C14" t="s">
        <v>55</v>
      </c>
      <c r="D14" t="s">
        <v>132</v>
      </c>
      <c r="F14" s="152" t="s">
        <v>47</v>
      </c>
    </row>
    <row r="15" spans="3:6" x14ac:dyDescent="0.2">
      <c r="C15" t="s">
        <v>56</v>
      </c>
      <c r="D15" t="s">
        <v>132</v>
      </c>
    </row>
    <row r="16" spans="3:6" x14ac:dyDescent="0.2">
      <c r="C16" t="s">
        <v>88</v>
      </c>
      <c r="D16" t="s">
        <v>132</v>
      </c>
    </row>
    <row r="17" spans="3:4" x14ac:dyDescent="0.2">
      <c r="C17" t="s">
        <v>87</v>
      </c>
      <c r="D17" t="s">
        <v>132</v>
      </c>
    </row>
    <row r="18" spans="3:4" x14ac:dyDescent="0.2">
      <c r="C18" t="s">
        <v>75</v>
      </c>
      <c r="D18" t="s">
        <v>132</v>
      </c>
    </row>
    <row r="19" spans="3:4" x14ac:dyDescent="0.2">
      <c r="C19" t="s">
        <v>76</v>
      </c>
      <c r="D19" t="s">
        <v>132</v>
      </c>
    </row>
    <row r="20" spans="3:4" x14ac:dyDescent="0.2">
      <c r="C20" t="s">
        <v>89</v>
      </c>
      <c r="D20" t="s">
        <v>132</v>
      </c>
    </row>
    <row r="21" spans="3:4" x14ac:dyDescent="0.2">
      <c r="C21" t="s">
        <v>90</v>
      </c>
      <c r="D21" t="s">
        <v>132</v>
      </c>
    </row>
    <row r="22" spans="3:4" x14ac:dyDescent="0.2">
      <c r="C22" t="s">
        <v>95</v>
      </c>
      <c r="D22" t="s">
        <v>132</v>
      </c>
    </row>
    <row r="23" spans="3:4" x14ac:dyDescent="0.2">
      <c r="C23" t="s">
        <v>96</v>
      </c>
      <c r="D23" t="s">
        <v>132</v>
      </c>
    </row>
    <row r="24" spans="3:4" x14ac:dyDescent="0.2">
      <c r="C24" t="s">
        <v>100</v>
      </c>
      <c r="D24" t="s">
        <v>132</v>
      </c>
    </row>
    <row r="25" spans="3:4" x14ac:dyDescent="0.2">
      <c r="C25" t="s">
        <v>101</v>
      </c>
      <c r="D25" t="s">
        <v>132</v>
      </c>
    </row>
    <row r="26" spans="3:4" x14ac:dyDescent="0.2">
      <c r="C26" t="s">
        <v>102</v>
      </c>
      <c r="D26" t="s">
        <v>132</v>
      </c>
    </row>
    <row r="27" spans="3:4" x14ac:dyDescent="0.2">
      <c r="C27" t="s">
        <v>103</v>
      </c>
      <c r="D27" t="s">
        <v>132</v>
      </c>
    </row>
    <row r="28" spans="3:4" x14ac:dyDescent="0.2">
      <c r="C28" t="s">
        <v>104</v>
      </c>
      <c r="D28" t="s">
        <v>132</v>
      </c>
    </row>
    <row r="29" spans="3:4" x14ac:dyDescent="0.2">
      <c r="C29" t="s">
        <v>105</v>
      </c>
      <c r="D29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PO</vt:lpstr>
      <vt:lpstr>List Order</vt:lpstr>
      <vt:lpstr>Sheet2</vt:lpstr>
      <vt:lpstr>QTY PACKING</vt:lpstr>
      <vt:lpstr>Sheet1</vt:lpstr>
      <vt:lpstr>'List Order'!Print_Area</vt:lpstr>
      <vt:lpstr>PO!Print_Area</vt:lpstr>
      <vt:lpstr>'List Order'!Print_Titles</vt:lpstr>
    </vt:vector>
  </TitlesOfParts>
  <Company>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</dc:creator>
  <cp:lastModifiedBy>Evi Ainur R.</cp:lastModifiedBy>
  <cp:lastPrinted>2023-10-03T07:47:55Z</cp:lastPrinted>
  <dcterms:created xsi:type="dcterms:W3CDTF">2004-05-18T12:13:18Z</dcterms:created>
  <dcterms:modified xsi:type="dcterms:W3CDTF">2026-03-11T06:54:08Z</dcterms:modified>
</cp:coreProperties>
</file>